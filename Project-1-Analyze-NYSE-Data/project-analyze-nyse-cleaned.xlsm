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oreytucker/Desktop/"/>
    </mc:Choice>
  </mc:AlternateContent>
  <xr:revisionPtr revIDLastSave="0" documentId="13_ncr:1_{365CEA21-6C9B-144B-88CA-5EDB9EFDC1E2}" xr6:coauthVersionLast="47" xr6:coauthVersionMax="47" xr10:uidLastSave="{00000000-0000-0000-0000-000000000000}"/>
  <bookViews>
    <workbookView xWindow="0" yWindow="740" windowWidth="29400" windowHeight="16840" xr2:uid="{00000000-000D-0000-FFFF-FFFF00000000}"/>
  </bookViews>
  <sheets>
    <sheet name="P&amp;L Dashboard" sheetId="3" r:id="rId1"/>
    <sheet name="Yearly Forecasts" sheetId="5" r:id="rId2"/>
    <sheet name="Summary Statistics" sheetId="2" r:id="rId3"/>
    <sheet name="Project Data NYSE" sheetId="1" r:id="rId4"/>
    <sheet name="Working Sheet" sheetId="6" r:id="rId5"/>
  </sheets>
  <definedNames>
    <definedName name="_xlnm._FilterDatabase" localSheetId="3" hidden="1">'Project Data NYSE'!$M$2:$M$1711</definedName>
    <definedName name="_xlnm.Extract" localSheetId="3">'Project Data NYSE'!#REF!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3" l="1" a="1"/>
  <c r="C7" i="3" s="1"/>
  <c r="L41" i="5"/>
  <c r="L40" i="5"/>
  <c r="N47" i="5"/>
  <c r="N48" i="5"/>
  <c r="N46" i="5"/>
  <c r="L46" i="5"/>
  <c r="L47" i="5"/>
  <c r="L48" i="5"/>
  <c r="N41" i="5"/>
  <c r="N42" i="5"/>
  <c r="N40" i="5"/>
  <c r="L42" i="5"/>
  <c r="L34" i="5"/>
  <c r="H79" i="5"/>
  <c r="D79" i="5"/>
  <c r="F79" i="5"/>
  <c r="H67" i="5"/>
  <c r="H68" i="5"/>
  <c r="H70" i="5"/>
  <c r="H65" i="5"/>
  <c r="F66" i="5"/>
  <c r="F67" i="5"/>
  <c r="F68" i="5"/>
  <c r="F70" i="5"/>
  <c r="F71" i="5"/>
  <c r="F65" i="5"/>
  <c r="D67" i="5"/>
  <c r="D68" i="5"/>
  <c r="D70" i="5"/>
  <c r="D65" i="5"/>
  <c r="N35" i="5"/>
  <c r="N36" i="5"/>
  <c r="N34" i="5"/>
  <c r="L35" i="5"/>
  <c r="L36" i="5"/>
  <c r="J8" i="5" a="1"/>
  <c r="J8" i="5" s="1"/>
  <c r="G12" i="3" a="1"/>
  <c r="G12" i="3" s="1"/>
  <c r="F10" i="5" a="1"/>
  <c r="F10" i="5" s="1"/>
  <c r="H10" i="5" a="1"/>
  <c r="H10" i="5" s="1"/>
  <c r="J10" i="5" a="1"/>
  <c r="J10" i="5" s="1"/>
  <c r="D10" i="5" a="1"/>
  <c r="D10" i="5" s="1"/>
  <c r="F18" i="5" a="1"/>
  <c r="F18" i="5" s="1"/>
  <c r="H18" i="5" a="1"/>
  <c r="H18" i="5" s="1"/>
  <c r="J18" i="5" a="1"/>
  <c r="J18" i="5" s="1"/>
  <c r="F17" i="5" a="1"/>
  <c r="F17" i="5" s="1"/>
  <c r="H17" i="5" a="1"/>
  <c r="H17" i="5" s="1"/>
  <c r="J17" i="5" a="1"/>
  <c r="J17" i="5" s="1"/>
  <c r="F16" i="5" a="1"/>
  <c r="F16" i="5" s="1"/>
  <c r="H16" i="5" a="1"/>
  <c r="H16" i="5" s="1"/>
  <c r="J16" i="5" a="1"/>
  <c r="J16" i="5" s="1"/>
  <c r="D18" i="5" a="1"/>
  <c r="D18" i="5" s="1"/>
  <c r="D17" i="5" a="1"/>
  <c r="D17" i="5" s="1"/>
  <c r="D16" i="5" a="1"/>
  <c r="D16" i="5" s="1"/>
  <c r="D8" i="5" a="1"/>
  <c r="D8" i="5" s="1"/>
  <c r="F8" i="5" a="1"/>
  <c r="F8" i="5" s="1"/>
  <c r="H8" i="5" a="1"/>
  <c r="H8" i="5" s="1"/>
  <c r="G10" i="3" a="1"/>
  <c r="G10" i="3" s="1"/>
  <c r="E20" i="3" a="1"/>
  <c r="E20" i="3" s="1"/>
  <c r="E19" i="3" a="1"/>
  <c r="E19" i="3" s="1"/>
  <c r="E18" i="3" a="1"/>
  <c r="E18" i="3" s="1"/>
  <c r="H13" i="5" l="1"/>
  <c r="H28" i="5" s="1"/>
  <c r="F20" i="5"/>
  <c r="N29" i="5"/>
  <c r="L29" i="5"/>
  <c r="L28" i="5"/>
  <c r="N28" i="5"/>
  <c r="N27" i="5"/>
  <c r="L27" i="5"/>
  <c r="L8" i="5" s="1"/>
  <c r="F13" i="5"/>
  <c r="F28" i="5" s="1"/>
  <c r="D13" i="5"/>
  <c r="D28" i="5" s="1"/>
  <c r="J27" i="5"/>
  <c r="H27" i="5"/>
  <c r="F27" i="5"/>
  <c r="D20" i="5"/>
  <c r="J13" i="5"/>
  <c r="J28" i="5" s="1"/>
  <c r="J20" i="5"/>
  <c r="H20" i="5"/>
  <c r="G15" i="3"/>
  <c r="G22" i="3"/>
  <c r="H23" i="5" l="1"/>
  <c r="H29" i="5" s="1"/>
  <c r="F23" i="5"/>
  <c r="F29" i="5" s="1"/>
  <c r="N8" i="5"/>
  <c r="N13" i="5" s="1"/>
  <c r="L23" i="5"/>
  <c r="D23" i="5"/>
  <c r="D29" i="5" s="1"/>
  <c r="L13" i="5"/>
  <c r="J23" i="5"/>
  <c r="J29" i="5" s="1"/>
  <c r="G25" i="3"/>
  <c r="N23" i="5" l="1"/>
  <c r="G825" i="1" l="1"/>
  <c r="N825" i="1" s="1"/>
  <c r="G826" i="1"/>
  <c r="G827" i="1"/>
  <c r="G828" i="1"/>
  <c r="G462" i="1"/>
  <c r="N462" i="1" s="1"/>
  <c r="G463" i="1"/>
  <c r="G464" i="1"/>
  <c r="G465" i="1"/>
  <c r="G550" i="1"/>
  <c r="G551" i="1"/>
  <c r="G552" i="1"/>
  <c r="G553" i="1"/>
  <c r="G650" i="1"/>
  <c r="G651" i="1"/>
  <c r="G652" i="1"/>
  <c r="G653" i="1"/>
  <c r="G730" i="1"/>
  <c r="N730" i="1" s="1"/>
  <c r="G731" i="1"/>
  <c r="G732" i="1"/>
  <c r="G733" i="1"/>
  <c r="G841" i="1"/>
  <c r="G842" i="1"/>
  <c r="G843" i="1"/>
  <c r="G844" i="1"/>
  <c r="G857" i="1"/>
  <c r="G858" i="1"/>
  <c r="G859" i="1"/>
  <c r="G860" i="1"/>
  <c r="G981" i="1"/>
  <c r="G982" i="1"/>
  <c r="G983" i="1"/>
  <c r="G984" i="1"/>
  <c r="G1045" i="1"/>
  <c r="N1045" i="1" s="1"/>
  <c r="G1046" i="1"/>
  <c r="G1047" i="1"/>
  <c r="G1048" i="1"/>
  <c r="K462" i="1"/>
  <c r="O462" i="1" s="1"/>
  <c r="G2" i="1"/>
  <c r="G3" i="1"/>
  <c r="G4" i="1"/>
  <c r="G5" i="1"/>
  <c r="G6" i="1"/>
  <c r="G7" i="1"/>
  <c r="G8" i="1"/>
  <c r="G9" i="1"/>
  <c r="G10" i="1"/>
  <c r="G11" i="1"/>
  <c r="G12" i="1"/>
  <c r="G13" i="1"/>
  <c r="G1595" i="1"/>
  <c r="G1593" i="1"/>
  <c r="G804" i="1"/>
  <c r="G1605" i="1"/>
  <c r="G19" i="1"/>
  <c r="G18" i="1"/>
  <c r="N18" i="1" s="1"/>
  <c r="G17" i="1"/>
  <c r="N17" i="1" s="1"/>
  <c r="G20" i="1"/>
  <c r="N20" i="1" s="1"/>
  <c r="G209" i="1"/>
  <c r="G236" i="1"/>
  <c r="G262" i="1"/>
  <c r="G327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1680" i="1"/>
  <c r="G1683" i="1"/>
  <c r="G1101" i="1"/>
  <c r="G1198" i="1"/>
  <c r="G94" i="1"/>
  <c r="G95" i="1"/>
  <c r="G96" i="1"/>
  <c r="G97" i="1"/>
  <c r="G98" i="1"/>
  <c r="G99" i="1"/>
  <c r="G100" i="1"/>
  <c r="G101" i="1"/>
  <c r="G1563" i="1"/>
  <c r="G1532" i="1"/>
  <c r="G1682" i="1"/>
  <c r="G1703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208" i="1"/>
  <c r="G183" i="1"/>
  <c r="G198" i="1"/>
  <c r="G196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928" i="1"/>
  <c r="G181" i="1"/>
  <c r="G182" i="1"/>
  <c r="G124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015" i="1"/>
  <c r="G1091" i="1"/>
  <c r="G1200" i="1"/>
  <c r="N1200" i="1" s="1"/>
  <c r="G1210" i="1"/>
  <c r="G562" i="1"/>
  <c r="G811" i="1"/>
  <c r="G427" i="1"/>
  <c r="G724" i="1"/>
  <c r="G204" i="1"/>
  <c r="G205" i="1"/>
  <c r="G206" i="1"/>
  <c r="G207" i="1"/>
  <c r="G1608" i="1"/>
  <c r="G1701" i="1"/>
  <c r="G1708" i="1"/>
  <c r="G1709" i="1"/>
  <c r="G212" i="1"/>
  <c r="G213" i="1"/>
  <c r="G214" i="1"/>
  <c r="G215" i="1"/>
  <c r="G1090" i="1"/>
  <c r="N1090" i="1" s="1"/>
  <c r="G809" i="1"/>
  <c r="N809" i="1" s="1"/>
  <c r="G662" i="1"/>
  <c r="N662" i="1" s="1"/>
  <c r="G238" i="1"/>
  <c r="N238" i="1" s="1"/>
  <c r="G483" i="1"/>
  <c r="G345" i="1"/>
  <c r="G429" i="1"/>
  <c r="G261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4" i="1"/>
  <c r="N24" i="1" s="1"/>
  <c r="G92" i="1"/>
  <c r="N92" i="1" s="1"/>
  <c r="G93" i="1"/>
  <c r="N93" i="1" s="1"/>
  <c r="G91" i="1"/>
  <c r="N91" i="1" s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1530" i="1"/>
  <c r="G1596" i="1"/>
  <c r="G1299" i="1"/>
  <c r="G1473" i="1"/>
  <c r="G927" i="1"/>
  <c r="G1076" i="1"/>
  <c r="G752" i="1"/>
  <c r="G810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18" i="1"/>
  <c r="G197" i="1"/>
  <c r="G220" i="1"/>
  <c r="G219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21" i="1"/>
  <c r="G102" i="1"/>
  <c r="G103" i="1"/>
  <c r="G104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943" i="1"/>
  <c r="G781" i="1"/>
  <c r="G267" i="1"/>
  <c r="G664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565" i="1"/>
  <c r="G325" i="1"/>
  <c r="G292" i="1"/>
  <c r="G796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722" i="1"/>
  <c r="G266" i="1"/>
  <c r="G344" i="1"/>
  <c r="G222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4" i="1"/>
  <c r="G555" i="1"/>
  <c r="G556" i="1"/>
  <c r="G557" i="1"/>
  <c r="G558" i="1"/>
  <c r="G559" i="1"/>
  <c r="G560" i="1"/>
  <c r="G561" i="1"/>
  <c r="G1074" i="1"/>
  <c r="G1075" i="1"/>
  <c r="G793" i="1"/>
  <c r="G1212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4" i="1"/>
  <c r="G655" i="1"/>
  <c r="G656" i="1"/>
  <c r="G657" i="1"/>
  <c r="G658" i="1"/>
  <c r="G659" i="1"/>
  <c r="G660" i="1"/>
  <c r="G661" i="1"/>
  <c r="G1702" i="1"/>
  <c r="G1700" i="1"/>
  <c r="G1710" i="1"/>
  <c r="G1711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426" i="1"/>
  <c r="G326" i="1"/>
  <c r="G484" i="1"/>
  <c r="G482" i="1"/>
  <c r="G726" i="1"/>
  <c r="G727" i="1"/>
  <c r="G728" i="1"/>
  <c r="G729" i="1"/>
  <c r="K730" i="1"/>
  <c r="O730" i="1" s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211" i="1"/>
  <c r="G294" i="1"/>
  <c r="G782" i="1"/>
  <c r="G926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203" i="1"/>
  <c r="N203" i="1" s="1"/>
  <c r="G202" i="1"/>
  <c r="N202" i="1" s="1"/>
  <c r="G199" i="1"/>
  <c r="N199" i="1" s="1"/>
  <c r="G210" i="1"/>
  <c r="N210" i="1" s="1"/>
  <c r="G785" i="1"/>
  <c r="G786" i="1"/>
  <c r="G787" i="1"/>
  <c r="G788" i="1"/>
  <c r="G789" i="1"/>
  <c r="G790" i="1"/>
  <c r="G791" i="1"/>
  <c r="G792" i="1"/>
  <c r="G180" i="1"/>
  <c r="G125" i="1"/>
  <c r="G123" i="1"/>
  <c r="G122" i="1"/>
  <c r="G797" i="1"/>
  <c r="G798" i="1"/>
  <c r="G799" i="1"/>
  <c r="G800" i="1"/>
  <c r="G942" i="1"/>
  <c r="G836" i="1"/>
  <c r="G751" i="1"/>
  <c r="G835" i="1"/>
  <c r="G805" i="1"/>
  <c r="G806" i="1"/>
  <c r="G807" i="1"/>
  <c r="G808" i="1"/>
  <c r="G665" i="1"/>
  <c r="G1092" i="1"/>
  <c r="G1423" i="1"/>
  <c r="G110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K825" i="1"/>
  <c r="O825" i="1" s="1"/>
  <c r="G829" i="1"/>
  <c r="G830" i="1"/>
  <c r="G831" i="1"/>
  <c r="G832" i="1"/>
  <c r="G1681" i="1"/>
  <c r="G1211" i="1"/>
  <c r="G1561" i="1"/>
  <c r="G1606" i="1"/>
  <c r="G837" i="1"/>
  <c r="G838" i="1"/>
  <c r="G839" i="1"/>
  <c r="G840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794" i="1"/>
  <c r="G750" i="1"/>
  <c r="G485" i="1"/>
  <c r="G263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1201" i="1"/>
  <c r="G1213" i="1"/>
  <c r="G801" i="1"/>
  <c r="G795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25" i="1"/>
  <c r="N25" i="1" s="1"/>
  <c r="G23" i="1"/>
  <c r="N23" i="1" s="1"/>
  <c r="G22" i="1"/>
  <c r="N22" i="1" s="1"/>
  <c r="G90" i="1"/>
  <c r="N90" i="1" s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K1045" i="1"/>
  <c r="O1045" i="1" s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13" i="1"/>
  <c r="G725" i="1"/>
  <c r="G564" i="1"/>
  <c r="G812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803" i="1"/>
  <c r="G834" i="1"/>
  <c r="G1014" i="1"/>
  <c r="G1073" i="1"/>
  <c r="G1093" i="1"/>
  <c r="G1094" i="1"/>
  <c r="G1095" i="1"/>
  <c r="G1096" i="1"/>
  <c r="G1097" i="1"/>
  <c r="G1098" i="1"/>
  <c r="G1099" i="1"/>
  <c r="G1100" i="1"/>
  <c r="G784" i="1"/>
  <c r="G347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594" i="1"/>
  <c r="G1424" i="1"/>
  <c r="G1236" i="1"/>
  <c r="G1199" i="1"/>
  <c r="G1202" i="1"/>
  <c r="G1203" i="1"/>
  <c r="G1204" i="1"/>
  <c r="G1205" i="1"/>
  <c r="G1206" i="1"/>
  <c r="G1207" i="1"/>
  <c r="G1208" i="1"/>
  <c r="G1209" i="1"/>
  <c r="G1562" i="1"/>
  <c r="G1564" i="1"/>
  <c r="G1297" i="1"/>
  <c r="G1234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221" i="1"/>
  <c r="G239" i="1"/>
  <c r="G223" i="1"/>
  <c r="G293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607" i="1"/>
  <c r="G1476" i="1"/>
  <c r="G1531" i="1"/>
  <c r="G1298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324" i="1"/>
  <c r="G264" i="1"/>
  <c r="G802" i="1"/>
  <c r="G833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260" i="1"/>
  <c r="G265" i="1"/>
  <c r="G237" i="1"/>
  <c r="G34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216" i="1"/>
  <c r="G217" i="1"/>
  <c r="G201" i="1"/>
  <c r="G200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944" i="1"/>
  <c r="G925" i="1"/>
  <c r="G753" i="1"/>
  <c r="G723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05" i="1"/>
  <c r="G16" i="1"/>
  <c r="G14" i="1"/>
  <c r="G15" i="1"/>
  <c r="G1597" i="1"/>
  <c r="G1598" i="1"/>
  <c r="G1599" i="1"/>
  <c r="G1600" i="1"/>
  <c r="G1601" i="1"/>
  <c r="G1602" i="1"/>
  <c r="G1603" i="1"/>
  <c r="G1604" i="1"/>
  <c r="G1421" i="1"/>
  <c r="N1421" i="1" s="1"/>
  <c r="G1237" i="1"/>
  <c r="N1237" i="1" s="1"/>
  <c r="G1235" i="1"/>
  <c r="N1235" i="1" s="1"/>
  <c r="G1422" i="1"/>
  <c r="N1422" i="1" s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295" i="1"/>
  <c r="G428" i="1"/>
  <c r="G563" i="1"/>
  <c r="G66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475" i="1"/>
  <c r="G1300" i="1"/>
  <c r="G1529" i="1"/>
  <c r="G1016" i="1"/>
  <c r="G1704" i="1"/>
  <c r="G1705" i="1"/>
  <c r="G1706" i="1"/>
  <c r="G1707" i="1"/>
  <c r="G783" i="1"/>
  <c r="G941" i="1"/>
  <c r="G1089" i="1"/>
  <c r="G1474" i="1"/>
  <c r="K941" i="1" l="1"/>
  <c r="O941" i="1" s="1"/>
  <c r="N941" i="1"/>
  <c r="K1300" i="1"/>
  <c r="O1300" i="1" s="1"/>
  <c r="N1300" i="1"/>
  <c r="K1693" i="1"/>
  <c r="O1693" i="1" s="1"/>
  <c r="N1693" i="1"/>
  <c r="K1685" i="1"/>
  <c r="O1685" i="1" s="1"/>
  <c r="N1685" i="1"/>
  <c r="K1677" i="1"/>
  <c r="O1677" i="1" s="1"/>
  <c r="N1677" i="1"/>
  <c r="K1669" i="1"/>
  <c r="O1669" i="1" s="1"/>
  <c r="N1669" i="1"/>
  <c r="K1661" i="1"/>
  <c r="O1661" i="1" s="1"/>
  <c r="N1661" i="1"/>
  <c r="K1653" i="1"/>
  <c r="O1653" i="1" s="1"/>
  <c r="N1653" i="1"/>
  <c r="K1645" i="1"/>
  <c r="O1645" i="1" s="1"/>
  <c r="N1645" i="1"/>
  <c r="K1637" i="1"/>
  <c r="O1637" i="1" s="1"/>
  <c r="N1637" i="1"/>
  <c r="K1629" i="1"/>
  <c r="O1629" i="1" s="1"/>
  <c r="N1629" i="1"/>
  <c r="K1621" i="1"/>
  <c r="O1621" i="1" s="1"/>
  <c r="N1621" i="1"/>
  <c r="K1613" i="1"/>
  <c r="O1613" i="1" s="1"/>
  <c r="N1613" i="1"/>
  <c r="K1421" i="1"/>
  <c r="O1421" i="1" s="1"/>
  <c r="K1597" i="1"/>
  <c r="O1597" i="1" s="1"/>
  <c r="N1597" i="1"/>
  <c r="K1589" i="1"/>
  <c r="O1589" i="1" s="1"/>
  <c r="N1589" i="1"/>
  <c r="K1581" i="1"/>
  <c r="O1581" i="1" s="1"/>
  <c r="N1581" i="1"/>
  <c r="K1573" i="1"/>
  <c r="O1573" i="1" s="1"/>
  <c r="N1573" i="1"/>
  <c r="K1565" i="1"/>
  <c r="O1565" i="1" s="1"/>
  <c r="N1565" i="1"/>
  <c r="K1557" i="1"/>
  <c r="O1557" i="1" s="1"/>
  <c r="N1557" i="1"/>
  <c r="K1549" i="1"/>
  <c r="O1549" i="1" s="1"/>
  <c r="N1549" i="1"/>
  <c r="K1541" i="1"/>
  <c r="O1541" i="1" s="1"/>
  <c r="N1541" i="1"/>
  <c r="K1533" i="1"/>
  <c r="O1533" i="1" s="1"/>
  <c r="N1533" i="1"/>
  <c r="K1525" i="1"/>
  <c r="O1525" i="1" s="1"/>
  <c r="N1525" i="1"/>
  <c r="K1517" i="1"/>
  <c r="O1517" i="1" s="1"/>
  <c r="N1517" i="1"/>
  <c r="K1509" i="1"/>
  <c r="O1509" i="1" s="1"/>
  <c r="N1509" i="1"/>
  <c r="K1501" i="1"/>
  <c r="O1501" i="1" s="1"/>
  <c r="N1501" i="1"/>
  <c r="K1493" i="1"/>
  <c r="O1493" i="1" s="1"/>
  <c r="N1493" i="1"/>
  <c r="K1485" i="1"/>
  <c r="O1485" i="1" s="1"/>
  <c r="N1485" i="1"/>
  <c r="K1477" i="1"/>
  <c r="O1477" i="1" s="1"/>
  <c r="N1477" i="1"/>
  <c r="K1469" i="1"/>
  <c r="O1469" i="1" s="1"/>
  <c r="N1469" i="1"/>
  <c r="K1461" i="1"/>
  <c r="O1461" i="1" s="1"/>
  <c r="N1461" i="1"/>
  <c r="K1453" i="1"/>
  <c r="O1453" i="1" s="1"/>
  <c r="N1453" i="1"/>
  <c r="K1445" i="1"/>
  <c r="O1445" i="1" s="1"/>
  <c r="N1445" i="1"/>
  <c r="K1437" i="1"/>
  <c r="O1437" i="1" s="1"/>
  <c r="N1437" i="1"/>
  <c r="K1429" i="1"/>
  <c r="O1429" i="1" s="1"/>
  <c r="N1429" i="1"/>
  <c r="K324" i="1"/>
  <c r="O324" i="1" s="1"/>
  <c r="N324" i="1"/>
  <c r="K1413" i="1"/>
  <c r="O1413" i="1" s="1"/>
  <c r="N1413" i="1"/>
  <c r="K1405" i="1"/>
  <c r="O1405" i="1" s="1"/>
  <c r="N1405" i="1"/>
  <c r="K1397" i="1"/>
  <c r="O1397" i="1" s="1"/>
  <c r="N1397" i="1"/>
  <c r="K1389" i="1"/>
  <c r="O1389" i="1" s="1"/>
  <c r="N1389" i="1"/>
  <c r="K1381" i="1"/>
  <c r="O1381" i="1" s="1"/>
  <c r="N1381" i="1"/>
  <c r="K1373" i="1"/>
  <c r="O1373" i="1" s="1"/>
  <c r="N1373" i="1"/>
  <c r="K1365" i="1"/>
  <c r="O1365" i="1" s="1"/>
  <c r="N1365" i="1"/>
  <c r="K1357" i="1"/>
  <c r="O1357" i="1" s="1"/>
  <c r="N1357" i="1"/>
  <c r="K1349" i="1"/>
  <c r="O1349" i="1" s="1"/>
  <c r="N1349" i="1"/>
  <c r="K1341" i="1"/>
  <c r="O1341" i="1" s="1"/>
  <c r="N1341" i="1"/>
  <c r="K1333" i="1"/>
  <c r="O1333" i="1" s="1"/>
  <c r="N1333" i="1"/>
  <c r="K1325" i="1"/>
  <c r="O1325" i="1" s="1"/>
  <c r="N1325" i="1"/>
  <c r="K1317" i="1"/>
  <c r="O1317" i="1" s="1"/>
  <c r="N1317" i="1"/>
  <c r="K1309" i="1"/>
  <c r="O1309" i="1" s="1"/>
  <c r="N1309" i="1"/>
  <c r="K1301" i="1"/>
  <c r="O1301" i="1" s="1"/>
  <c r="N1301" i="1"/>
  <c r="K1293" i="1"/>
  <c r="O1293" i="1" s="1"/>
  <c r="N1293" i="1"/>
  <c r="K1285" i="1"/>
  <c r="O1285" i="1" s="1"/>
  <c r="N1285" i="1"/>
  <c r="K1277" i="1"/>
  <c r="O1277" i="1" s="1"/>
  <c r="N1277" i="1"/>
  <c r="K1269" i="1"/>
  <c r="O1269" i="1" s="1"/>
  <c r="N1269" i="1"/>
  <c r="K1261" i="1"/>
  <c r="O1261" i="1" s="1"/>
  <c r="N1261" i="1"/>
  <c r="K1253" i="1"/>
  <c r="O1253" i="1" s="1"/>
  <c r="N1253" i="1"/>
  <c r="K1245" i="1"/>
  <c r="O1245" i="1" s="1"/>
  <c r="N1245" i="1"/>
  <c r="K293" i="1"/>
  <c r="O293" i="1" s="1"/>
  <c r="N293" i="1"/>
  <c r="K1229" i="1"/>
  <c r="O1229" i="1" s="1"/>
  <c r="N1229" i="1"/>
  <c r="K1221" i="1"/>
  <c r="O1221" i="1" s="1"/>
  <c r="N1221" i="1"/>
  <c r="K1234" i="1"/>
  <c r="O1234" i="1" s="1"/>
  <c r="N1234" i="1"/>
  <c r="K1205" i="1"/>
  <c r="O1205" i="1" s="1"/>
  <c r="N1205" i="1"/>
  <c r="K1197" i="1"/>
  <c r="O1197" i="1" s="1"/>
  <c r="N1197" i="1"/>
  <c r="K1189" i="1"/>
  <c r="O1189" i="1" s="1"/>
  <c r="N1189" i="1"/>
  <c r="K1181" i="1"/>
  <c r="O1181" i="1" s="1"/>
  <c r="N1181" i="1"/>
  <c r="K1173" i="1"/>
  <c r="O1173" i="1" s="1"/>
  <c r="N1173" i="1"/>
  <c r="K1165" i="1"/>
  <c r="O1165" i="1" s="1"/>
  <c r="N1165" i="1"/>
  <c r="K1157" i="1"/>
  <c r="O1157" i="1" s="1"/>
  <c r="N1157" i="1"/>
  <c r="K1149" i="1"/>
  <c r="O1149" i="1" s="1"/>
  <c r="N1149" i="1"/>
  <c r="K1141" i="1"/>
  <c r="O1141" i="1" s="1"/>
  <c r="N1141" i="1"/>
  <c r="K1133" i="1"/>
  <c r="O1133" i="1" s="1"/>
  <c r="N1133" i="1"/>
  <c r="K1125" i="1"/>
  <c r="O1125" i="1" s="1"/>
  <c r="N1125" i="1"/>
  <c r="K1117" i="1"/>
  <c r="O1117" i="1" s="1"/>
  <c r="N1117" i="1"/>
  <c r="K1109" i="1"/>
  <c r="O1109" i="1" s="1"/>
  <c r="N1109" i="1"/>
  <c r="K784" i="1"/>
  <c r="O784" i="1" s="1"/>
  <c r="N784" i="1"/>
  <c r="K1093" i="1"/>
  <c r="O1093" i="1" s="1"/>
  <c r="N1093" i="1"/>
  <c r="K1085" i="1"/>
  <c r="O1085" i="1" s="1"/>
  <c r="N1085" i="1"/>
  <c r="K1077" i="1"/>
  <c r="O1077" i="1" s="1"/>
  <c r="N1077" i="1"/>
  <c r="K1069" i="1"/>
  <c r="O1069" i="1" s="1"/>
  <c r="N1069" i="1"/>
  <c r="K1061" i="1"/>
  <c r="O1061" i="1" s="1"/>
  <c r="N1061" i="1"/>
  <c r="K1053" i="1"/>
  <c r="O1053" i="1" s="1"/>
  <c r="N1053" i="1"/>
  <c r="K1042" i="1"/>
  <c r="O1042" i="1" s="1"/>
  <c r="N1042" i="1"/>
  <c r="K1034" i="1"/>
  <c r="O1034" i="1" s="1"/>
  <c r="N1034" i="1"/>
  <c r="K1026" i="1"/>
  <c r="O1026" i="1" s="1"/>
  <c r="N1026" i="1"/>
  <c r="K1018" i="1"/>
  <c r="O1018" i="1" s="1"/>
  <c r="N1018" i="1"/>
  <c r="K1010" i="1"/>
  <c r="O1010" i="1" s="1"/>
  <c r="N1010" i="1"/>
  <c r="K1002" i="1"/>
  <c r="O1002" i="1" s="1"/>
  <c r="N1002" i="1"/>
  <c r="K994" i="1"/>
  <c r="O994" i="1" s="1"/>
  <c r="N994" i="1"/>
  <c r="K986" i="1"/>
  <c r="O986" i="1" s="1"/>
  <c r="N986" i="1"/>
  <c r="K974" i="1"/>
  <c r="O974" i="1" s="1"/>
  <c r="N974" i="1"/>
  <c r="K966" i="1"/>
  <c r="O966" i="1" s="1"/>
  <c r="N966" i="1"/>
  <c r="K958" i="1"/>
  <c r="O958" i="1" s="1"/>
  <c r="N958" i="1"/>
  <c r="K950" i="1"/>
  <c r="O950" i="1" s="1"/>
  <c r="N950" i="1"/>
  <c r="K1213" i="1"/>
  <c r="O1213" i="1" s="1"/>
  <c r="N1213" i="1"/>
  <c r="K934" i="1"/>
  <c r="O934" i="1" s="1"/>
  <c r="N934" i="1"/>
  <c r="K750" i="1"/>
  <c r="O750" i="1" s="1"/>
  <c r="N750" i="1"/>
  <c r="K918" i="1"/>
  <c r="O918" i="1" s="1"/>
  <c r="N918" i="1"/>
  <c r="K910" i="1"/>
  <c r="O910" i="1" s="1"/>
  <c r="N910" i="1"/>
  <c r="K902" i="1"/>
  <c r="O902" i="1" s="1"/>
  <c r="N902" i="1"/>
  <c r="K894" i="1"/>
  <c r="O894" i="1" s="1"/>
  <c r="N894" i="1"/>
  <c r="K886" i="1"/>
  <c r="O886" i="1" s="1"/>
  <c r="N886" i="1"/>
  <c r="K878" i="1"/>
  <c r="O878" i="1" s="1"/>
  <c r="N878" i="1"/>
  <c r="K870" i="1"/>
  <c r="O870" i="1" s="1"/>
  <c r="N870" i="1"/>
  <c r="K862" i="1"/>
  <c r="O862" i="1" s="1"/>
  <c r="N862" i="1"/>
  <c r="K850" i="1"/>
  <c r="O850" i="1" s="1"/>
  <c r="N850" i="1"/>
  <c r="K838" i="1"/>
  <c r="O838" i="1" s="1"/>
  <c r="N838" i="1"/>
  <c r="K830" i="1"/>
  <c r="O830" i="1" s="1"/>
  <c r="N830" i="1"/>
  <c r="K819" i="1"/>
  <c r="O819" i="1" s="1"/>
  <c r="N819" i="1"/>
  <c r="K1423" i="1"/>
  <c r="O1423" i="1" s="1"/>
  <c r="N1423" i="1"/>
  <c r="K751" i="1"/>
  <c r="O751" i="1" s="1"/>
  <c r="N751" i="1"/>
  <c r="K123" i="1"/>
  <c r="O123" i="1" s="1"/>
  <c r="N123" i="1"/>
  <c r="K787" i="1"/>
  <c r="O787" i="1" s="1"/>
  <c r="N787" i="1"/>
  <c r="K779" i="1"/>
  <c r="O779" i="1" s="1"/>
  <c r="N779" i="1"/>
  <c r="K771" i="1"/>
  <c r="O771" i="1" s="1"/>
  <c r="N771" i="1"/>
  <c r="K763" i="1"/>
  <c r="O763" i="1" s="1"/>
  <c r="N763" i="1"/>
  <c r="K755" i="1"/>
  <c r="O755" i="1" s="1"/>
  <c r="N755" i="1"/>
  <c r="K747" i="1"/>
  <c r="O747" i="1" s="1"/>
  <c r="N747" i="1"/>
  <c r="K739" i="1"/>
  <c r="O739" i="1" s="1"/>
  <c r="N739" i="1"/>
  <c r="K728" i="1"/>
  <c r="O728" i="1" s="1"/>
  <c r="N728" i="1"/>
  <c r="K720" i="1"/>
  <c r="O720" i="1" s="1"/>
  <c r="N720" i="1"/>
  <c r="K712" i="1"/>
  <c r="O712" i="1" s="1"/>
  <c r="N712" i="1"/>
  <c r="K704" i="1"/>
  <c r="O704" i="1" s="1"/>
  <c r="N704" i="1"/>
  <c r="K696" i="1"/>
  <c r="O696" i="1" s="1"/>
  <c r="N696" i="1"/>
  <c r="K688" i="1"/>
  <c r="O688" i="1" s="1"/>
  <c r="N688" i="1"/>
  <c r="K680" i="1"/>
  <c r="O680" i="1" s="1"/>
  <c r="N680" i="1"/>
  <c r="K672" i="1"/>
  <c r="O672" i="1" s="1"/>
  <c r="N672" i="1"/>
  <c r="K1710" i="1"/>
  <c r="O1710" i="1" s="1"/>
  <c r="N1710" i="1"/>
  <c r="K656" i="1"/>
  <c r="O656" i="1" s="1"/>
  <c r="N656" i="1"/>
  <c r="K644" i="1"/>
  <c r="O644" i="1" s="1"/>
  <c r="N644" i="1"/>
  <c r="K636" i="1"/>
  <c r="O636" i="1" s="1"/>
  <c r="N636" i="1"/>
  <c r="K628" i="1"/>
  <c r="O628" i="1" s="1"/>
  <c r="N628" i="1"/>
  <c r="K620" i="1"/>
  <c r="O620" i="1" s="1"/>
  <c r="N620" i="1"/>
  <c r="K612" i="1"/>
  <c r="O612" i="1" s="1"/>
  <c r="N612" i="1"/>
  <c r="K604" i="1"/>
  <c r="O604" i="1" s="1"/>
  <c r="N604" i="1"/>
  <c r="K596" i="1"/>
  <c r="O596" i="1" s="1"/>
  <c r="N596" i="1"/>
  <c r="K588" i="1"/>
  <c r="O588" i="1" s="1"/>
  <c r="N588" i="1"/>
  <c r="K580" i="1"/>
  <c r="O580" i="1" s="1"/>
  <c r="N580" i="1"/>
  <c r="K572" i="1"/>
  <c r="O572" i="1" s="1"/>
  <c r="N572" i="1"/>
  <c r="K793" i="1"/>
  <c r="O793" i="1" s="1"/>
  <c r="N793" i="1"/>
  <c r="K556" i="1"/>
  <c r="O556" i="1" s="1"/>
  <c r="N556" i="1"/>
  <c r="K544" i="1"/>
  <c r="O544" i="1" s="1"/>
  <c r="N544" i="1"/>
  <c r="K536" i="1"/>
  <c r="O536" i="1" s="1"/>
  <c r="N536" i="1"/>
  <c r="K528" i="1"/>
  <c r="O528" i="1" s="1"/>
  <c r="N528" i="1"/>
  <c r="K520" i="1"/>
  <c r="O520" i="1" s="1"/>
  <c r="N520" i="1"/>
  <c r="K512" i="1"/>
  <c r="O512" i="1" s="1"/>
  <c r="N512" i="1"/>
  <c r="K504" i="1"/>
  <c r="O504" i="1" s="1"/>
  <c r="N504" i="1"/>
  <c r="K496" i="1"/>
  <c r="O496" i="1" s="1"/>
  <c r="N496" i="1"/>
  <c r="K488" i="1"/>
  <c r="O488" i="1" s="1"/>
  <c r="N488" i="1"/>
  <c r="K480" i="1"/>
  <c r="O480" i="1" s="1"/>
  <c r="N480" i="1"/>
  <c r="K472" i="1"/>
  <c r="O472" i="1" s="1"/>
  <c r="N472" i="1"/>
  <c r="K460" i="1"/>
  <c r="O460" i="1" s="1"/>
  <c r="N460" i="1"/>
  <c r="K452" i="1"/>
  <c r="O452" i="1" s="1"/>
  <c r="N452" i="1"/>
  <c r="K444" i="1"/>
  <c r="O444" i="1" s="1"/>
  <c r="N444" i="1"/>
  <c r="K436" i="1"/>
  <c r="O436" i="1" s="1"/>
  <c r="N436" i="1"/>
  <c r="K292" i="1"/>
  <c r="O292" i="1" s="1"/>
  <c r="N292" i="1"/>
  <c r="K420" i="1"/>
  <c r="O420" i="1" s="1"/>
  <c r="N420" i="1"/>
  <c r="K412" i="1"/>
  <c r="O412" i="1" s="1"/>
  <c r="N412" i="1"/>
  <c r="K404" i="1"/>
  <c r="O404" i="1" s="1"/>
  <c r="N404" i="1"/>
  <c r="K396" i="1"/>
  <c r="O396" i="1" s="1"/>
  <c r="N396" i="1"/>
  <c r="K388" i="1"/>
  <c r="O388" i="1" s="1"/>
  <c r="N388" i="1"/>
  <c r="K380" i="1"/>
  <c r="O380" i="1" s="1"/>
  <c r="N380" i="1"/>
  <c r="K372" i="1"/>
  <c r="O372" i="1" s="1"/>
  <c r="N372" i="1"/>
  <c r="K364" i="1"/>
  <c r="O364" i="1" s="1"/>
  <c r="N364" i="1"/>
  <c r="K356" i="1"/>
  <c r="O356" i="1" s="1"/>
  <c r="N356" i="1"/>
  <c r="K348" i="1"/>
  <c r="O348" i="1" s="1"/>
  <c r="N348" i="1"/>
  <c r="K340" i="1"/>
  <c r="O340" i="1" s="1"/>
  <c r="N340" i="1"/>
  <c r="K332" i="1"/>
  <c r="O332" i="1" s="1"/>
  <c r="N332" i="1"/>
  <c r="K21" i="1"/>
  <c r="O21" i="1" s="1"/>
  <c r="N21" i="1"/>
  <c r="K316" i="1"/>
  <c r="O316" i="1" s="1"/>
  <c r="N316" i="1"/>
  <c r="K308" i="1"/>
  <c r="O308" i="1" s="1"/>
  <c r="N308" i="1"/>
  <c r="K300" i="1"/>
  <c r="O300" i="1" s="1"/>
  <c r="N300" i="1"/>
  <c r="K218" i="1"/>
  <c r="O218" i="1" s="1"/>
  <c r="N218" i="1"/>
  <c r="K284" i="1"/>
  <c r="O284" i="1" s="1"/>
  <c r="N284" i="1"/>
  <c r="K276" i="1"/>
  <c r="O276" i="1" s="1"/>
  <c r="N276" i="1"/>
  <c r="K268" i="1"/>
  <c r="O268" i="1" s="1"/>
  <c r="N268" i="1"/>
  <c r="K1530" i="1"/>
  <c r="O1530" i="1" s="1"/>
  <c r="N1530" i="1"/>
  <c r="K252" i="1"/>
  <c r="O252" i="1" s="1"/>
  <c r="N252" i="1"/>
  <c r="K244" i="1"/>
  <c r="O244" i="1" s="1"/>
  <c r="N244" i="1"/>
  <c r="K24" i="1"/>
  <c r="O24" i="1" s="1"/>
  <c r="K228" i="1"/>
  <c r="O228" i="1" s="1"/>
  <c r="N228" i="1"/>
  <c r="K483" i="1"/>
  <c r="O483" i="1" s="1"/>
  <c r="N483" i="1"/>
  <c r="K212" i="1"/>
  <c r="O212" i="1" s="1"/>
  <c r="N212" i="1"/>
  <c r="K204" i="1"/>
  <c r="O204" i="1" s="1"/>
  <c r="N204" i="1"/>
  <c r="K1015" i="1"/>
  <c r="O1015" i="1" s="1"/>
  <c r="N1015" i="1"/>
  <c r="K188" i="1"/>
  <c r="O188" i="1" s="1"/>
  <c r="N188" i="1"/>
  <c r="K928" i="1"/>
  <c r="O928" i="1" s="1"/>
  <c r="N928" i="1"/>
  <c r="K172" i="1"/>
  <c r="O172" i="1" s="1"/>
  <c r="N172" i="1"/>
  <c r="K164" i="1"/>
  <c r="O164" i="1" s="1"/>
  <c r="N164" i="1"/>
  <c r="K156" i="1"/>
  <c r="O156" i="1" s="1"/>
  <c r="N156" i="1"/>
  <c r="K148" i="1"/>
  <c r="O148" i="1" s="1"/>
  <c r="N148" i="1"/>
  <c r="K140" i="1"/>
  <c r="O140" i="1" s="1"/>
  <c r="N140" i="1"/>
  <c r="K132" i="1"/>
  <c r="O132" i="1" s="1"/>
  <c r="N132" i="1"/>
  <c r="K198" i="1"/>
  <c r="O198" i="1" s="1"/>
  <c r="N198" i="1"/>
  <c r="K116" i="1"/>
  <c r="O116" i="1" s="1"/>
  <c r="N116" i="1"/>
  <c r="K108" i="1"/>
  <c r="O108" i="1" s="1"/>
  <c r="N108" i="1"/>
  <c r="K100" i="1"/>
  <c r="O100" i="1" s="1"/>
  <c r="N100" i="1"/>
  <c r="K1101" i="1"/>
  <c r="O1101" i="1" s="1"/>
  <c r="N1101" i="1"/>
  <c r="K84" i="1"/>
  <c r="O84" i="1" s="1"/>
  <c r="N84" i="1"/>
  <c r="K76" i="1"/>
  <c r="O76" i="1" s="1"/>
  <c r="N76" i="1"/>
  <c r="K68" i="1"/>
  <c r="O68" i="1" s="1"/>
  <c r="N68" i="1"/>
  <c r="K60" i="1"/>
  <c r="O60" i="1" s="1"/>
  <c r="N60" i="1"/>
  <c r="K52" i="1"/>
  <c r="O52" i="1" s="1"/>
  <c r="N52" i="1"/>
  <c r="K44" i="1"/>
  <c r="O44" i="1" s="1"/>
  <c r="N44" i="1"/>
  <c r="K36" i="1"/>
  <c r="O36" i="1" s="1"/>
  <c r="N36" i="1"/>
  <c r="K28" i="1"/>
  <c r="O28" i="1" s="1"/>
  <c r="N28" i="1"/>
  <c r="K17" i="1"/>
  <c r="O17" i="1" s="1"/>
  <c r="K12" i="1"/>
  <c r="O12" i="1" s="1"/>
  <c r="N12" i="1"/>
  <c r="K4" i="1"/>
  <c r="O4" i="1" s="1"/>
  <c r="N4" i="1"/>
  <c r="K984" i="1"/>
  <c r="O984" i="1" s="1"/>
  <c r="N984" i="1"/>
  <c r="K844" i="1"/>
  <c r="O844" i="1" s="1"/>
  <c r="N844" i="1"/>
  <c r="K653" i="1"/>
  <c r="O653" i="1" s="1"/>
  <c r="N653" i="1"/>
  <c r="K465" i="1"/>
  <c r="O465" i="1" s="1"/>
  <c r="N465" i="1"/>
  <c r="K783" i="1"/>
  <c r="O783" i="1" s="1"/>
  <c r="N783" i="1"/>
  <c r="K1475" i="1"/>
  <c r="O1475" i="1" s="1"/>
  <c r="N1475" i="1"/>
  <c r="K1692" i="1"/>
  <c r="O1692" i="1" s="1"/>
  <c r="N1692" i="1"/>
  <c r="K1684" i="1"/>
  <c r="O1684" i="1" s="1"/>
  <c r="N1684" i="1"/>
  <c r="K1676" i="1"/>
  <c r="O1676" i="1" s="1"/>
  <c r="N1676" i="1"/>
  <c r="K1668" i="1"/>
  <c r="O1668" i="1" s="1"/>
  <c r="N1668" i="1"/>
  <c r="K1660" i="1"/>
  <c r="O1660" i="1" s="1"/>
  <c r="N1660" i="1"/>
  <c r="K1652" i="1"/>
  <c r="O1652" i="1" s="1"/>
  <c r="N1652" i="1"/>
  <c r="K1644" i="1"/>
  <c r="O1644" i="1" s="1"/>
  <c r="N1644" i="1"/>
  <c r="K1636" i="1"/>
  <c r="O1636" i="1" s="1"/>
  <c r="N1636" i="1"/>
  <c r="K1628" i="1"/>
  <c r="O1628" i="1" s="1"/>
  <c r="N1628" i="1"/>
  <c r="K1620" i="1"/>
  <c r="O1620" i="1" s="1"/>
  <c r="N1620" i="1"/>
  <c r="K1612" i="1"/>
  <c r="O1612" i="1" s="1"/>
  <c r="N1612" i="1"/>
  <c r="K1604" i="1"/>
  <c r="O1604" i="1" s="1"/>
  <c r="N1604" i="1"/>
  <c r="K15" i="1"/>
  <c r="O15" i="1" s="1"/>
  <c r="N15" i="1"/>
  <c r="K1588" i="1"/>
  <c r="O1588" i="1" s="1"/>
  <c r="N1588" i="1"/>
  <c r="K1580" i="1"/>
  <c r="O1580" i="1" s="1"/>
  <c r="N1580" i="1"/>
  <c r="K1572" i="1"/>
  <c r="O1572" i="1" s="1"/>
  <c r="N1572" i="1"/>
  <c r="K723" i="1"/>
  <c r="O723" i="1" s="1"/>
  <c r="N723" i="1"/>
  <c r="K1556" i="1"/>
  <c r="O1556" i="1" s="1"/>
  <c r="N1556" i="1"/>
  <c r="K1548" i="1"/>
  <c r="O1548" i="1" s="1"/>
  <c r="N1548" i="1"/>
  <c r="K1540" i="1"/>
  <c r="O1540" i="1" s="1"/>
  <c r="N1540" i="1"/>
  <c r="K200" i="1"/>
  <c r="O200" i="1" s="1"/>
  <c r="N200" i="1"/>
  <c r="K1524" i="1"/>
  <c r="O1524" i="1" s="1"/>
  <c r="N1524" i="1"/>
  <c r="K1516" i="1"/>
  <c r="O1516" i="1" s="1"/>
  <c r="N1516" i="1"/>
  <c r="K1508" i="1"/>
  <c r="O1508" i="1" s="1"/>
  <c r="N1508" i="1"/>
  <c r="K1500" i="1"/>
  <c r="O1500" i="1" s="1"/>
  <c r="N1500" i="1"/>
  <c r="K1492" i="1"/>
  <c r="O1492" i="1" s="1"/>
  <c r="N1492" i="1"/>
  <c r="K1484" i="1"/>
  <c r="O1484" i="1" s="1"/>
  <c r="N1484" i="1"/>
  <c r="K346" i="1"/>
  <c r="O346" i="1" s="1"/>
  <c r="N346" i="1"/>
  <c r="K1468" i="1"/>
  <c r="O1468" i="1" s="1"/>
  <c r="N1468" i="1"/>
  <c r="K1460" i="1"/>
  <c r="O1460" i="1" s="1"/>
  <c r="N1460" i="1"/>
  <c r="K1452" i="1"/>
  <c r="O1452" i="1" s="1"/>
  <c r="N1452" i="1"/>
  <c r="K1444" i="1"/>
  <c r="O1444" i="1" s="1"/>
  <c r="N1444" i="1"/>
  <c r="K1436" i="1"/>
  <c r="O1436" i="1" s="1"/>
  <c r="N1436" i="1"/>
  <c r="K1428" i="1"/>
  <c r="O1428" i="1" s="1"/>
  <c r="N1428" i="1"/>
  <c r="K1420" i="1"/>
  <c r="O1420" i="1" s="1"/>
  <c r="N1420" i="1"/>
  <c r="K1412" i="1"/>
  <c r="O1412" i="1" s="1"/>
  <c r="N1412" i="1"/>
  <c r="K1404" i="1"/>
  <c r="O1404" i="1" s="1"/>
  <c r="N1404" i="1"/>
  <c r="K1396" i="1"/>
  <c r="O1396" i="1" s="1"/>
  <c r="N1396" i="1"/>
  <c r="K1388" i="1"/>
  <c r="O1388" i="1" s="1"/>
  <c r="N1388" i="1"/>
  <c r="K1380" i="1"/>
  <c r="O1380" i="1" s="1"/>
  <c r="N1380" i="1"/>
  <c r="K1372" i="1"/>
  <c r="O1372" i="1" s="1"/>
  <c r="N1372" i="1"/>
  <c r="K1364" i="1"/>
  <c r="O1364" i="1" s="1"/>
  <c r="N1364" i="1"/>
  <c r="K1356" i="1"/>
  <c r="O1356" i="1" s="1"/>
  <c r="N1356" i="1"/>
  <c r="K1348" i="1"/>
  <c r="O1348" i="1" s="1"/>
  <c r="N1348" i="1"/>
  <c r="K1340" i="1"/>
  <c r="O1340" i="1" s="1"/>
  <c r="N1340" i="1"/>
  <c r="K1332" i="1"/>
  <c r="O1332" i="1" s="1"/>
  <c r="N1332" i="1"/>
  <c r="K1324" i="1"/>
  <c r="O1324" i="1" s="1"/>
  <c r="N1324" i="1"/>
  <c r="K1316" i="1"/>
  <c r="O1316" i="1" s="1"/>
  <c r="N1316" i="1"/>
  <c r="K1308" i="1"/>
  <c r="O1308" i="1" s="1"/>
  <c r="N1308" i="1"/>
  <c r="K1298" i="1"/>
  <c r="O1298" i="1" s="1"/>
  <c r="N1298" i="1"/>
  <c r="K1292" i="1"/>
  <c r="O1292" i="1" s="1"/>
  <c r="N1292" i="1"/>
  <c r="K1284" i="1"/>
  <c r="O1284" i="1" s="1"/>
  <c r="N1284" i="1"/>
  <c r="K1276" i="1"/>
  <c r="O1276" i="1" s="1"/>
  <c r="N1276" i="1"/>
  <c r="K1268" i="1"/>
  <c r="O1268" i="1" s="1"/>
  <c r="N1268" i="1"/>
  <c r="K1260" i="1"/>
  <c r="O1260" i="1" s="1"/>
  <c r="N1260" i="1"/>
  <c r="K1252" i="1"/>
  <c r="O1252" i="1" s="1"/>
  <c r="N1252" i="1"/>
  <c r="K1244" i="1"/>
  <c r="O1244" i="1" s="1"/>
  <c r="N1244" i="1"/>
  <c r="K223" i="1"/>
  <c r="O223" i="1" s="1"/>
  <c r="N223" i="1"/>
  <c r="K1228" i="1"/>
  <c r="O1228" i="1" s="1"/>
  <c r="N1228" i="1"/>
  <c r="K1220" i="1"/>
  <c r="O1220" i="1" s="1"/>
  <c r="N1220" i="1"/>
  <c r="K1297" i="1"/>
  <c r="O1297" i="1" s="1"/>
  <c r="N1297" i="1"/>
  <c r="K1204" i="1"/>
  <c r="O1204" i="1" s="1"/>
  <c r="N1204" i="1"/>
  <c r="K1196" i="1"/>
  <c r="O1196" i="1" s="1"/>
  <c r="N1196" i="1"/>
  <c r="K1188" i="1"/>
  <c r="O1188" i="1" s="1"/>
  <c r="N1188" i="1"/>
  <c r="K1180" i="1"/>
  <c r="O1180" i="1" s="1"/>
  <c r="N1180" i="1"/>
  <c r="K1172" i="1"/>
  <c r="O1172" i="1" s="1"/>
  <c r="N1172" i="1"/>
  <c r="K1164" i="1"/>
  <c r="O1164" i="1" s="1"/>
  <c r="N1164" i="1"/>
  <c r="K1156" i="1"/>
  <c r="O1156" i="1" s="1"/>
  <c r="N1156" i="1"/>
  <c r="K1148" i="1"/>
  <c r="O1148" i="1" s="1"/>
  <c r="N1148" i="1"/>
  <c r="K1140" i="1"/>
  <c r="O1140" i="1" s="1"/>
  <c r="N1140" i="1"/>
  <c r="K1132" i="1"/>
  <c r="O1132" i="1" s="1"/>
  <c r="N1132" i="1"/>
  <c r="K1124" i="1"/>
  <c r="O1124" i="1" s="1"/>
  <c r="N1124" i="1"/>
  <c r="K1116" i="1"/>
  <c r="O1116" i="1" s="1"/>
  <c r="N1116" i="1"/>
  <c r="K1108" i="1"/>
  <c r="O1108" i="1" s="1"/>
  <c r="N1108" i="1"/>
  <c r="K1100" i="1"/>
  <c r="O1100" i="1" s="1"/>
  <c r="N1100" i="1"/>
  <c r="K1073" i="1"/>
  <c r="O1073" i="1" s="1"/>
  <c r="N1073" i="1"/>
  <c r="K1084" i="1"/>
  <c r="O1084" i="1" s="1"/>
  <c r="N1084" i="1"/>
  <c r="K812" i="1"/>
  <c r="O812" i="1" s="1"/>
  <c r="N812" i="1"/>
  <c r="K1068" i="1"/>
  <c r="O1068" i="1" s="1"/>
  <c r="N1068" i="1"/>
  <c r="K1060" i="1"/>
  <c r="O1060" i="1" s="1"/>
  <c r="N1060" i="1"/>
  <c r="K1052" i="1"/>
  <c r="O1052" i="1" s="1"/>
  <c r="N1052" i="1"/>
  <c r="K1041" i="1"/>
  <c r="O1041" i="1" s="1"/>
  <c r="N1041" i="1"/>
  <c r="K1033" i="1"/>
  <c r="O1033" i="1" s="1"/>
  <c r="N1033" i="1"/>
  <c r="K1025" i="1"/>
  <c r="O1025" i="1" s="1"/>
  <c r="N1025" i="1"/>
  <c r="K1017" i="1"/>
  <c r="O1017" i="1" s="1"/>
  <c r="N1017" i="1"/>
  <c r="K1009" i="1"/>
  <c r="O1009" i="1" s="1"/>
  <c r="N1009" i="1"/>
  <c r="K1001" i="1"/>
  <c r="O1001" i="1" s="1"/>
  <c r="N1001" i="1"/>
  <c r="K993" i="1"/>
  <c r="O993" i="1" s="1"/>
  <c r="N993" i="1"/>
  <c r="K985" i="1"/>
  <c r="O985" i="1" s="1"/>
  <c r="N985" i="1"/>
  <c r="K973" i="1"/>
  <c r="O973" i="1" s="1"/>
  <c r="N973" i="1"/>
  <c r="K965" i="1"/>
  <c r="O965" i="1" s="1"/>
  <c r="N965" i="1"/>
  <c r="K957" i="1"/>
  <c r="O957" i="1" s="1"/>
  <c r="N957" i="1"/>
  <c r="K949" i="1"/>
  <c r="O949" i="1" s="1"/>
  <c r="N949" i="1"/>
  <c r="K1201" i="1"/>
  <c r="O1201" i="1" s="1"/>
  <c r="N1201" i="1"/>
  <c r="K933" i="1"/>
  <c r="O933" i="1" s="1"/>
  <c r="N933" i="1"/>
  <c r="K794" i="1"/>
  <c r="O794" i="1" s="1"/>
  <c r="N794" i="1"/>
  <c r="K917" i="1"/>
  <c r="O917" i="1" s="1"/>
  <c r="N917" i="1"/>
  <c r="K909" i="1"/>
  <c r="O909" i="1" s="1"/>
  <c r="N909" i="1"/>
  <c r="K901" i="1"/>
  <c r="O901" i="1" s="1"/>
  <c r="N901" i="1"/>
  <c r="K893" i="1"/>
  <c r="O893" i="1" s="1"/>
  <c r="N893" i="1"/>
  <c r="K885" i="1"/>
  <c r="O885" i="1" s="1"/>
  <c r="N885" i="1"/>
  <c r="K877" i="1"/>
  <c r="O877" i="1" s="1"/>
  <c r="N877" i="1"/>
  <c r="K869" i="1"/>
  <c r="O869" i="1" s="1"/>
  <c r="N869" i="1"/>
  <c r="K861" i="1"/>
  <c r="O861" i="1" s="1"/>
  <c r="N861" i="1"/>
  <c r="K849" i="1"/>
  <c r="O849" i="1" s="1"/>
  <c r="N849" i="1"/>
  <c r="K837" i="1"/>
  <c r="O837" i="1" s="1"/>
  <c r="N837" i="1"/>
  <c r="K829" i="1"/>
  <c r="O829" i="1" s="1"/>
  <c r="N829" i="1"/>
  <c r="K818" i="1"/>
  <c r="O818" i="1" s="1"/>
  <c r="N818" i="1"/>
  <c r="K1092" i="1"/>
  <c r="O1092" i="1" s="1"/>
  <c r="N1092" i="1"/>
  <c r="K836" i="1"/>
  <c r="O836" i="1" s="1"/>
  <c r="N836" i="1"/>
  <c r="K125" i="1"/>
  <c r="O125" i="1" s="1"/>
  <c r="N125" i="1"/>
  <c r="K786" i="1"/>
  <c r="O786" i="1" s="1"/>
  <c r="N786" i="1"/>
  <c r="K778" i="1"/>
  <c r="O778" i="1" s="1"/>
  <c r="N778" i="1"/>
  <c r="K770" i="1"/>
  <c r="O770" i="1" s="1"/>
  <c r="N770" i="1"/>
  <c r="K762" i="1"/>
  <c r="O762" i="1" s="1"/>
  <c r="N762" i="1"/>
  <c r="K754" i="1"/>
  <c r="O754" i="1" s="1"/>
  <c r="N754" i="1"/>
  <c r="K746" i="1"/>
  <c r="O746" i="1" s="1"/>
  <c r="N746" i="1"/>
  <c r="K738" i="1"/>
  <c r="O738" i="1" s="1"/>
  <c r="N738" i="1"/>
  <c r="K727" i="1"/>
  <c r="O727" i="1" s="1"/>
  <c r="N727" i="1"/>
  <c r="K719" i="1"/>
  <c r="O719" i="1" s="1"/>
  <c r="N719" i="1"/>
  <c r="K711" i="1"/>
  <c r="O711" i="1" s="1"/>
  <c r="N711" i="1"/>
  <c r="K703" i="1"/>
  <c r="O703" i="1" s="1"/>
  <c r="N703" i="1"/>
  <c r="K695" i="1"/>
  <c r="O695" i="1" s="1"/>
  <c r="N695" i="1"/>
  <c r="K687" i="1"/>
  <c r="O687" i="1" s="1"/>
  <c r="N687" i="1"/>
  <c r="K679" i="1"/>
  <c r="O679" i="1" s="1"/>
  <c r="N679" i="1"/>
  <c r="K671" i="1"/>
  <c r="O671" i="1" s="1"/>
  <c r="N671" i="1"/>
  <c r="K1700" i="1"/>
  <c r="O1700" i="1" s="1"/>
  <c r="N1700" i="1"/>
  <c r="K655" i="1"/>
  <c r="O655" i="1" s="1"/>
  <c r="N655" i="1"/>
  <c r="K643" i="1"/>
  <c r="O643" i="1" s="1"/>
  <c r="N643" i="1"/>
  <c r="K635" i="1"/>
  <c r="O635" i="1" s="1"/>
  <c r="N635" i="1"/>
  <c r="K627" i="1"/>
  <c r="O627" i="1" s="1"/>
  <c r="N627" i="1"/>
  <c r="K619" i="1"/>
  <c r="O619" i="1" s="1"/>
  <c r="N619" i="1"/>
  <c r="K611" i="1"/>
  <c r="O611" i="1" s="1"/>
  <c r="N611" i="1"/>
  <c r="K603" i="1"/>
  <c r="O603" i="1" s="1"/>
  <c r="N603" i="1"/>
  <c r="K595" i="1"/>
  <c r="O595" i="1" s="1"/>
  <c r="N595" i="1"/>
  <c r="K587" i="1"/>
  <c r="O587" i="1" s="1"/>
  <c r="N587" i="1"/>
  <c r="K579" i="1"/>
  <c r="O579" i="1" s="1"/>
  <c r="N579" i="1"/>
  <c r="K571" i="1"/>
  <c r="O571" i="1" s="1"/>
  <c r="N571" i="1"/>
  <c r="K1075" i="1"/>
  <c r="O1075" i="1" s="1"/>
  <c r="N1075" i="1"/>
  <c r="K555" i="1"/>
  <c r="O555" i="1" s="1"/>
  <c r="N555" i="1"/>
  <c r="K543" i="1"/>
  <c r="O543" i="1" s="1"/>
  <c r="N543" i="1"/>
  <c r="K535" i="1"/>
  <c r="O535" i="1" s="1"/>
  <c r="N535" i="1"/>
  <c r="K527" i="1"/>
  <c r="O527" i="1" s="1"/>
  <c r="N527" i="1"/>
  <c r="K519" i="1"/>
  <c r="O519" i="1" s="1"/>
  <c r="N519" i="1"/>
  <c r="K511" i="1"/>
  <c r="O511" i="1" s="1"/>
  <c r="N511" i="1"/>
  <c r="K503" i="1"/>
  <c r="O503" i="1" s="1"/>
  <c r="N503" i="1"/>
  <c r="K495" i="1"/>
  <c r="O495" i="1" s="1"/>
  <c r="N495" i="1"/>
  <c r="K487" i="1"/>
  <c r="O487" i="1" s="1"/>
  <c r="N487" i="1"/>
  <c r="K479" i="1"/>
  <c r="O479" i="1" s="1"/>
  <c r="N479" i="1"/>
  <c r="K471" i="1"/>
  <c r="O471" i="1" s="1"/>
  <c r="N471" i="1"/>
  <c r="K459" i="1"/>
  <c r="O459" i="1" s="1"/>
  <c r="N459" i="1"/>
  <c r="K451" i="1"/>
  <c r="O451" i="1" s="1"/>
  <c r="N451" i="1"/>
  <c r="K443" i="1"/>
  <c r="O443" i="1" s="1"/>
  <c r="N443" i="1"/>
  <c r="K435" i="1"/>
  <c r="O435" i="1" s="1"/>
  <c r="N435" i="1"/>
  <c r="K325" i="1"/>
  <c r="O325" i="1" s="1"/>
  <c r="N325" i="1"/>
  <c r="K419" i="1"/>
  <c r="O419" i="1" s="1"/>
  <c r="N419" i="1"/>
  <c r="K411" i="1"/>
  <c r="O411" i="1" s="1"/>
  <c r="N411" i="1"/>
  <c r="K403" i="1"/>
  <c r="O403" i="1" s="1"/>
  <c r="N403" i="1"/>
  <c r="K395" i="1"/>
  <c r="O395" i="1" s="1"/>
  <c r="N395" i="1"/>
  <c r="K387" i="1"/>
  <c r="O387" i="1" s="1"/>
  <c r="N387" i="1"/>
  <c r="K379" i="1"/>
  <c r="O379" i="1" s="1"/>
  <c r="N379" i="1"/>
  <c r="K371" i="1"/>
  <c r="O371" i="1" s="1"/>
  <c r="N371" i="1"/>
  <c r="K363" i="1"/>
  <c r="O363" i="1" s="1"/>
  <c r="N363" i="1"/>
  <c r="K355" i="1"/>
  <c r="O355" i="1" s="1"/>
  <c r="N355" i="1"/>
  <c r="K664" i="1"/>
  <c r="O664" i="1" s="1"/>
  <c r="N664" i="1"/>
  <c r="K339" i="1"/>
  <c r="O339" i="1" s="1"/>
  <c r="N339" i="1"/>
  <c r="K331" i="1"/>
  <c r="O331" i="1" s="1"/>
  <c r="N331" i="1"/>
  <c r="K323" i="1"/>
  <c r="O323" i="1" s="1"/>
  <c r="N323" i="1"/>
  <c r="K315" i="1"/>
  <c r="O315" i="1" s="1"/>
  <c r="N315" i="1"/>
  <c r="K307" i="1"/>
  <c r="O307" i="1" s="1"/>
  <c r="N307" i="1"/>
  <c r="K299" i="1"/>
  <c r="O299" i="1" s="1"/>
  <c r="N299" i="1"/>
  <c r="K291" i="1"/>
  <c r="O291" i="1" s="1"/>
  <c r="N291" i="1"/>
  <c r="K283" i="1"/>
  <c r="O283" i="1" s="1"/>
  <c r="N283" i="1"/>
  <c r="K275" i="1"/>
  <c r="O275" i="1" s="1"/>
  <c r="N275" i="1"/>
  <c r="K810" i="1"/>
  <c r="O810" i="1" s="1"/>
  <c r="N810" i="1"/>
  <c r="K259" i="1"/>
  <c r="O259" i="1" s="1"/>
  <c r="N259" i="1"/>
  <c r="K251" i="1"/>
  <c r="O251" i="1" s="1"/>
  <c r="N251" i="1"/>
  <c r="K243" i="1"/>
  <c r="O243" i="1" s="1"/>
  <c r="N243" i="1"/>
  <c r="K235" i="1"/>
  <c r="O235" i="1" s="1"/>
  <c r="N235" i="1"/>
  <c r="K227" i="1"/>
  <c r="O227" i="1" s="1"/>
  <c r="N227" i="1"/>
  <c r="K238" i="1"/>
  <c r="O238" i="1" s="1"/>
  <c r="K1709" i="1"/>
  <c r="O1709" i="1" s="1"/>
  <c r="N1709" i="1"/>
  <c r="K724" i="1"/>
  <c r="O724" i="1" s="1"/>
  <c r="N724" i="1"/>
  <c r="K195" i="1"/>
  <c r="O195" i="1" s="1"/>
  <c r="N195" i="1"/>
  <c r="K187" i="1"/>
  <c r="O187" i="1" s="1"/>
  <c r="N187" i="1"/>
  <c r="K179" i="1"/>
  <c r="O179" i="1" s="1"/>
  <c r="N179" i="1"/>
  <c r="K171" i="1"/>
  <c r="O171" i="1" s="1"/>
  <c r="N171" i="1"/>
  <c r="K163" i="1"/>
  <c r="O163" i="1" s="1"/>
  <c r="N163" i="1"/>
  <c r="K155" i="1"/>
  <c r="O155" i="1" s="1"/>
  <c r="N155" i="1"/>
  <c r="K147" i="1"/>
  <c r="O147" i="1" s="1"/>
  <c r="N147" i="1"/>
  <c r="K139" i="1"/>
  <c r="O139" i="1" s="1"/>
  <c r="N139" i="1"/>
  <c r="K131" i="1"/>
  <c r="O131" i="1" s="1"/>
  <c r="N131" i="1"/>
  <c r="K183" i="1"/>
  <c r="O183" i="1" s="1"/>
  <c r="N183" i="1"/>
  <c r="K115" i="1"/>
  <c r="O115" i="1" s="1"/>
  <c r="N115" i="1"/>
  <c r="K107" i="1"/>
  <c r="O107" i="1" s="1"/>
  <c r="N107" i="1"/>
  <c r="K99" i="1"/>
  <c r="O99" i="1" s="1"/>
  <c r="N99" i="1"/>
  <c r="K1683" i="1"/>
  <c r="O1683" i="1" s="1"/>
  <c r="N1683" i="1"/>
  <c r="K83" i="1"/>
  <c r="O83" i="1" s="1"/>
  <c r="N83" i="1"/>
  <c r="K75" i="1"/>
  <c r="O75" i="1" s="1"/>
  <c r="N75" i="1"/>
  <c r="K67" i="1"/>
  <c r="O67" i="1" s="1"/>
  <c r="N67" i="1"/>
  <c r="K59" i="1"/>
  <c r="O59" i="1" s="1"/>
  <c r="N59" i="1"/>
  <c r="K51" i="1"/>
  <c r="O51" i="1" s="1"/>
  <c r="N51" i="1"/>
  <c r="K43" i="1"/>
  <c r="O43" i="1" s="1"/>
  <c r="N43" i="1"/>
  <c r="K35" i="1"/>
  <c r="O35" i="1" s="1"/>
  <c r="N35" i="1"/>
  <c r="K27" i="1"/>
  <c r="O27" i="1" s="1"/>
  <c r="N27" i="1"/>
  <c r="K18" i="1"/>
  <c r="O18" i="1" s="1"/>
  <c r="K11" i="1"/>
  <c r="O11" i="1" s="1"/>
  <c r="N11" i="1"/>
  <c r="K3" i="1"/>
  <c r="O3" i="1" s="1"/>
  <c r="N3" i="1"/>
  <c r="K983" i="1"/>
  <c r="O983" i="1" s="1"/>
  <c r="N983" i="1"/>
  <c r="K843" i="1"/>
  <c r="O843" i="1" s="1"/>
  <c r="N843" i="1"/>
  <c r="K652" i="1"/>
  <c r="O652" i="1" s="1"/>
  <c r="N652" i="1"/>
  <c r="K464" i="1"/>
  <c r="O464" i="1" s="1"/>
  <c r="N464" i="1"/>
  <c r="K1707" i="1"/>
  <c r="O1707" i="1" s="1"/>
  <c r="N1707" i="1"/>
  <c r="K1699" i="1"/>
  <c r="O1699" i="1" s="1"/>
  <c r="N1699" i="1"/>
  <c r="K1691" i="1"/>
  <c r="O1691" i="1" s="1"/>
  <c r="N1691" i="1"/>
  <c r="K663" i="1"/>
  <c r="O663" i="1" s="1"/>
  <c r="N663" i="1"/>
  <c r="K1675" i="1"/>
  <c r="O1675" i="1" s="1"/>
  <c r="N1675" i="1"/>
  <c r="K1667" i="1"/>
  <c r="O1667" i="1" s="1"/>
  <c r="N1667" i="1"/>
  <c r="K1659" i="1"/>
  <c r="O1659" i="1" s="1"/>
  <c r="N1659" i="1"/>
  <c r="K1651" i="1"/>
  <c r="O1651" i="1" s="1"/>
  <c r="N1651" i="1"/>
  <c r="K1643" i="1"/>
  <c r="O1643" i="1" s="1"/>
  <c r="N1643" i="1"/>
  <c r="K1635" i="1"/>
  <c r="O1635" i="1" s="1"/>
  <c r="N1635" i="1"/>
  <c r="K1627" i="1"/>
  <c r="O1627" i="1" s="1"/>
  <c r="N1627" i="1"/>
  <c r="K1619" i="1"/>
  <c r="O1619" i="1" s="1"/>
  <c r="N1619" i="1"/>
  <c r="K1611" i="1"/>
  <c r="O1611" i="1" s="1"/>
  <c r="N1611" i="1"/>
  <c r="K1603" i="1"/>
  <c r="O1603" i="1" s="1"/>
  <c r="N1603" i="1"/>
  <c r="K14" i="1"/>
  <c r="O14" i="1" s="1"/>
  <c r="N14" i="1"/>
  <c r="K1587" i="1"/>
  <c r="O1587" i="1" s="1"/>
  <c r="N1587" i="1"/>
  <c r="K1579" i="1"/>
  <c r="O1579" i="1" s="1"/>
  <c r="N1579" i="1"/>
  <c r="K1571" i="1"/>
  <c r="O1571" i="1" s="1"/>
  <c r="N1571" i="1"/>
  <c r="K753" i="1"/>
  <c r="O753" i="1" s="1"/>
  <c r="N753" i="1"/>
  <c r="K1555" i="1"/>
  <c r="O1555" i="1" s="1"/>
  <c r="N1555" i="1"/>
  <c r="K1547" i="1"/>
  <c r="O1547" i="1" s="1"/>
  <c r="N1547" i="1"/>
  <c r="K1539" i="1"/>
  <c r="O1539" i="1" s="1"/>
  <c r="N1539" i="1"/>
  <c r="K201" i="1"/>
  <c r="O201" i="1" s="1"/>
  <c r="N201" i="1"/>
  <c r="K1523" i="1"/>
  <c r="O1523" i="1" s="1"/>
  <c r="N1523" i="1"/>
  <c r="K1515" i="1"/>
  <c r="O1515" i="1" s="1"/>
  <c r="N1515" i="1"/>
  <c r="K1507" i="1"/>
  <c r="O1507" i="1" s="1"/>
  <c r="N1507" i="1"/>
  <c r="K1499" i="1"/>
  <c r="O1499" i="1" s="1"/>
  <c r="N1499" i="1"/>
  <c r="K1491" i="1"/>
  <c r="O1491" i="1" s="1"/>
  <c r="N1491" i="1"/>
  <c r="K1483" i="1"/>
  <c r="O1483" i="1" s="1"/>
  <c r="N1483" i="1"/>
  <c r="K237" i="1"/>
  <c r="O237" i="1" s="1"/>
  <c r="N237" i="1"/>
  <c r="K1467" i="1"/>
  <c r="O1467" i="1" s="1"/>
  <c r="N1467" i="1"/>
  <c r="K1459" i="1"/>
  <c r="O1459" i="1" s="1"/>
  <c r="N1459" i="1"/>
  <c r="K1451" i="1"/>
  <c r="O1451" i="1" s="1"/>
  <c r="N1451" i="1"/>
  <c r="K1443" i="1"/>
  <c r="O1443" i="1" s="1"/>
  <c r="N1443" i="1"/>
  <c r="K1435" i="1"/>
  <c r="O1435" i="1" s="1"/>
  <c r="N1435" i="1"/>
  <c r="K1427" i="1"/>
  <c r="O1427" i="1" s="1"/>
  <c r="N1427" i="1"/>
  <c r="K1419" i="1"/>
  <c r="O1419" i="1" s="1"/>
  <c r="N1419" i="1"/>
  <c r="K1411" i="1"/>
  <c r="O1411" i="1" s="1"/>
  <c r="N1411" i="1"/>
  <c r="K1403" i="1"/>
  <c r="O1403" i="1" s="1"/>
  <c r="N1403" i="1"/>
  <c r="K1395" i="1"/>
  <c r="O1395" i="1" s="1"/>
  <c r="N1395" i="1"/>
  <c r="K1387" i="1"/>
  <c r="O1387" i="1" s="1"/>
  <c r="N1387" i="1"/>
  <c r="K1379" i="1"/>
  <c r="O1379" i="1" s="1"/>
  <c r="N1379" i="1"/>
  <c r="K1371" i="1"/>
  <c r="O1371" i="1" s="1"/>
  <c r="N1371" i="1"/>
  <c r="K1363" i="1"/>
  <c r="O1363" i="1" s="1"/>
  <c r="N1363" i="1"/>
  <c r="K1355" i="1"/>
  <c r="O1355" i="1" s="1"/>
  <c r="N1355" i="1"/>
  <c r="K1347" i="1"/>
  <c r="O1347" i="1" s="1"/>
  <c r="N1347" i="1"/>
  <c r="K1339" i="1"/>
  <c r="O1339" i="1" s="1"/>
  <c r="N1339" i="1"/>
  <c r="K1331" i="1"/>
  <c r="O1331" i="1" s="1"/>
  <c r="N1331" i="1"/>
  <c r="K1323" i="1"/>
  <c r="O1323" i="1" s="1"/>
  <c r="N1323" i="1"/>
  <c r="K1315" i="1"/>
  <c r="O1315" i="1" s="1"/>
  <c r="N1315" i="1"/>
  <c r="K1307" i="1"/>
  <c r="O1307" i="1" s="1"/>
  <c r="N1307" i="1"/>
  <c r="K1531" i="1"/>
  <c r="O1531" i="1" s="1"/>
  <c r="N1531" i="1"/>
  <c r="K1291" i="1"/>
  <c r="O1291" i="1" s="1"/>
  <c r="N1291" i="1"/>
  <c r="K1283" i="1"/>
  <c r="O1283" i="1" s="1"/>
  <c r="N1283" i="1"/>
  <c r="K1275" i="1"/>
  <c r="O1275" i="1" s="1"/>
  <c r="N1275" i="1"/>
  <c r="K1267" i="1"/>
  <c r="O1267" i="1" s="1"/>
  <c r="N1267" i="1"/>
  <c r="K1259" i="1"/>
  <c r="O1259" i="1" s="1"/>
  <c r="N1259" i="1"/>
  <c r="K1251" i="1"/>
  <c r="O1251" i="1" s="1"/>
  <c r="N1251" i="1"/>
  <c r="K1243" i="1"/>
  <c r="O1243" i="1" s="1"/>
  <c r="N1243" i="1"/>
  <c r="K239" i="1"/>
  <c r="O239" i="1" s="1"/>
  <c r="N239" i="1"/>
  <c r="K1227" i="1"/>
  <c r="O1227" i="1" s="1"/>
  <c r="N1227" i="1"/>
  <c r="K1219" i="1"/>
  <c r="O1219" i="1" s="1"/>
  <c r="N1219" i="1"/>
  <c r="K1564" i="1"/>
  <c r="O1564" i="1" s="1"/>
  <c r="N1564" i="1"/>
  <c r="K1203" i="1"/>
  <c r="O1203" i="1" s="1"/>
  <c r="N1203" i="1"/>
  <c r="K1195" i="1"/>
  <c r="O1195" i="1" s="1"/>
  <c r="N1195" i="1"/>
  <c r="K1187" i="1"/>
  <c r="O1187" i="1" s="1"/>
  <c r="N1187" i="1"/>
  <c r="K1179" i="1"/>
  <c r="O1179" i="1" s="1"/>
  <c r="N1179" i="1"/>
  <c r="K1171" i="1"/>
  <c r="O1171" i="1" s="1"/>
  <c r="N1171" i="1"/>
  <c r="K1163" i="1"/>
  <c r="O1163" i="1" s="1"/>
  <c r="N1163" i="1"/>
  <c r="K1155" i="1"/>
  <c r="O1155" i="1" s="1"/>
  <c r="N1155" i="1"/>
  <c r="K1147" i="1"/>
  <c r="O1147" i="1" s="1"/>
  <c r="N1147" i="1"/>
  <c r="K1139" i="1"/>
  <c r="O1139" i="1" s="1"/>
  <c r="N1139" i="1"/>
  <c r="K1131" i="1"/>
  <c r="O1131" i="1" s="1"/>
  <c r="N1131" i="1"/>
  <c r="K1123" i="1"/>
  <c r="O1123" i="1" s="1"/>
  <c r="N1123" i="1"/>
  <c r="K1115" i="1"/>
  <c r="O1115" i="1" s="1"/>
  <c r="N1115" i="1"/>
  <c r="K1107" i="1"/>
  <c r="O1107" i="1" s="1"/>
  <c r="N1107" i="1"/>
  <c r="K1099" i="1"/>
  <c r="O1099" i="1" s="1"/>
  <c r="N1099" i="1"/>
  <c r="K1014" i="1"/>
  <c r="O1014" i="1" s="1"/>
  <c r="N1014" i="1"/>
  <c r="K1083" i="1"/>
  <c r="O1083" i="1" s="1"/>
  <c r="N1083" i="1"/>
  <c r="K564" i="1"/>
  <c r="O564" i="1" s="1"/>
  <c r="N564" i="1"/>
  <c r="K1067" i="1"/>
  <c r="O1067" i="1" s="1"/>
  <c r="N1067" i="1"/>
  <c r="K1059" i="1"/>
  <c r="O1059" i="1" s="1"/>
  <c r="N1059" i="1"/>
  <c r="K1051" i="1"/>
  <c r="O1051" i="1" s="1"/>
  <c r="N1051" i="1"/>
  <c r="K1040" i="1"/>
  <c r="O1040" i="1" s="1"/>
  <c r="N1040" i="1"/>
  <c r="K1032" i="1"/>
  <c r="O1032" i="1" s="1"/>
  <c r="N1032" i="1"/>
  <c r="K1024" i="1"/>
  <c r="O1024" i="1" s="1"/>
  <c r="N1024" i="1"/>
  <c r="K90" i="1"/>
  <c r="O90" i="1" s="1"/>
  <c r="K1008" i="1"/>
  <c r="O1008" i="1" s="1"/>
  <c r="N1008" i="1"/>
  <c r="K1000" i="1"/>
  <c r="O1000" i="1" s="1"/>
  <c r="N1000" i="1"/>
  <c r="K992" i="1"/>
  <c r="O992" i="1" s="1"/>
  <c r="N992" i="1"/>
  <c r="K980" i="1"/>
  <c r="O980" i="1" s="1"/>
  <c r="N980" i="1"/>
  <c r="K972" i="1"/>
  <c r="O972" i="1" s="1"/>
  <c r="N972" i="1"/>
  <c r="K964" i="1"/>
  <c r="O964" i="1" s="1"/>
  <c r="N964" i="1"/>
  <c r="K956" i="1"/>
  <c r="O956" i="1" s="1"/>
  <c r="N956" i="1"/>
  <c r="K948" i="1"/>
  <c r="O948" i="1" s="1"/>
  <c r="N948" i="1"/>
  <c r="K940" i="1"/>
  <c r="O940" i="1" s="1"/>
  <c r="N940" i="1"/>
  <c r="K932" i="1"/>
  <c r="O932" i="1" s="1"/>
  <c r="N932" i="1"/>
  <c r="K924" i="1"/>
  <c r="O924" i="1" s="1"/>
  <c r="N924" i="1"/>
  <c r="K916" i="1"/>
  <c r="O916" i="1" s="1"/>
  <c r="N916" i="1"/>
  <c r="K908" i="1"/>
  <c r="O908" i="1" s="1"/>
  <c r="N908" i="1"/>
  <c r="K900" i="1"/>
  <c r="O900" i="1" s="1"/>
  <c r="N900" i="1"/>
  <c r="K892" i="1"/>
  <c r="O892" i="1" s="1"/>
  <c r="N892" i="1"/>
  <c r="K884" i="1"/>
  <c r="O884" i="1" s="1"/>
  <c r="N884" i="1"/>
  <c r="K876" i="1"/>
  <c r="O876" i="1" s="1"/>
  <c r="N876" i="1"/>
  <c r="K868" i="1"/>
  <c r="O868" i="1" s="1"/>
  <c r="N868" i="1"/>
  <c r="K856" i="1"/>
  <c r="O856" i="1" s="1"/>
  <c r="N856" i="1"/>
  <c r="K848" i="1"/>
  <c r="O848" i="1" s="1"/>
  <c r="N848" i="1"/>
  <c r="K1606" i="1"/>
  <c r="O1606" i="1" s="1"/>
  <c r="N1606" i="1"/>
  <c r="K817" i="1"/>
  <c r="O817" i="1" s="1"/>
  <c r="N817" i="1"/>
  <c r="K665" i="1"/>
  <c r="O665" i="1" s="1"/>
  <c r="N665" i="1"/>
  <c r="K942" i="1"/>
  <c r="O942" i="1" s="1"/>
  <c r="N942" i="1"/>
  <c r="K180" i="1"/>
  <c r="O180" i="1" s="1"/>
  <c r="N180" i="1"/>
  <c r="K785" i="1"/>
  <c r="O785" i="1" s="1"/>
  <c r="N785" i="1"/>
  <c r="K777" i="1"/>
  <c r="O777" i="1" s="1"/>
  <c r="N777" i="1"/>
  <c r="K769" i="1"/>
  <c r="O769" i="1" s="1"/>
  <c r="N769" i="1"/>
  <c r="K761" i="1"/>
  <c r="O761" i="1" s="1"/>
  <c r="N761" i="1"/>
  <c r="K926" i="1"/>
  <c r="O926" i="1" s="1"/>
  <c r="N926" i="1"/>
  <c r="K745" i="1"/>
  <c r="O745" i="1" s="1"/>
  <c r="N745" i="1"/>
  <c r="K737" i="1"/>
  <c r="O737" i="1" s="1"/>
  <c r="N737" i="1"/>
  <c r="K726" i="1"/>
  <c r="O726" i="1" s="1"/>
  <c r="N726" i="1"/>
  <c r="K718" i="1"/>
  <c r="O718" i="1" s="1"/>
  <c r="N718" i="1"/>
  <c r="K710" i="1"/>
  <c r="O710" i="1" s="1"/>
  <c r="N710" i="1"/>
  <c r="K702" i="1"/>
  <c r="O702" i="1" s="1"/>
  <c r="N702" i="1"/>
  <c r="K694" i="1"/>
  <c r="O694" i="1" s="1"/>
  <c r="N694" i="1"/>
  <c r="K686" i="1"/>
  <c r="O686" i="1" s="1"/>
  <c r="N686" i="1"/>
  <c r="K678" i="1"/>
  <c r="O678" i="1" s="1"/>
  <c r="N678" i="1"/>
  <c r="K670" i="1"/>
  <c r="O670" i="1" s="1"/>
  <c r="N670" i="1"/>
  <c r="K1702" i="1"/>
  <c r="O1702" i="1" s="1"/>
  <c r="N1702" i="1"/>
  <c r="K654" i="1"/>
  <c r="O654" i="1" s="1"/>
  <c r="N654" i="1"/>
  <c r="K642" i="1"/>
  <c r="O642" i="1" s="1"/>
  <c r="N642" i="1"/>
  <c r="K634" i="1"/>
  <c r="O634" i="1" s="1"/>
  <c r="N634" i="1"/>
  <c r="K626" i="1"/>
  <c r="O626" i="1" s="1"/>
  <c r="N626" i="1"/>
  <c r="K618" i="1"/>
  <c r="O618" i="1" s="1"/>
  <c r="N618" i="1"/>
  <c r="K610" i="1"/>
  <c r="O610" i="1" s="1"/>
  <c r="N610" i="1"/>
  <c r="K602" i="1"/>
  <c r="O602" i="1" s="1"/>
  <c r="N602" i="1"/>
  <c r="K594" i="1"/>
  <c r="O594" i="1" s="1"/>
  <c r="N594" i="1"/>
  <c r="K586" i="1"/>
  <c r="O586" i="1" s="1"/>
  <c r="N586" i="1"/>
  <c r="K578" i="1"/>
  <c r="O578" i="1" s="1"/>
  <c r="N578" i="1"/>
  <c r="K570" i="1"/>
  <c r="O570" i="1" s="1"/>
  <c r="N570" i="1"/>
  <c r="K1074" i="1"/>
  <c r="O1074" i="1" s="1"/>
  <c r="N1074" i="1"/>
  <c r="K554" i="1"/>
  <c r="O554" i="1" s="1"/>
  <c r="N554" i="1"/>
  <c r="K542" i="1"/>
  <c r="O542" i="1" s="1"/>
  <c r="N542" i="1"/>
  <c r="K534" i="1"/>
  <c r="O534" i="1" s="1"/>
  <c r="N534" i="1"/>
  <c r="K526" i="1"/>
  <c r="O526" i="1" s="1"/>
  <c r="N526" i="1"/>
  <c r="K518" i="1"/>
  <c r="O518" i="1" s="1"/>
  <c r="N518" i="1"/>
  <c r="K510" i="1"/>
  <c r="O510" i="1" s="1"/>
  <c r="N510" i="1"/>
  <c r="K502" i="1"/>
  <c r="O502" i="1" s="1"/>
  <c r="N502" i="1"/>
  <c r="K494" i="1"/>
  <c r="O494" i="1" s="1"/>
  <c r="N494" i="1"/>
  <c r="K486" i="1"/>
  <c r="O486" i="1" s="1"/>
  <c r="N486" i="1"/>
  <c r="K478" i="1"/>
  <c r="O478" i="1" s="1"/>
  <c r="N478" i="1"/>
  <c r="K470" i="1"/>
  <c r="O470" i="1" s="1"/>
  <c r="N470" i="1"/>
  <c r="K458" i="1"/>
  <c r="O458" i="1" s="1"/>
  <c r="N458" i="1"/>
  <c r="K450" i="1"/>
  <c r="O450" i="1" s="1"/>
  <c r="N450" i="1"/>
  <c r="K442" i="1"/>
  <c r="O442" i="1" s="1"/>
  <c r="N442" i="1"/>
  <c r="K434" i="1"/>
  <c r="O434" i="1" s="1"/>
  <c r="N434" i="1"/>
  <c r="K565" i="1"/>
  <c r="O565" i="1" s="1"/>
  <c r="N565" i="1"/>
  <c r="K418" i="1"/>
  <c r="O418" i="1" s="1"/>
  <c r="N418" i="1"/>
  <c r="K410" i="1"/>
  <c r="O410" i="1" s="1"/>
  <c r="N410" i="1"/>
  <c r="K402" i="1"/>
  <c r="O402" i="1" s="1"/>
  <c r="N402" i="1"/>
  <c r="K394" i="1"/>
  <c r="O394" i="1" s="1"/>
  <c r="N394" i="1"/>
  <c r="K386" i="1"/>
  <c r="O386" i="1" s="1"/>
  <c r="N386" i="1"/>
  <c r="K378" i="1"/>
  <c r="O378" i="1" s="1"/>
  <c r="N378" i="1"/>
  <c r="K370" i="1"/>
  <c r="O370" i="1" s="1"/>
  <c r="N370" i="1"/>
  <c r="K362" i="1"/>
  <c r="O362" i="1" s="1"/>
  <c r="N362" i="1"/>
  <c r="K354" i="1"/>
  <c r="O354" i="1" s="1"/>
  <c r="N354" i="1"/>
  <c r="K267" i="1"/>
  <c r="O267" i="1" s="1"/>
  <c r="N267" i="1"/>
  <c r="K338" i="1"/>
  <c r="O338" i="1" s="1"/>
  <c r="N338" i="1"/>
  <c r="K330" i="1"/>
  <c r="O330" i="1" s="1"/>
  <c r="N330" i="1"/>
  <c r="K322" i="1"/>
  <c r="O322" i="1" s="1"/>
  <c r="N322" i="1"/>
  <c r="K314" i="1"/>
  <c r="O314" i="1" s="1"/>
  <c r="N314" i="1"/>
  <c r="K306" i="1"/>
  <c r="O306" i="1" s="1"/>
  <c r="N306" i="1"/>
  <c r="K298" i="1"/>
  <c r="O298" i="1" s="1"/>
  <c r="N298" i="1"/>
  <c r="K290" i="1"/>
  <c r="O290" i="1" s="1"/>
  <c r="N290" i="1"/>
  <c r="K282" i="1"/>
  <c r="O282" i="1" s="1"/>
  <c r="N282" i="1"/>
  <c r="K274" i="1"/>
  <c r="O274" i="1" s="1"/>
  <c r="N274" i="1"/>
  <c r="K752" i="1"/>
  <c r="O752" i="1" s="1"/>
  <c r="N752" i="1"/>
  <c r="K258" i="1"/>
  <c r="O258" i="1" s="1"/>
  <c r="N258" i="1"/>
  <c r="K250" i="1"/>
  <c r="O250" i="1" s="1"/>
  <c r="N250" i="1"/>
  <c r="K242" i="1"/>
  <c r="O242" i="1" s="1"/>
  <c r="N242" i="1"/>
  <c r="K234" i="1"/>
  <c r="O234" i="1" s="1"/>
  <c r="N234" i="1"/>
  <c r="K226" i="1"/>
  <c r="O226" i="1" s="1"/>
  <c r="N226" i="1"/>
  <c r="K662" i="1"/>
  <c r="O662" i="1" s="1"/>
  <c r="K1708" i="1"/>
  <c r="O1708" i="1" s="1"/>
  <c r="N1708" i="1"/>
  <c r="K427" i="1"/>
  <c r="O427" i="1" s="1"/>
  <c r="N427" i="1"/>
  <c r="K194" i="1"/>
  <c r="O194" i="1" s="1"/>
  <c r="N194" i="1"/>
  <c r="K186" i="1"/>
  <c r="O186" i="1" s="1"/>
  <c r="N186" i="1"/>
  <c r="K178" i="1"/>
  <c r="O178" i="1" s="1"/>
  <c r="N178" i="1"/>
  <c r="K170" i="1"/>
  <c r="O170" i="1" s="1"/>
  <c r="N170" i="1"/>
  <c r="K162" i="1"/>
  <c r="O162" i="1" s="1"/>
  <c r="N162" i="1"/>
  <c r="K154" i="1"/>
  <c r="O154" i="1" s="1"/>
  <c r="N154" i="1"/>
  <c r="K146" i="1"/>
  <c r="O146" i="1" s="1"/>
  <c r="N146" i="1"/>
  <c r="K138" i="1"/>
  <c r="O138" i="1" s="1"/>
  <c r="N138" i="1"/>
  <c r="K130" i="1"/>
  <c r="O130" i="1" s="1"/>
  <c r="N130" i="1"/>
  <c r="K208" i="1"/>
  <c r="O208" i="1" s="1"/>
  <c r="N208" i="1"/>
  <c r="K114" i="1"/>
  <c r="O114" i="1" s="1"/>
  <c r="N114" i="1"/>
  <c r="K106" i="1"/>
  <c r="O106" i="1" s="1"/>
  <c r="N106" i="1"/>
  <c r="K98" i="1"/>
  <c r="O98" i="1" s="1"/>
  <c r="N98" i="1"/>
  <c r="K1680" i="1"/>
  <c r="O1680" i="1" s="1"/>
  <c r="N1680" i="1"/>
  <c r="K82" i="1"/>
  <c r="O82" i="1" s="1"/>
  <c r="N82" i="1"/>
  <c r="K74" i="1"/>
  <c r="O74" i="1" s="1"/>
  <c r="N74" i="1"/>
  <c r="K66" i="1"/>
  <c r="O66" i="1" s="1"/>
  <c r="N66" i="1"/>
  <c r="K58" i="1"/>
  <c r="O58" i="1" s="1"/>
  <c r="N58" i="1"/>
  <c r="K50" i="1"/>
  <c r="O50" i="1" s="1"/>
  <c r="N50" i="1"/>
  <c r="K42" i="1"/>
  <c r="O42" i="1" s="1"/>
  <c r="N42" i="1"/>
  <c r="K34" i="1"/>
  <c r="O34" i="1" s="1"/>
  <c r="N34" i="1"/>
  <c r="K26" i="1"/>
  <c r="O26" i="1" s="1"/>
  <c r="N26" i="1"/>
  <c r="K19" i="1"/>
  <c r="O19" i="1" s="1"/>
  <c r="N19" i="1"/>
  <c r="K10" i="1"/>
  <c r="O10" i="1" s="1"/>
  <c r="N10" i="1"/>
  <c r="K2" i="1"/>
  <c r="O2" i="1" s="1"/>
  <c r="N2" i="1"/>
  <c r="K982" i="1"/>
  <c r="O982" i="1" s="1"/>
  <c r="N982" i="1"/>
  <c r="K842" i="1"/>
  <c r="O842" i="1" s="1"/>
  <c r="N842" i="1"/>
  <c r="K651" i="1"/>
  <c r="O651" i="1" s="1"/>
  <c r="N651" i="1"/>
  <c r="K463" i="1"/>
  <c r="O463" i="1" s="1"/>
  <c r="N463" i="1"/>
  <c r="K1706" i="1"/>
  <c r="O1706" i="1" s="1"/>
  <c r="N1706" i="1"/>
  <c r="K1698" i="1"/>
  <c r="O1698" i="1" s="1"/>
  <c r="N1698" i="1"/>
  <c r="K1690" i="1"/>
  <c r="O1690" i="1" s="1"/>
  <c r="N1690" i="1"/>
  <c r="K563" i="1"/>
  <c r="O563" i="1" s="1"/>
  <c r="N563" i="1"/>
  <c r="K1674" i="1"/>
  <c r="O1674" i="1" s="1"/>
  <c r="N1674" i="1"/>
  <c r="K1666" i="1"/>
  <c r="O1666" i="1" s="1"/>
  <c r="N1666" i="1"/>
  <c r="K1658" i="1"/>
  <c r="O1658" i="1" s="1"/>
  <c r="N1658" i="1"/>
  <c r="K1650" i="1"/>
  <c r="O1650" i="1" s="1"/>
  <c r="N1650" i="1"/>
  <c r="K1642" i="1"/>
  <c r="O1642" i="1" s="1"/>
  <c r="N1642" i="1"/>
  <c r="K1634" i="1"/>
  <c r="O1634" i="1" s="1"/>
  <c r="N1634" i="1"/>
  <c r="K1626" i="1"/>
  <c r="O1626" i="1" s="1"/>
  <c r="N1626" i="1"/>
  <c r="K1618" i="1"/>
  <c r="O1618" i="1" s="1"/>
  <c r="N1618" i="1"/>
  <c r="K1610" i="1"/>
  <c r="O1610" i="1" s="1"/>
  <c r="N1610" i="1"/>
  <c r="K1602" i="1"/>
  <c r="O1602" i="1" s="1"/>
  <c r="N1602" i="1"/>
  <c r="K16" i="1"/>
  <c r="O16" i="1" s="1"/>
  <c r="N16" i="1"/>
  <c r="K1586" i="1"/>
  <c r="O1586" i="1" s="1"/>
  <c r="N1586" i="1"/>
  <c r="K1578" i="1"/>
  <c r="O1578" i="1" s="1"/>
  <c r="N1578" i="1"/>
  <c r="K1570" i="1"/>
  <c r="O1570" i="1" s="1"/>
  <c r="N1570" i="1"/>
  <c r="K925" i="1"/>
  <c r="O925" i="1" s="1"/>
  <c r="N925" i="1"/>
  <c r="K1554" i="1"/>
  <c r="O1554" i="1" s="1"/>
  <c r="N1554" i="1"/>
  <c r="K1546" i="1"/>
  <c r="O1546" i="1" s="1"/>
  <c r="N1546" i="1"/>
  <c r="K1538" i="1"/>
  <c r="O1538" i="1" s="1"/>
  <c r="N1538" i="1"/>
  <c r="K217" i="1"/>
  <c r="O217" i="1" s="1"/>
  <c r="N217" i="1"/>
  <c r="K1522" i="1"/>
  <c r="O1522" i="1" s="1"/>
  <c r="N1522" i="1"/>
  <c r="K1514" i="1"/>
  <c r="O1514" i="1" s="1"/>
  <c r="N1514" i="1"/>
  <c r="K1506" i="1"/>
  <c r="O1506" i="1" s="1"/>
  <c r="N1506" i="1"/>
  <c r="K1498" i="1"/>
  <c r="O1498" i="1" s="1"/>
  <c r="N1498" i="1"/>
  <c r="K1490" i="1"/>
  <c r="O1490" i="1" s="1"/>
  <c r="N1490" i="1"/>
  <c r="K1482" i="1"/>
  <c r="O1482" i="1" s="1"/>
  <c r="N1482" i="1"/>
  <c r="K265" i="1"/>
  <c r="O265" i="1" s="1"/>
  <c r="N265" i="1"/>
  <c r="K1466" i="1"/>
  <c r="O1466" i="1" s="1"/>
  <c r="N1466" i="1"/>
  <c r="K1458" i="1"/>
  <c r="O1458" i="1" s="1"/>
  <c r="N1458" i="1"/>
  <c r="K1450" i="1"/>
  <c r="O1450" i="1" s="1"/>
  <c r="N1450" i="1"/>
  <c r="K1442" i="1"/>
  <c r="O1442" i="1" s="1"/>
  <c r="N1442" i="1"/>
  <c r="K1434" i="1"/>
  <c r="O1434" i="1" s="1"/>
  <c r="N1434" i="1"/>
  <c r="K1426" i="1"/>
  <c r="O1426" i="1" s="1"/>
  <c r="N1426" i="1"/>
  <c r="K1418" i="1"/>
  <c r="O1418" i="1" s="1"/>
  <c r="N1418" i="1"/>
  <c r="K1410" i="1"/>
  <c r="O1410" i="1" s="1"/>
  <c r="N1410" i="1"/>
  <c r="K1402" i="1"/>
  <c r="O1402" i="1" s="1"/>
  <c r="N1402" i="1"/>
  <c r="K1394" i="1"/>
  <c r="O1394" i="1" s="1"/>
  <c r="N1394" i="1"/>
  <c r="K1386" i="1"/>
  <c r="O1386" i="1" s="1"/>
  <c r="N1386" i="1"/>
  <c r="K1378" i="1"/>
  <c r="O1378" i="1" s="1"/>
  <c r="N1378" i="1"/>
  <c r="K1370" i="1"/>
  <c r="O1370" i="1" s="1"/>
  <c r="N1370" i="1"/>
  <c r="K1362" i="1"/>
  <c r="O1362" i="1" s="1"/>
  <c r="N1362" i="1"/>
  <c r="K1354" i="1"/>
  <c r="O1354" i="1" s="1"/>
  <c r="N1354" i="1"/>
  <c r="K1346" i="1"/>
  <c r="O1346" i="1" s="1"/>
  <c r="N1346" i="1"/>
  <c r="K1338" i="1"/>
  <c r="O1338" i="1" s="1"/>
  <c r="N1338" i="1"/>
  <c r="K1330" i="1"/>
  <c r="O1330" i="1" s="1"/>
  <c r="N1330" i="1"/>
  <c r="K1322" i="1"/>
  <c r="O1322" i="1" s="1"/>
  <c r="N1322" i="1"/>
  <c r="K1314" i="1"/>
  <c r="O1314" i="1" s="1"/>
  <c r="N1314" i="1"/>
  <c r="K1306" i="1"/>
  <c r="O1306" i="1" s="1"/>
  <c r="N1306" i="1"/>
  <c r="K1476" i="1"/>
  <c r="O1476" i="1" s="1"/>
  <c r="N1476" i="1"/>
  <c r="K1290" i="1"/>
  <c r="O1290" i="1" s="1"/>
  <c r="N1290" i="1"/>
  <c r="K1282" i="1"/>
  <c r="O1282" i="1" s="1"/>
  <c r="N1282" i="1"/>
  <c r="K1274" i="1"/>
  <c r="O1274" i="1" s="1"/>
  <c r="N1274" i="1"/>
  <c r="K1266" i="1"/>
  <c r="O1266" i="1" s="1"/>
  <c r="N1266" i="1"/>
  <c r="K1258" i="1"/>
  <c r="O1258" i="1" s="1"/>
  <c r="N1258" i="1"/>
  <c r="K1250" i="1"/>
  <c r="O1250" i="1" s="1"/>
  <c r="N1250" i="1"/>
  <c r="K1242" i="1"/>
  <c r="O1242" i="1" s="1"/>
  <c r="N1242" i="1"/>
  <c r="K221" i="1"/>
  <c r="O221" i="1" s="1"/>
  <c r="N221" i="1"/>
  <c r="K1226" i="1"/>
  <c r="O1226" i="1" s="1"/>
  <c r="N1226" i="1"/>
  <c r="K1218" i="1"/>
  <c r="O1218" i="1" s="1"/>
  <c r="N1218" i="1"/>
  <c r="K1562" i="1"/>
  <c r="O1562" i="1" s="1"/>
  <c r="N1562" i="1"/>
  <c r="K1202" i="1"/>
  <c r="O1202" i="1" s="1"/>
  <c r="N1202" i="1"/>
  <c r="K1194" i="1"/>
  <c r="O1194" i="1" s="1"/>
  <c r="N1194" i="1"/>
  <c r="K1186" i="1"/>
  <c r="O1186" i="1" s="1"/>
  <c r="N1186" i="1"/>
  <c r="K1178" i="1"/>
  <c r="O1178" i="1" s="1"/>
  <c r="N1178" i="1"/>
  <c r="K1170" i="1"/>
  <c r="O1170" i="1" s="1"/>
  <c r="N1170" i="1"/>
  <c r="K1162" i="1"/>
  <c r="O1162" i="1" s="1"/>
  <c r="N1162" i="1"/>
  <c r="K1154" i="1"/>
  <c r="O1154" i="1" s="1"/>
  <c r="N1154" i="1"/>
  <c r="K1146" i="1"/>
  <c r="O1146" i="1" s="1"/>
  <c r="N1146" i="1"/>
  <c r="K1138" i="1"/>
  <c r="O1138" i="1" s="1"/>
  <c r="N1138" i="1"/>
  <c r="K1130" i="1"/>
  <c r="O1130" i="1" s="1"/>
  <c r="N1130" i="1"/>
  <c r="K1122" i="1"/>
  <c r="O1122" i="1" s="1"/>
  <c r="N1122" i="1"/>
  <c r="K1114" i="1"/>
  <c r="O1114" i="1" s="1"/>
  <c r="N1114" i="1"/>
  <c r="K1106" i="1"/>
  <c r="O1106" i="1" s="1"/>
  <c r="N1106" i="1"/>
  <c r="K1098" i="1"/>
  <c r="O1098" i="1" s="1"/>
  <c r="N1098" i="1"/>
  <c r="K834" i="1"/>
  <c r="O834" i="1" s="1"/>
  <c r="N834" i="1"/>
  <c r="K1082" i="1"/>
  <c r="O1082" i="1" s="1"/>
  <c r="N1082" i="1"/>
  <c r="K725" i="1"/>
  <c r="O725" i="1" s="1"/>
  <c r="N725" i="1"/>
  <c r="K1066" i="1"/>
  <c r="O1066" i="1" s="1"/>
  <c r="N1066" i="1"/>
  <c r="K1058" i="1"/>
  <c r="O1058" i="1" s="1"/>
  <c r="N1058" i="1"/>
  <c r="K1050" i="1"/>
  <c r="O1050" i="1" s="1"/>
  <c r="N1050" i="1"/>
  <c r="K1039" i="1"/>
  <c r="O1039" i="1" s="1"/>
  <c r="N1039" i="1"/>
  <c r="K1031" i="1"/>
  <c r="O1031" i="1" s="1"/>
  <c r="N1031" i="1"/>
  <c r="K1023" i="1"/>
  <c r="O1023" i="1" s="1"/>
  <c r="N1023" i="1"/>
  <c r="K22" i="1"/>
  <c r="O22" i="1" s="1"/>
  <c r="K1007" i="1"/>
  <c r="O1007" i="1" s="1"/>
  <c r="N1007" i="1"/>
  <c r="K999" i="1"/>
  <c r="O999" i="1" s="1"/>
  <c r="N999" i="1"/>
  <c r="K991" i="1"/>
  <c r="O991" i="1" s="1"/>
  <c r="N991" i="1"/>
  <c r="K979" i="1"/>
  <c r="O979" i="1" s="1"/>
  <c r="N979" i="1"/>
  <c r="K971" i="1"/>
  <c r="O971" i="1" s="1"/>
  <c r="N971" i="1"/>
  <c r="K963" i="1"/>
  <c r="O963" i="1" s="1"/>
  <c r="N963" i="1"/>
  <c r="K955" i="1"/>
  <c r="O955" i="1" s="1"/>
  <c r="N955" i="1"/>
  <c r="K947" i="1"/>
  <c r="O947" i="1" s="1"/>
  <c r="N947" i="1"/>
  <c r="K939" i="1"/>
  <c r="O939" i="1" s="1"/>
  <c r="N939" i="1"/>
  <c r="K931" i="1"/>
  <c r="O931" i="1" s="1"/>
  <c r="N931" i="1"/>
  <c r="K923" i="1"/>
  <c r="O923" i="1" s="1"/>
  <c r="N923" i="1"/>
  <c r="K915" i="1"/>
  <c r="O915" i="1" s="1"/>
  <c r="N915" i="1"/>
  <c r="K907" i="1"/>
  <c r="O907" i="1" s="1"/>
  <c r="N907" i="1"/>
  <c r="K899" i="1"/>
  <c r="O899" i="1" s="1"/>
  <c r="N899" i="1"/>
  <c r="K891" i="1"/>
  <c r="O891" i="1" s="1"/>
  <c r="N891" i="1"/>
  <c r="K883" i="1"/>
  <c r="O883" i="1" s="1"/>
  <c r="N883" i="1"/>
  <c r="K875" i="1"/>
  <c r="O875" i="1" s="1"/>
  <c r="N875" i="1"/>
  <c r="K867" i="1"/>
  <c r="O867" i="1" s="1"/>
  <c r="N867" i="1"/>
  <c r="K855" i="1"/>
  <c r="O855" i="1" s="1"/>
  <c r="N855" i="1"/>
  <c r="K847" i="1"/>
  <c r="O847" i="1" s="1"/>
  <c r="N847" i="1"/>
  <c r="K1561" i="1"/>
  <c r="O1561" i="1" s="1"/>
  <c r="N1561" i="1"/>
  <c r="K824" i="1"/>
  <c r="O824" i="1" s="1"/>
  <c r="N824" i="1"/>
  <c r="K816" i="1"/>
  <c r="O816" i="1" s="1"/>
  <c r="N816" i="1"/>
  <c r="K808" i="1"/>
  <c r="O808" i="1" s="1"/>
  <c r="N808" i="1"/>
  <c r="K800" i="1"/>
  <c r="O800" i="1" s="1"/>
  <c r="N800" i="1"/>
  <c r="K792" i="1"/>
  <c r="O792" i="1" s="1"/>
  <c r="N792" i="1"/>
  <c r="K210" i="1"/>
  <c r="O210" i="1" s="1"/>
  <c r="K776" i="1"/>
  <c r="O776" i="1" s="1"/>
  <c r="N776" i="1"/>
  <c r="K768" i="1"/>
  <c r="O768" i="1" s="1"/>
  <c r="N768" i="1"/>
  <c r="K760" i="1"/>
  <c r="O760" i="1" s="1"/>
  <c r="N760" i="1"/>
  <c r="K782" i="1"/>
  <c r="O782" i="1" s="1"/>
  <c r="N782" i="1"/>
  <c r="K744" i="1"/>
  <c r="O744" i="1" s="1"/>
  <c r="N744" i="1"/>
  <c r="K736" i="1"/>
  <c r="O736" i="1" s="1"/>
  <c r="N736" i="1"/>
  <c r="K482" i="1"/>
  <c r="O482" i="1" s="1"/>
  <c r="N482" i="1"/>
  <c r="K717" i="1"/>
  <c r="O717" i="1" s="1"/>
  <c r="N717" i="1"/>
  <c r="K709" i="1"/>
  <c r="O709" i="1" s="1"/>
  <c r="N709" i="1"/>
  <c r="K701" i="1"/>
  <c r="O701" i="1" s="1"/>
  <c r="N701" i="1"/>
  <c r="K693" i="1"/>
  <c r="O693" i="1" s="1"/>
  <c r="N693" i="1"/>
  <c r="K685" i="1"/>
  <c r="O685" i="1" s="1"/>
  <c r="N685" i="1"/>
  <c r="K677" i="1"/>
  <c r="O677" i="1" s="1"/>
  <c r="N677" i="1"/>
  <c r="K669" i="1"/>
  <c r="O669" i="1" s="1"/>
  <c r="N669" i="1"/>
  <c r="K661" i="1"/>
  <c r="O661" i="1" s="1"/>
  <c r="N661" i="1"/>
  <c r="K649" i="1"/>
  <c r="O649" i="1" s="1"/>
  <c r="N649" i="1"/>
  <c r="K641" i="1"/>
  <c r="O641" i="1" s="1"/>
  <c r="N641" i="1"/>
  <c r="K633" i="1"/>
  <c r="O633" i="1" s="1"/>
  <c r="N633" i="1"/>
  <c r="K625" i="1"/>
  <c r="O625" i="1" s="1"/>
  <c r="N625" i="1"/>
  <c r="K617" i="1"/>
  <c r="O617" i="1" s="1"/>
  <c r="N617" i="1"/>
  <c r="K609" i="1"/>
  <c r="O609" i="1" s="1"/>
  <c r="N609" i="1"/>
  <c r="K601" i="1"/>
  <c r="O601" i="1" s="1"/>
  <c r="N601" i="1"/>
  <c r="K593" i="1"/>
  <c r="O593" i="1" s="1"/>
  <c r="N593" i="1"/>
  <c r="K585" i="1"/>
  <c r="O585" i="1" s="1"/>
  <c r="N585" i="1"/>
  <c r="K577" i="1"/>
  <c r="O577" i="1" s="1"/>
  <c r="N577" i="1"/>
  <c r="K569" i="1"/>
  <c r="O569" i="1" s="1"/>
  <c r="N569" i="1"/>
  <c r="K561" i="1"/>
  <c r="O561" i="1" s="1"/>
  <c r="N561" i="1"/>
  <c r="K549" i="1"/>
  <c r="O549" i="1" s="1"/>
  <c r="N549" i="1"/>
  <c r="K541" i="1"/>
  <c r="O541" i="1" s="1"/>
  <c r="N541" i="1"/>
  <c r="K533" i="1"/>
  <c r="O533" i="1" s="1"/>
  <c r="N533" i="1"/>
  <c r="K525" i="1"/>
  <c r="O525" i="1" s="1"/>
  <c r="N525" i="1"/>
  <c r="K517" i="1"/>
  <c r="O517" i="1" s="1"/>
  <c r="N517" i="1"/>
  <c r="K509" i="1"/>
  <c r="O509" i="1" s="1"/>
  <c r="N509" i="1"/>
  <c r="K501" i="1"/>
  <c r="O501" i="1" s="1"/>
  <c r="N501" i="1"/>
  <c r="K493" i="1"/>
  <c r="O493" i="1" s="1"/>
  <c r="N493" i="1"/>
  <c r="K222" i="1"/>
  <c r="O222" i="1" s="1"/>
  <c r="N222" i="1"/>
  <c r="K477" i="1"/>
  <c r="O477" i="1" s="1"/>
  <c r="N477" i="1"/>
  <c r="K469" i="1"/>
  <c r="O469" i="1" s="1"/>
  <c r="N469" i="1"/>
  <c r="K457" i="1"/>
  <c r="O457" i="1" s="1"/>
  <c r="N457" i="1"/>
  <c r="K449" i="1"/>
  <c r="O449" i="1" s="1"/>
  <c r="N449" i="1"/>
  <c r="K441" i="1"/>
  <c r="O441" i="1" s="1"/>
  <c r="N441" i="1"/>
  <c r="K433" i="1"/>
  <c r="O433" i="1" s="1"/>
  <c r="N433" i="1"/>
  <c r="K425" i="1"/>
  <c r="O425" i="1" s="1"/>
  <c r="N425" i="1"/>
  <c r="K417" i="1"/>
  <c r="O417" i="1" s="1"/>
  <c r="N417" i="1"/>
  <c r="K409" i="1"/>
  <c r="O409" i="1" s="1"/>
  <c r="N409" i="1"/>
  <c r="K401" i="1"/>
  <c r="O401" i="1" s="1"/>
  <c r="N401" i="1"/>
  <c r="K393" i="1"/>
  <c r="O393" i="1" s="1"/>
  <c r="N393" i="1"/>
  <c r="K385" i="1"/>
  <c r="O385" i="1" s="1"/>
  <c r="N385" i="1"/>
  <c r="K377" i="1"/>
  <c r="O377" i="1" s="1"/>
  <c r="N377" i="1"/>
  <c r="K369" i="1"/>
  <c r="O369" i="1" s="1"/>
  <c r="N369" i="1"/>
  <c r="K361" i="1"/>
  <c r="O361" i="1" s="1"/>
  <c r="N361" i="1"/>
  <c r="K353" i="1"/>
  <c r="O353" i="1" s="1"/>
  <c r="N353" i="1"/>
  <c r="K781" i="1"/>
  <c r="O781" i="1" s="1"/>
  <c r="N781" i="1"/>
  <c r="K337" i="1"/>
  <c r="O337" i="1" s="1"/>
  <c r="N337" i="1"/>
  <c r="K329" i="1"/>
  <c r="O329" i="1" s="1"/>
  <c r="N329" i="1"/>
  <c r="K321" i="1"/>
  <c r="O321" i="1" s="1"/>
  <c r="N321" i="1"/>
  <c r="K313" i="1"/>
  <c r="O313" i="1" s="1"/>
  <c r="N313" i="1"/>
  <c r="K305" i="1"/>
  <c r="O305" i="1" s="1"/>
  <c r="N305" i="1"/>
  <c r="K297" i="1"/>
  <c r="O297" i="1" s="1"/>
  <c r="N297" i="1"/>
  <c r="K289" i="1"/>
  <c r="O289" i="1" s="1"/>
  <c r="N289" i="1"/>
  <c r="K281" i="1"/>
  <c r="O281" i="1" s="1"/>
  <c r="N281" i="1"/>
  <c r="K273" i="1"/>
  <c r="O273" i="1" s="1"/>
  <c r="N273" i="1"/>
  <c r="K1076" i="1"/>
  <c r="O1076" i="1" s="1"/>
  <c r="N1076" i="1"/>
  <c r="K257" i="1"/>
  <c r="O257" i="1" s="1"/>
  <c r="N257" i="1"/>
  <c r="K249" i="1"/>
  <c r="O249" i="1" s="1"/>
  <c r="N249" i="1"/>
  <c r="K241" i="1"/>
  <c r="O241" i="1" s="1"/>
  <c r="N241" i="1"/>
  <c r="K233" i="1"/>
  <c r="O233" i="1" s="1"/>
  <c r="N233" i="1"/>
  <c r="K225" i="1"/>
  <c r="O225" i="1" s="1"/>
  <c r="N225" i="1"/>
  <c r="K809" i="1"/>
  <c r="O809" i="1" s="1"/>
  <c r="K1701" i="1"/>
  <c r="O1701" i="1" s="1"/>
  <c r="N1701" i="1"/>
  <c r="K811" i="1"/>
  <c r="O811" i="1" s="1"/>
  <c r="N811" i="1"/>
  <c r="K193" i="1"/>
  <c r="O193" i="1" s="1"/>
  <c r="N193" i="1"/>
  <c r="K185" i="1"/>
  <c r="O185" i="1" s="1"/>
  <c r="N185" i="1"/>
  <c r="K177" i="1"/>
  <c r="O177" i="1" s="1"/>
  <c r="N177" i="1"/>
  <c r="K169" i="1"/>
  <c r="O169" i="1" s="1"/>
  <c r="N169" i="1"/>
  <c r="K161" i="1"/>
  <c r="O161" i="1" s="1"/>
  <c r="N161" i="1"/>
  <c r="K153" i="1"/>
  <c r="O153" i="1" s="1"/>
  <c r="N153" i="1"/>
  <c r="K145" i="1"/>
  <c r="O145" i="1" s="1"/>
  <c r="N145" i="1"/>
  <c r="K137" i="1"/>
  <c r="O137" i="1" s="1"/>
  <c r="N137" i="1"/>
  <c r="K129" i="1"/>
  <c r="O129" i="1" s="1"/>
  <c r="N129" i="1"/>
  <c r="K121" i="1"/>
  <c r="O121" i="1" s="1"/>
  <c r="N121" i="1"/>
  <c r="K113" i="1"/>
  <c r="O113" i="1" s="1"/>
  <c r="N113" i="1"/>
  <c r="K1703" i="1"/>
  <c r="O1703" i="1" s="1"/>
  <c r="N1703" i="1"/>
  <c r="K97" i="1"/>
  <c r="O97" i="1" s="1"/>
  <c r="N97" i="1"/>
  <c r="K89" i="1"/>
  <c r="O89" i="1" s="1"/>
  <c r="N89" i="1"/>
  <c r="K81" i="1"/>
  <c r="O81" i="1" s="1"/>
  <c r="N81" i="1"/>
  <c r="K73" i="1"/>
  <c r="O73" i="1" s="1"/>
  <c r="N73" i="1"/>
  <c r="K65" i="1"/>
  <c r="O65" i="1" s="1"/>
  <c r="N65" i="1"/>
  <c r="K57" i="1"/>
  <c r="O57" i="1" s="1"/>
  <c r="N57" i="1"/>
  <c r="K49" i="1"/>
  <c r="O49" i="1" s="1"/>
  <c r="N49" i="1"/>
  <c r="K41" i="1"/>
  <c r="O41" i="1" s="1"/>
  <c r="N41" i="1"/>
  <c r="K33" i="1"/>
  <c r="O33" i="1" s="1"/>
  <c r="N33" i="1"/>
  <c r="K327" i="1"/>
  <c r="O327" i="1" s="1"/>
  <c r="N327" i="1"/>
  <c r="K1605" i="1"/>
  <c r="O1605" i="1" s="1"/>
  <c r="N1605" i="1"/>
  <c r="K9" i="1"/>
  <c r="O9" i="1" s="1"/>
  <c r="N9" i="1"/>
  <c r="K981" i="1"/>
  <c r="O981" i="1" s="1"/>
  <c r="N981" i="1"/>
  <c r="K841" i="1"/>
  <c r="O841" i="1" s="1"/>
  <c r="N841" i="1"/>
  <c r="K650" i="1"/>
  <c r="O650" i="1" s="1"/>
  <c r="N650" i="1"/>
  <c r="K1705" i="1"/>
  <c r="O1705" i="1" s="1"/>
  <c r="N1705" i="1"/>
  <c r="K1697" i="1"/>
  <c r="O1697" i="1" s="1"/>
  <c r="N1697" i="1"/>
  <c r="K1689" i="1"/>
  <c r="O1689" i="1" s="1"/>
  <c r="N1689" i="1"/>
  <c r="K428" i="1"/>
  <c r="O428" i="1" s="1"/>
  <c r="N428" i="1"/>
  <c r="K1673" i="1"/>
  <c r="O1673" i="1" s="1"/>
  <c r="N1673" i="1"/>
  <c r="K1665" i="1"/>
  <c r="O1665" i="1" s="1"/>
  <c r="N1665" i="1"/>
  <c r="K1657" i="1"/>
  <c r="O1657" i="1" s="1"/>
  <c r="N1657" i="1"/>
  <c r="K1649" i="1"/>
  <c r="O1649" i="1" s="1"/>
  <c r="N1649" i="1"/>
  <c r="K1641" i="1"/>
  <c r="O1641" i="1" s="1"/>
  <c r="N1641" i="1"/>
  <c r="K1633" i="1"/>
  <c r="O1633" i="1" s="1"/>
  <c r="N1633" i="1"/>
  <c r="K1625" i="1"/>
  <c r="O1625" i="1" s="1"/>
  <c r="N1625" i="1"/>
  <c r="K1617" i="1"/>
  <c r="O1617" i="1" s="1"/>
  <c r="N1617" i="1"/>
  <c r="K1609" i="1"/>
  <c r="O1609" i="1" s="1"/>
  <c r="N1609" i="1"/>
  <c r="K1601" i="1"/>
  <c r="O1601" i="1" s="1"/>
  <c r="N1601" i="1"/>
  <c r="K105" i="1"/>
  <c r="O105" i="1" s="1"/>
  <c r="N105" i="1"/>
  <c r="K1585" i="1"/>
  <c r="O1585" i="1" s="1"/>
  <c r="N1585" i="1"/>
  <c r="K1577" i="1"/>
  <c r="O1577" i="1" s="1"/>
  <c r="N1577" i="1"/>
  <c r="K1569" i="1"/>
  <c r="O1569" i="1" s="1"/>
  <c r="N1569" i="1"/>
  <c r="K944" i="1"/>
  <c r="O944" i="1" s="1"/>
  <c r="N944" i="1"/>
  <c r="K1553" i="1"/>
  <c r="O1553" i="1" s="1"/>
  <c r="N1553" i="1"/>
  <c r="K1545" i="1"/>
  <c r="O1545" i="1" s="1"/>
  <c r="N1545" i="1"/>
  <c r="K1537" i="1"/>
  <c r="O1537" i="1" s="1"/>
  <c r="N1537" i="1"/>
  <c r="K216" i="1"/>
  <c r="O216" i="1" s="1"/>
  <c r="N216" i="1"/>
  <c r="K1521" i="1"/>
  <c r="O1521" i="1" s="1"/>
  <c r="N1521" i="1"/>
  <c r="K1513" i="1"/>
  <c r="O1513" i="1" s="1"/>
  <c r="N1513" i="1"/>
  <c r="K1505" i="1"/>
  <c r="O1505" i="1" s="1"/>
  <c r="N1505" i="1"/>
  <c r="K1497" i="1"/>
  <c r="O1497" i="1" s="1"/>
  <c r="N1497" i="1"/>
  <c r="K1489" i="1"/>
  <c r="O1489" i="1" s="1"/>
  <c r="N1489" i="1"/>
  <c r="K1481" i="1"/>
  <c r="O1481" i="1" s="1"/>
  <c r="N1481" i="1"/>
  <c r="K260" i="1"/>
  <c r="O260" i="1" s="1"/>
  <c r="N260" i="1"/>
  <c r="K1465" i="1"/>
  <c r="O1465" i="1" s="1"/>
  <c r="N1465" i="1"/>
  <c r="K1457" i="1"/>
  <c r="O1457" i="1" s="1"/>
  <c r="N1457" i="1"/>
  <c r="K1449" i="1"/>
  <c r="O1449" i="1" s="1"/>
  <c r="N1449" i="1"/>
  <c r="K1441" i="1"/>
  <c r="O1441" i="1" s="1"/>
  <c r="N1441" i="1"/>
  <c r="K1433" i="1"/>
  <c r="O1433" i="1" s="1"/>
  <c r="N1433" i="1"/>
  <c r="K1425" i="1"/>
  <c r="O1425" i="1" s="1"/>
  <c r="N1425" i="1"/>
  <c r="K1417" i="1"/>
  <c r="O1417" i="1" s="1"/>
  <c r="N1417" i="1"/>
  <c r="K1409" i="1"/>
  <c r="O1409" i="1" s="1"/>
  <c r="N1409" i="1"/>
  <c r="K1401" i="1"/>
  <c r="O1401" i="1" s="1"/>
  <c r="N1401" i="1"/>
  <c r="K1393" i="1"/>
  <c r="O1393" i="1" s="1"/>
  <c r="N1393" i="1"/>
  <c r="K1385" i="1"/>
  <c r="O1385" i="1" s="1"/>
  <c r="N1385" i="1"/>
  <c r="K1377" i="1"/>
  <c r="O1377" i="1" s="1"/>
  <c r="N1377" i="1"/>
  <c r="K1369" i="1"/>
  <c r="O1369" i="1" s="1"/>
  <c r="N1369" i="1"/>
  <c r="K1361" i="1"/>
  <c r="O1361" i="1" s="1"/>
  <c r="N1361" i="1"/>
  <c r="K1353" i="1"/>
  <c r="O1353" i="1" s="1"/>
  <c r="N1353" i="1"/>
  <c r="K1345" i="1"/>
  <c r="O1345" i="1" s="1"/>
  <c r="N1345" i="1"/>
  <c r="K1337" i="1"/>
  <c r="O1337" i="1" s="1"/>
  <c r="N1337" i="1"/>
  <c r="K1329" i="1"/>
  <c r="O1329" i="1" s="1"/>
  <c r="N1329" i="1"/>
  <c r="K1321" i="1"/>
  <c r="O1321" i="1" s="1"/>
  <c r="N1321" i="1"/>
  <c r="K1313" i="1"/>
  <c r="O1313" i="1" s="1"/>
  <c r="N1313" i="1"/>
  <c r="K1305" i="1"/>
  <c r="O1305" i="1" s="1"/>
  <c r="N1305" i="1"/>
  <c r="K1607" i="1"/>
  <c r="O1607" i="1" s="1"/>
  <c r="N1607" i="1"/>
  <c r="K1289" i="1"/>
  <c r="O1289" i="1" s="1"/>
  <c r="N1289" i="1"/>
  <c r="K1281" i="1"/>
  <c r="O1281" i="1" s="1"/>
  <c r="N1281" i="1"/>
  <c r="K1273" i="1"/>
  <c r="O1273" i="1" s="1"/>
  <c r="N1273" i="1"/>
  <c r="K1265" i="1"/>
  <c r="O1265" i="1" s="1"/>
  <c r="N1265" i="1"/>
  <c r="K1257" i="1"/>
  <c r="O1257" i="1" s="1"/>
  <c r="N1257" i="1"/>
  <c r="K1249" i="1"/>
  <c r="O1249" i="1" s="1"/>
  <c r="N1249" i="1"/>
  <c r="K1241" i="1"/>
  <c r="O1241" i="1" s="1"/>
  <c r="N1241" i="1"/>
  <c r="K1233" i="1"/>
  <c r="O1233" i="1" s="1"/>
  <c r="N1233" i="1"/>
  <c r="K1225" i="1"/>
  <c r="O1225" i="1" s="1"/>
  <c r="N1225" i="1"/>
  <c r="K1217" i="1"/>
  <c r="O1217" i="1" s="1"/>
  <c r="N1217" i="1"/>
  <c r="K1209" i="1"/>
  <c r="O1209" i="1" s="1"/>
  <c r="N1209" i="1"/>
  <c r="K1199" i="1"/>
  <c r="O1199" i="1" s="1"/>
  <c r="N1199" i="1"/>
  <c r="K1193" i="1"/>
  <c r="O1193" i="1" s="1"/>
  <c r="N1193" i="1"/>
  <c r="K1185" i="1"/>
  <c r="O1185" i="1" s="1"/>
  <c r="N1185" i="1"/>
  <c r="K1177" i="1"/>
  <c r="O1177" i="1" s="1"/>
  <c r="N1177" i="1"/>
  <c r="K1169" i="1"/>
  <c r="O1169" i="1" s="1"/>
  <c r="N1169" i="1"/>
  <c r="K1161" i="1"/>
  <c r="O1161" i="1" s="1"/>
  <c r="N1161" i="1"/>
  <c r="K1153" i="1"/>
  <c r="O1153" i="1" s="1"/>
  <c r="N1153" i="1"/>
  <c r="K1145" i="1"/>
  <c r="O1145" i="1" s="1"/>
  <c r="N1145" i="1"/>
  <c r="K1137" i="1"/>
  <c r="O1137" i="1" s="1"/>
  <c r="N1137" i="1"/>
  <c r="K1129" i="1"/>
  <c r="O1129" i="1" s="1"/>
  <c r="N1129" i="1"/>
  <c r="K1121" i="1"/>
  <c r="O1121" i="1" s="1"/>
  <c r="N1121" i="1"/>
  <c r="K1113" i="1"/>
  <c r="O1113" i="1" s="1"/>
  <c r="N1113" i="1"/>
  <c r="K1105" i="1"/>
  <c r="O1105" i="1" s="1"/>
  <c r="N1105" i="1"/>
  <c r="K1097" i="1"/>
  <c r="O1097" i="1" s="1"/>
  <c r="N1097" i="1"/>
  <c r="K803" i="1"/>
  <c r="O803" i="1" s="1"/>
  <c r="N803" i="1"/>
  <c r="K1081" i="1"/>
  <c r="O1081" i="1" s="1"/>
  <c r="N1081" i="1"/>
  <c r="K1013" i="1"/>
  <c r="O1013" i="1" s="1"/>
  <c r="N1013" i="1"/>
  <c r="K1065" i="1"/>
  <c r="O1065" i="1" s="1"/>
  <c r="N1065" i="1"/>
  <c r="K1057" i="1"/>
  <c r="O1057" i="1" s="1"/>
  <c r="N1057" i="1"/>
  <c r="K1049" i="1"/>
  <c r="O1049" i="1" s="1"/>
  <c r="N1049" i="1"/>
  <c r="K1038" i="1"/>
  <c r="O1038" i="1" s="1"/>
  <c r="N1038" i="1"/>
  <c r="K1030" i="1"/>
  <c r="O1030" i="1" s="1"/>
  <c r="N1030" i="1"/>
  <c r="K1022" i="1"/>
  <c r="O1022" i="1" s="1"/>
  <c r="N1022" i="1"/>
  <c r="K23" i="1"/>
  <c r="O23" i="1" s="1"/>
  <c r="K1006" i="1"/>
  <c r="O1006" i="1" s="1"/>
  <c r="N1006" i="1"/>
  <c r="K998" i="1"/>
  <c r="O998" i="1" s="1"/>
  <c r="N998" i="1"/>
  <c r="K990" i="1"/>
  <c r="O990" i="1" s="1"/>
  <c r="N990" i="1"/>
  <c r="K978" i="1"/>
  <c r="O978" i="1" s="1"/>
  <c r="N978" i="1"/>
  <c r="K970" i="1"/>
  <c r="O970" i="1" s="1"/>
  <c r="N970" i="1"/>
  <c r="K962" i="1"/>
  <c r="O962" i="1" s="1"/>
  <c r="N962" i="1"/>
  <c r="K954" i="1"/>
  <c r="O954" i="1" s="1"/>
  <c r="N954" i="1"/>
  <c r="K946" i="1"/>
  <c r="O946" i="1" s="1"/>
  <c r="N946" i="1"/>
  <c r="K938" i="1"/>
  <c r="O938" i="1" s="1"/>
  <c r="N938" i="1"/>
  <c r="K930" i="1"/>
  <c r="O930" i="1" s="1"/>
  <c r="N930" i="1"/>
  <c r="K922" i="1"/>
  <c r="O922" i="1" s="1"/>
  <c r="N922" i="1"/>
  <c r="K914" i="1"/>
  <c r="O914" i="1" s="1"/>
  <c r="N914" i="1"/>
  <c r="K906" i="1"/>
  <c r="O906" i="1" s="1"/>
  <c r="N906" i="1"/>
  <c r="K898" i="1"/>
  <c r="O898" i="1" s="1"/>
  <c r="N898" i="1"/>
  <c r="K890" i="1"/>
  <c r="O890" i="1" s="1"/>
  <c r="N890" i="1"/>
  <c r="K882" i="1"/>
  <c r="O882" i="1" s="1"/>
  <c r="N882" i="1"/>
  <c r="K874" i="1"/>
  <c r="O874" i="1" s="1"/>
  <c r="N874" i="1"/>
  <c r="K866" i="1"/>
  <c r="O866" i="1" s="1"/>
  <c r="N866" i="1"/>
  <c r="K854" i="1"/>
  <c r="O854" i="1" s="1"/>
  <c r="N854" i="1"/>
  <c r="K846" i="1"/>
  <c r="O846" i="1" s="1"/>
  <c r="N846" i="1"/>
  <c r="K1211" i="1"/>
  <c r="O1211" i="1" s="1"/>
  <c r="N1211" i="1"/>
  <c r="K823" i="1"/>
  <c r="O823" i="1" s="1"/>
  <c r="N823" i="1"/>
  <c r="K815" i="1"/>
  <c r="O815" i="1" s="1"/>
  <c r="N815" i="1"/>
  <c r="K807" i="1"/>
  <c r="O807" i="1" s="1"/>
  <c r="N807" i="1"/>
  <c r="K799" i="1"/>
  <c r="O799" i="1" s="1"/>
  <c r="N799" i="1"/>
  <c r="K791" i="1"/>
  <c r="O791" i="1" s="1"/>
  <c r="N791" i="1"/>
  <c r="K199" i="1"/>
  <c r="O199" i="1" s="1"/>
  <c r="K775" i="1"/>
  <c r="O775" i="1" s="1"/>
  <c r="N775" i="1"/>
  <c r="K767" i="1"/>
  <c r="O767" i="1" s="1"/>
  <c r="N767" i="1"/>
  <c r="K759" i="1"/>
  <c r="O759" i="1" s="1"/>
  <c r="N759" i="1"/>
  <c r="K294" i="1"/>
  <c r="O294" i="1" s="1"/>
  <c r="N294" i="1"/>
  <c r="K743" i="1"/>
  <c r="O743" i="1" s="1"/>
  <c r="N743" i="1"/>
  <c r="K735" i="1"/>
  <c r="O735" i="1" s="1"/>
  <c r="N735" i="1"/>
  <c r="K484" i="1"/>
  <c r="O484" i="1" s="1"/>
  <c r="N484" i="1"/>
  <c r="K716" i="1"/>
  <c r="O716" i="1" s="1"/>
  <c r="N716" i="1"/>
  <c r="K708" i="1"/>
  <c r="O708" i="1" s="1"/>
  <c r="N708" i="1"/>
  <c r="K700" i="1"/>
  <c r="O700" i="1" s="1"/>
  <c r="N700" i="1"/>
  <c r="K692" i="1"/>
  <c r="O692" i="1" s="1"/>
  <c r="N692" i="1"/>
  <c r="K684" i="1"/>
  <c r="O684" i="1" s="1"/>
  <c r="N684" i="1"/>
  <c r="K676" i="1"/>
  <c r="O676" i="1" s="1"/>
  <c r="N676" i="1"/>
  <c r="K668" i="1"/>
  <c r="O668" i="1" s="1"/>
  <c r="N668" i="1"/>
  <c r="K660" i="1"/>
  <c r="O660" i="1" s="1"/>
  <c r="N660" i="1"/>
  <c r="K648" i="1"/>
  <c r="O648" i="1" s="1"/>
  <c r="N648" i="1"/>
  <c r="K640" i="1"/>
  <c r="O640" i="1" s="1"/>
  <c r="N640" i="1"/>
  <c r="K632" i="1"/>
  <c r="O632" i="1" s="1"/>
  <c r="N632" i="1"/>
  <c r="K624" i="1"/>
  <c r="O624" i="1" s="1"/>
  <c r="N624" i="1"/>
  <c r="K616" i="1"/>
  <c r="O616" i="1" s="1"/>
  <c r="N616" i="1"/>
  <c r="K608" i="1"/>
  <c r="O608" i="1" s="1"/>
  <c r="N608" i="1"/>
  <c r="K600" i="1"/>
  <c r="O600" i="1" s="1"/>
  <c r="N600" i="1"/>
  <c r="K592" i="1"/>
  <c r="O592" i="1" s="1"/>
  <c r="N592" i="1"/>
  <c r="K584" i="1"/>
  <c r="O584" i="1" s="1"/>
  <c r="N584" i="1"/>
  <c r="K576" i="1"/>
  <c r="O576" i="1" s="1"/>
  <c r="N576" i="1"/>
  <c r="K568" i="1"/>
  <c r="O568" i="1" s="1"/>
  <c r="N568" i="1"/>
  <c r="K560" i="1"/>
  <c r="O560" i="1" s="1"/>
  <c r="N560" i="1"/>
  <c r="K548" i="1"/>
  <c r="O548" i="1" s="1"/>
  <c r="N548" i="1"/>
  <c r="K540" i="1"/>
  <c r="O540" i="1" s="1"/>
  <c r="N540" i="1"/>
  <c r="K532" i="1"/>
  <c r="O532" i="1" s="1"/>
  <c r="N532" i="1"/>
  <c r="K524" i="1"/>
  <c r="O524" i="1" s="1"/>
  <c r="N524" i="1"/>
  <c r="K516" i="1"/>
  <c r="O516" i="1" s="1"/>
  <c r="N516" i="1"/>
  <c r="K508" i="1"/>
  <c r="O508" i="1" s="1"/>
  <c r="N508" i="1"/>
  <c r="K500" i="1"/>
  <c r="O500" i="1" s="1"/>
  <c r="N500" i="1"/>
  <c r="K492" i="1"/>
  <c r="O492" i="1" s="1"/>
  <c r="N492" i="1"/>
  <c r="K344" i="1"/>
  <c r="O344" i="1" s="1"/>
  <c r="N344" i="1"/>
  <c r="K476" i="1"/>
  <c r="O476" i="1" s="1"/>
  <c r="N476" i="1"/>
  <c r="K468" i="1"/>
  <c r="O468" i="1" s="1"/>
  <c r="N468" i="1"/>
  <c r="K456" i="1"/>
  <c r="O456" i="1" s="1"/>
  <c r="N456" i="1"/>
  <c r="K448" i="1"/>
  <c r="O448" i="1" s="1"/>
  <c r="N448" i="1"/>
  <c r="K440" i="1"/>
  <c r="O440" i="1" s="1"/>
  <c r="N440" i="1"/>
  <c r="K432" i="1"/>
  <c r="O432" i="1" s="1"/>
  <c r="N432" i="1"/>
  <c r="K424" i="1"/>
  <c r="O424" i="1" s="1"/>
  <c r="N424" i="1"/>
  <c r="K416" i="1"/>
  <c r="O416" i="1" s="1"/>
  <c r="N416" i="1"/>
  <c r="K408" i="1"/>
  <c r="O408" i="1" s="1"/>
  <c r="N408" i="1"/>
  <c r="K400" i="1"/>
  <c r="O400" i="1" s="1"/>
  <c r="N400" i="1"/>
  <c r="K392" i="1"/>
  <c r="O392" i="1" s="1"/>
  <c r="N392" i="1"/>
  <c r="K384" i="1"/>
  <c r="O384" i="1" s="1"/>
  <c r="N384" i="1"/>
  <c r="K376" i="1"/>
  <c r="O376" i="1" s="1"/>
  <c r="N376" i="1"/>
  <c r="K368" i="1"/>
  <c r="O368" i="1" s="1"/>
  <c r="N368" i="1"/>
  <c r="K360" i="1"/>
  <c r="O360" i="1" s="1"/>
  <c r="N360" i="1"/>
  <c r="K352" i="1"/>
  <c r="O352" i="1" s="1"/>
  <c r="N352" i="1"/>
  <c r="K943" i="1"/>
  <c r="O943" i="1" s="1"/>
  <c r="N943" i="1"/>
  <c r="K336" i="1"/>
  <c r="O336" i="1" s="1"/>
  <c r="N336" i="1"/>
  <c r="K328" i="1"/>
  <c r="O328" i="1" s="1"/>
  <c r="N328" i="1"/>
  <c r="K320" i="1"/>
  <c r="O320" i="1" s="1"/>
  <c r="N320" i="1"/>
  <c r="K312" i="1"/>
  <c r="O312" i="1" s="1"/>
  <c r="N312" i="1"/>
  <c r="K304" i="1"/>
  <c r="O304" i="1" s="1"/>
  <c r="N304" i="1"/>
  <c r="K296" i="1"/>
  <c r="O296" i="1" s="1"/>
  <c r="N296" i="1"/>
  <c r="K288" i="1"/>
  <c r="O288" i="1" s="1"/>
  <c r="N288" i="1"/>
  <c r="K280" i="1"/>
  <c r="O280" i="1" s="1"/>
  <c r="N280" i="1"/>
  <c r="K272" i="1"/>
  <c r="O272" i="1" s="1"/>
  <c r="N272" i="1"/>
  <c r="K927" i="1"/>
  <c r="O927" i="1" s="1"/>
  <c r="N927" i="1"/>
  <c r="K256" i="1"/>
  <c r="O256" i="1" s="1"/>
  <c r="N256" i="1"/>
  <c r="K248" i="1"/>
  <c r="O248" i="1" s="1"/>
  <c r="N248" i="1"/>
  <c r="K240" i="1"/>
  <c r="O240" i="1" s="1"/>
  <c r="N240" i="1"/>
  <c r="K232" i="1"/>
  <c r="O232" i="1" s="1"/>
  <c r="N232" i="1"/>
  <c r="K224" i="1"/>
  <c r="O224" i="1" s="1"/>
  <c r="N224" i="1"/>
  <c r="K1090" i="1"/>
  <c r="O1090" i="1" s="1"/>
  <c r="K1608" i="1"/>
  <c r="O1608" i="1" s="1"/>
  <c r="N1608" i="1"/>
  <c r="K562" i="1"/>
  <c r="O562" i="1" s="1"/>
  <c r="N562" i="1"/>
  <c r="K192" i="1"/>
  <c r="O192" i="1" s="1"/>
  <c r="N192" i="1"/>
  <c r="K184" i="1"/>
  <c r="O184" i="1" s="1"/>
  <c r="N184" i="1"/>
  <c r="K176" i="1"/>
  <c r="O176" i="1" s="1"/>
  <c r="N176" i="1"/>
  <c r="K168" i="1"/>
  <c r="O168" i="1" s="1"/>
  <c r="N168" i="1"/>
  <c r="K160" i="1"/>
  <c r="O160" i="1" s="1"/>
  <c r="N160" i="1"/>
  <c r="K152" i="1"/>
  <c r="O152" i="1" s="1"/>
  <c r="N152" i="1"/>
  <c r="K144" i="1"/>
  <c r="O144" i="1" s="1"/>
  <c r="N144" i="1"/>
  <c r="K136" i="1"/>
  <c r="O136" i="1" s="1"/>
  <c r="N136" i="1"/>
  <c r="K128" i="1"/>
  <c r="O128" i="1" s="1"/>
  <c r="N128" i="1"/>
  <c r="K120" i="1"/>
  <c r="O120" i="1" s="1"/>
  <c r="N120" i="1"/>
  <c r="K112" i="1"/>
  <c r="O112" i="1" s="1"/>
  <c r="N112" i="1"/>
  <c r="K1682" i="1"/>
  <c r="O1682" i="1" s="1"/>
  <c r="N1682" i="1"/>
  <c r="K96" i="1"/>
  <c r="O96" i="1" s="1"/>
  <c r="N96" i="1"/>
  <c r="K88" i="1"/>
  <c r="O88" i="1" s="1"/>
  <c r="N88" i="1"/>
  <c r="K80" i="1"/>
  <c r="O80" i="1" s="1"/>
  <c r="N80" i="1"/>
  <c r="K72" i="1"/>
  <c r="O72" i="1" s="1"/>
  <c r="N72" i="1"/>
  <c r="K64" i="1"/>
  <c r="O64" i="1" s="1"/>
  <c r="N64" i="1"/>
  <c r="K56" i="1"/>
  <c r="O56" i="1" s="1"/>
  <c r="N56" i="1"/>
  <c r="K48" i="1"/>
  <c r="O48" i="1" s="1"/>
  <c r="N48" i="1"/>
  <c r="K40" i="1"/>
  <c r="O40" i="1" s="1"/>
  <c r="N40" i="1"/>
  <c r="K32" i="1"/>
  <c r="O32" i="1" s="1"/>
  <c r="N32" i="1"/>
  <c r="K262" i="1"/>
  <c r="O262" i="1" s="1"/>
  <c r="N262" i="1"/>
  <c r="K804" i="1"/>
  <c r="O804" i="1" s="1"/>
  <c r="N804" i="1"/>
  <c r="K8" i="1"/>
  <c r="O8" i="1" s="1"/>
  <c r="N8" i="1"/>
  <c r="K1048" i="1"/>
  <c r="O1048" i="1" s="1"/>
  <c r="N1048" i="1"/>
  <c r="K860" i="1"/>
  <c r="O860" i="1" s="1"/>
  <c r="N860" i="1"/>
  <c r="K733" i="1"/>
  <c r="O733" i="1" s="1"/>
  <c r="N733" i="1"/>
  <c r="K553" i="1"/>
  <c r="O553" i="1" s="1"/>
  <c r="N553" i="1"/>
  <c r="K828" i="1"/>
  <c r="O828" i="1" s="1"/>
  <c r="N828" i="1"/>
  <c r="K1704" i="1"/>
  <c r="O1704" i="1" s="1"/>
  <c r="N1704" i="1"/>
  <c r="K1696" i="1"/>
  <c r="O1696" i="1" s="1"/>
  <c r="N1696" i="1"/>
  <c r="K1688" i="1"/>
  <c r="O1688" i="1" s="1"/>
  <c r="N1688" i="1"/>
  <c r="K295" i="1"/>
  <c r="O295" i="1" s="1"/>
  <c r="N295" i="1"/>
  <c r="K1672" i="1"/>
  <c r="O1672" i="1" s="1"/>
  <c r="N1672" i="1"/>
  <c r="K1664" i="1"/>
  <c r="O1664" i="1" s="1"/>
  <c r="N1664" i="1"/>
  <c r="K1656" i="1"/>
  <c r="O1656" i="1" s="1"/>
  <c r="N1656" i="1"/>
  <c r="K1648" i="1"/>
  <c r="O1648" i="1" s="1"/>
  <c r="N1648" i="1"/>
  <c r="K1640" i="1"/>
  <c r="O1640" i="1" s="1"/>
  <c r="N1640" i="1"/>
  <c r="K1632" i="1"/>
  <c r="O1632" i="1" s="1"/>
  <c r="N1632" i="1"/>
  <c r="K1624" i="1"/>
  <c r="O1624" i="1" s="1"/>
  <c r="N1624" i="1"/>
  <c r="K1616" i="1"/>
  <c r="O1616" i="1" s="1"/>
  <c r="N1616" i="1"/>
  <c r="K1422" i="1"/>
  <c r="O1422" i="1" s="1"/>
  <c r="K1600" i="1"/>
  <c r="O1600" i="1" s="1"/>
  <c r="N1600" i="1"/>
  <c r="K1592" i="1"/>
  <c r="O1592" i="1" s="1"/>
  <c r="N1592" i="1"/>
  <c r="K1584" i="1"/>
  <c r="O1584" i="1" s="1"/>
  <c r="N1584" i="1"/>
  <c r="K1576" i="1"/>
  <c r="O1576" i="1" s="1"/>
  <c r="N1576" i="1"/>
  <c r="K1568" i="1"/>
  <c r="O1568" i="1" s="1"/>
  <c r="N1568" i="1"/>
  <c r="K1560" i="1"/>
  <c r="O1560" i="1" s="1"/>
  <c r="N1560" i="1"/>
  <c r="K1552" i="1"/>
  <c r="O1552" i="1" s="1"/>
  <c r="N1552" i="1"/>
  <c r="K1544" i="1"/>
  <c r="O1544" i="1" s="1"/>
  <c r="N1544" i="1"/>
  <c r="K1536" i="1"/>
  <c r="O1536" i="1" s="1"/>
  <c r="N1536" i="1"/>
  <c r="K1528" i="1"/>
  <c r="O1528" i="1" s="1"/>
  <c r="N1528" i="1"/>
  <c r="K1520" i="1"/>
  <c r="O1520" i="1" s="1"/>
  <c r="N1520" i="1"/>
  <c r="K1512" i="1"/>
  <c r="O1512" i="1" s="1"/>
  <c r="N1512" i="1"/>
  <c r="K1504" i="1"/>
  <c r="O1504" i="1" s="1"/>
  <c r="N1504" i="1"/>
  <c r="K1496" i="1"/>
  <c r="O1496" i="1" s="1"/>
  <c r="N1496" i="1"/>
  <c r="K1488" i="1"/>
  <c r="O1488" i="1" s="1"/>
  <c r="N1488" i="1"/>
  <c r="K1480" i="1"/>
  <c r="O1480" i="1" s="1"/>
  <c r="N1480" i="1"/>
  <c r="K1472" i="1"/>
  <c r="O1472" i="1" s="1"/>
  <c r="N1472" i="1"/>
  <c r="K1464" i="1"/>
  <c r="O1464" i="1" s="1"/>
  <c r="N1464" i="1"/>
  <c r="K1456" i="1"/>
  <c r="O1456" i="1" s="1"/>
  <c r="N1456" i="1"/>
  <c r="K1448" i="1"/>
  <c r="O1448" i="1" s="1"/>
  <c r="N1448" i="1"/>
  <c r="K1440" i="1"/>
  <c r="O1440" i="1" s="1"/>
  <c r="N1440" i="1"/>
  <c r="K1432" i="1"/>
  <c r="O1432" i="1" s="1"/>
  <c r="N1432" i="1"/>
  <c r="K833" i="1"/>
  <c r="O833" i="1" s="1"/>
  <c r="N833" i="1"/>
  <c r="K1416" i="1"/>
  <c r="O1416" i="1" s="1"/>
  <c r="N1416" i="1"/>
  <c r="K1408" i="1"/>
  <c r="O1408" i="1" s="1"/>
  <c r="N1408" i="1"/>
  <c r="K1400" i="1"/>
  <c r="O1400" i="1" s="1"/>
  <c r="N1400" i="1"/>
  <c r="K1392" i="1"/>
  <c r="O1392" i="1" s="1"/>
  <c r="N1392" i="1"/>
  <c r="K1384" i="1"/>
  <c r="O1384" i="1" s="1"/>
  <c r="N1384" i="1"/>
  <c r="K1376" i="1"/>
  <c r="O1376" i="1" s="1"/>
  <c r="N1376" i="1"/>
  <c r="K1368" i="1"/>
  <c r="O1368" i="1" s="1"/>
  <c r="N1368" i="1"/>
  <c r="K1360" i="1"/>
  <c r="O1360" i="1" s="1"/>
  <c r="N1360" i="1"/>
  <c r="K1352" i="1"/>
  <c r="O1352" i="1" s="1"/>
  <c r="N1352" i="1"/>
  <c r="K1344" i="1"/>
  <c r="O1344" i="1" s="1"/>
  <c r="N1344" i="1"/>
  <c r="K1336" i="1"/>
  <c r="O1336" i="1" s="1"/>
  <c r="N1336" i="1"/>
  <c r="K1328" i="1"/>
  <c r="O1328" i="1" s="1"/>
  <c r="N1328" i="1"/>
  <c r="K1320" i="1"/>
  <c r="O1320" i="1" s="1"/>
  <c r="N1320" i="1"/>
  <c r="K1312" i="1"/>
  <c r="O1312" i="1" s="1"/>
  <c r="N1312" i="1"/>
  <c r="K1304" i="1"/>
  <c r="O1304" i="1" s="1"/>
  <c r="N1304" i="1"/>
  <c r="K1296" i="1"/>
  <c r="O1296" i="1" s="1"/>
  <c r="N1296" i="1"/>
  <c r="K1288" i="1"/>
  <c r="O1288" i="1" s="1"/>
  <c r="N1288" i="1"/>
  <c r="K1280" i="1"/>
  <c r="O1280" i="1" s="1"/>
  <c r="N1280" i="1"/>
  <c r="K1272" i="1"/>
  <c r="O1272" i="1" s="1"/>
  <c r="N1272" i="1"/>
  <c r="K1264" i="1"/>
  <c r="O1264" i="1" s="1"/>
  <c r="N1264" i="1"/>
  <c r="K1256" i="1"/>
  <c r="O1256" i="1" s="1"/>
  <c r="N1256" i="1"/>
  <c r="K1248" i="1"/>
  <c r="O1248" i="1" s="1"/>
  <c r="N1248" i="1"/>
  <c r="K1240" i="1"/>
  <c r="O1240" i="1" s="1"/>
  <c r="N1240" i="1"/>
  <c r="K1232" i="1"/>
  <c r="O1232" i="1" s="1"/>
  <c r="N1232" i="1"/>
  <c r="K1224" i="1"/>
  <c r="O1224" i="1" s="1"/>
  <c r="N1224" i="1"/>
  <c r="K1216" i="1"/>
  <c r="O1216" i="1" s="1"/>
  <c r="N1216" i="1"/>
  <c r="K1208" i="1"/>
  <c r="O1208" i="1" s="1"/>
  <c r="N1208" i="1"/>
  <c r="K1236" i="1"/>
  <c r="O1236" i="1" s="1"/>
  <c r="N1236" i="1"/>
  <c r="K1192" i="1"/>
  <c r="O1192" i="1" s="1"/>
  <c r="N1192" i="1"/>
  <c r="K1184" i="1"/>
  <c r="O1184" i="1" s="1"/>
  <c r="N1184" i="1"/>
  <c r="K1176" i="1"/>
  <c r="O1176" i="1" s="1"/>
  <c r="N1176" i="1"/>
  <c r="K1168" i="1"/>
  <c r="O1168" i="1" s="1"/>
  <c r="N1168" i="1"/>
  <c r="K1160" i="1"/>
  <c r="O1160" i="1" s="1"/>
  <c r="N1160" i="1"/>
  <c r="K1152" i="1"/>
  <c r="O1152" i="1" s="1"/>
  <c r="N1152" i="1"/>
  <c r="K1144" i="1"/>
  <c r="O1144" i="1" s="1"/>
  <c r="N1144" i="1"/>
  <c r="K1136" i="1"/>
  <c r="O1136" i="1" s="1"/>
  <c r="N1136" i="1"/>
  <c r="K1128" i="1"/>
  <c r="O1128" i="1" s="1"/>
  <c r="N1128" i="1"/>
  <c r="K1120" i="1"/>
  <c r="O1120" i="1" s="1"/>
  <c r="N1120" i="1"/>
  <c r="K1112" i="1"/>
  <c r="O1112" i="1" s="1"/>
  <c r="N1112" i="1"/>
  <c r="K1104" i="1"/>
  <c r="O1104" i="1" s="1"/>
  <c r="N1104" i="1"/>
  <c r="K1096" i="1"/>
  <c r="O1096" i="1" s="1"/>
  <c r="N1096" i="1"/>
  <c r="K1088" i="1"/>
  <c r="O1088" i="1" s="1"/>
  <c r="N1088" i="1"/>
  <c r="K1080" i="1"/>
  <c r="O1080" i="1" s="1"/>
  <c r="N1080" i="1"/>
  <c r="K1072" i="1"/>
  <c r="O1072" i="1" s="1"/>
  <c r="N1072" i="1"/>
  <c r="K1064" i="1"/>
  <c r="O1064" i="1" s="1"/>
  <c r="N1064" i="1"/>
  <c r="K1056" i="1"/>
  <c r="O1056" i="1" s="1"/>
  <c r="N1056" i="1"/>
  <c r="K1037" i="1"/>
  <c r="O1037" i="1" s="1"/>
  <c r="N1037" i="1"/>
  <c r="K1029" i="1"/>
  <c r="O1029" i="1" s="1"/>
  <c r="N1029" i="1"/>
  <c r="K1021" i="1"/>
  <c r="O1021" i="1" s="1"/>
  <c r="N1021" i="1"/>
  <c r="K25" i="1"/>
  <c r="O25" i="1" s="1"/>
  <c r="K1005" i="1"/>
  <c r="O1005" i="1" s="1"/>
  <c r="N1005" i="1"/>
  <c r="K997" i="1"/>
  <c r="O997" i="1" s="1"/>
  <c r="N997" i="1"/>
  <c r="K989" i="1"/>
  <c r="O989" i="1" s="1"/>
  <c r="N989" i="1"/>
  <c r="K977" i="1"/>
  <c r="O977" i="1" s="1"/>
  <c r="N977" i="1"/>
  <c r="K969" i="1"/>
  <c r="O969" i="1" s="1"/>
  <c r="N969" i="1"/>
  <c r="K961" i="1"/>
  <c r="O961" i="1" s="1"/>
  <c r="N961" i="1"/>
  <c r="K953" i="1"/>
  <c r="O953" i="1" s="1"/>
  <c r="N953" i="1"/>
  <c r="K945" i="1"/>
  <c r="O945" i="1" s="1"/>
  <c r="N945" i="1"/>
  <c r="K937" i="1"/>
  <c r="O937" i="1" s="1"/>
  <c r="N937" i="1"/>
  <c r="K929" i="1"/>
  <c r="O929" i="1" s="1"/>
  <c r="N929" i="1"/>
  <c r="K921" i="1"/>
  <c r="O921" i="1" s="1"/>
  <c r="N921" i="1"/>
  <c r="K913" i="1"/>
  <c r="O913" i="1" s="1"/>
  <c r="N913" i="1"/>
  <c r="K905" i="1"/>
  <c r="O905" i="1" s="1"/>
  <c r="N905" i="1"/>
  <c r="K897" i="1"/>
  <c r="O897" i="1" s="1"/>
  <c r="N897" i="1"/>
  <c r="K889" i="1"/>
  <c r="O889" i="1" s="1"/>
  <c r="N889" i="1"/>
  <c r="K881" i="1"/>
  <c r="O881" i="1" s="1"/>
  <c r="N881" i="1"/>
  <c r="K873" i="1"/>
  <c r="O873" i="1" s="1"/>
  <c r="N873" i="1"/>
  <c r="K865" i="1"/>
  <c r="O865" i="1" s="1"/>
  <c r="N865" i="1"/>
  <c r="K853" i="1"/>
  <c r="O853" i="1" s="1"/>
  <c r="N853" i="1"/>
  <c r="K845" i="1"/>
  <c r="O845" i="1" s="1"/>
  <c r="N845" i="1"/>
  <c r="K1681" i="1"/>
  <c r="O1681" i="1" s="1"/>
  <c r="N1681" i="1"/>
  <c r="K822" i="1"/>
  <c r="O822" i="1" s="1"/>
  <c r="N822" i="1"/>
  <c r="K814" i="1"/>
  <c r="O814" i="1" s="1"/>
  <c r="N814" i="1"/>
  <c r="K806" i="1"/>
  <c r="O806" i="1" s="1"/>
  <c r="N806" i="1"/>
  <c r="K798" i="1"/>
  <c r="O798" i="1" s="1"/>
  <c r="N798" i="1"/>
  <c r="K790" i="1"/>
  <c r="O790" i="1" s="1"/>
  <c r="N790" i="1"/>
  <c r="K202" i="1"/>
  <c r="O202" i="1" s="1"/>
  <c r="K774" i="1"/>
  <c r="O774" i="1" s="1"/>
  <c r="N774" i="1"/>
  <c r="K766" i="1"/>
  <c r="O766" i="1" s="1"/>
  <c r="N766" i="1"/>
  <c r="K758" i="1"/>
  <c r="O758" i="1" s="1"/>
  <c r="N758" i="1"/>
  <c r="K211" i="1"/>
  <c r="O211" i="1" s="1"/>
  <c r="N211" i="1"/>
  <c r="K742" i="1"/>
  <c r="O742" i="1" s="1"/>
  <c r="N742" i="1"/>
  <c r="K734" i="1"/>
  <c r="O734" i="1" s="1"/>
  <c r="N734" i="1"/>
  <c r="K326" i="1"/>
  <c r="O326" i="1" s="1"/>
  <c r="N326" i="1"/>
  <c r="K715" i="1"/>
  <c r="O715" i="1" s="1"/>
  <c r="N715" i="1"/>
  <c r="K707" i="1"/>
  <c r="O707" i="1" s="1"/>
  <c r="N707" i="1"/>
  <c r="K699" i="1"/>
  <c r="O699" i="1" s="1"/>
  <c r="N699" i="1"/>
  <c r="K691" i="1"/>
  <c r="O691" i="1" s="1"/>
  <c r="N691" i="1"/>
  <c r="K683" i="1"/>
  <c r="O683" i="1" s="1"/>
  <c r="N683" i="1"/>
  <c r="K675" i="1"/>
  <c r="O675" i="1" s="1"/>
  <c r="N675" i="1"/>
  <c r="K667" i="1"/>
  <c r="O667" i="1" s="1"/>
  <c r="N667" i="1"/>
  <c r="K659" i="1"/>
  <c r="O659" i="1" s="1"/>
  <c r="N659" i="1"/>
  <c r="K647" i="1"/>
  <c r="O647" i="1" s="1"/>
  <c r="N647" i="1"/>
  <c r="K639" i="1"/>
  <c r="O639" i="1" s="1"/>
  <c r="N639" i="1"/>
  <c r="K631" i="1"/>
  <c r="O631" i="1" s="1"/>
  <c r="N631" i="1"/>
  <c r="K623" i="1"/>
  <c r="O623" i="1" s="1"/>
  <c r="N623" i="1"/>
  <c r="K615" i="1"/>
  <c r="O615" i="1" s="1"/>
  <c r="N615" i="1"/>
  <c r="K607" i="1"/>
  <c r="O607" i="1" s="1"/>
  <c r="N607" i="1"/>
  <c r="K599" i="1"/>
  <c r="O599" i="1" s="1"/>
  <c r="N599" i="1"/>
  <c r="K591" i="1"/>
  <c r="O591" i="1" s="1"/>
  <c r="N591" i="1"/>
  <c r="K583" i="1"/>
  <c r="O583" i="1" s="1"/>
  <c r="N583" i="1"/>
  <c r="K575" i="1"/>
  <c r="O575" i="1" s="1"/>
  <c r="N575" i="1"/>
  <c r="K567" i="1"/>
  <c r="O567" i="1" s="1"/>
  <c r="N567" i="1"/>
  <c r="K559" i="1"/>
  <c r="O559" i="1" s="1"/>
  <c r="N559" i="1"/>
  <c r="K547" i="1"/>
  <c r="O547" i="1" s="1"/>
  <c r="N547" i="1"/>
  <c r="K539" i="1"/>
  <c r="O539" i="1" s="1"/>
  <c r="N539" i="1"/>
  <c r="K531" i="1"/>
  <c r="O531" i="1" s="1"/>
  <c r="N531" i="1"/>
  <c r="K523" i="1"/>
  <c r="O523" i="1" s="1"/>
  <c r="N523" i="1"/>
  <c r="K515" i="1"/>
  <c r="O515" i="1" s="1"/>
  <c r="N515" i="1"/>
  <c r="K507" i="1"/>
  <c r="O507" i="1" s="1"/>
  <c r="N507" i="1"/>
  <c r="K499" i="1"/>
  <c r="O499" i="1" s="1"/>
  <c r="N499" i="1"/>
  <c r="K491" i="1"/>
  <c r="O491" i="1" s="1"/>
  <c r="N491" i="1"/>
  <c r="K266" i="1"/>
  <c r="O266" i="1" s="1"/>
  <c r="N266" i="1"/>
  <c r="K475" i="1"/>
  <c r="O475" i="1" s="1"/>
  <c r="N475" i="1"/>
  <c r="K467" i="1"/>
  <c r="O467" i="1" s="1"/>
  <c r="N467" i="1"/>
  <c r="K455" i="1"/>
  <c r="O455" i="1" s="1"/>
  <c r="N455" i="1"/>
  <c r="K447" i="1"/>
  <c r="O447" i="1" s="1"/>
  <c r="N447" i="1"/>
  <c r="K439" i="1"/>
  <c r="O439" i="1" s="1"/>
  <c r="N439" i="1"/>
  <c r="K431" i="1"/>
  <c r="O431" i="1" s="1"/>
  <c r="N431" i="1"/>
  <c r="K423" i="1"/>
  <c r="O423" i="1" s="1"/>
  <c r="N423" i="1"/>
  <c r="K415" i="1"/>
  <c r="O415" i="1" s="1"/>
  <c r="N415" i="1"/>
  <c r="K407" i="1"/>
  <c r="O407" i="1" s="1"/>
  <c r="N407" i="1"/>
  <c r="K399" i="1"/>
  <c r="O399" i="1" s="1"/>
  <c r="N399" i="1"/>
  <c r="K391" i="1"/>
  <c r="O391" i="1" s="1"/>
  <c r="N391" i="1"/>
  <c r="K383" i="1"/>
  <c r="O383" i="1" s="1"/>
  <c r="N383" i="1"/>
  <c r="K375" i="1"/>
  <c r="O375" i="1" s="1"/>
  <c r="N375" i="1"/>
  <c r="K367" i="1"/>
  <c r="O367" i="1" s="1"/>
  <c r="N367" i="1"/>
  <c r="K359" i="1"/>
  <c r="O359" i="1" s="1"/>
  <c r="N359" i="1"/>
  <c r="K351" i="1"/>
  <c r="O351" i="1" s="1"/>
  <c r="N351" i="1"/>
  <c r="K343" i="1"/>
  <c r="O343" i="1" s="1"/>
  <c r="N343" i="1"/>
  <c r="K335" i="1"/>
  <c r="O335" i="1" s="1"/>
  <c r="N335" i="1"/>
  <c r="K104" i="1"/>
  <c r="O104" i="1" s="1"/>
  <c r="N104" i="1"/>
  <c r="K319" i="1"/>
  <c r="O319" i="1" s="1"/>
  <c r="N319" i="1"/>
  <c r="K311" i="1"/>
  <c r="O311" i="1" s="1"/>
  <c r="N311" i="1"/>
  <c r="K303" i="1"/>
  <c r="O303" i="1" s="1"/>
  <c r="N303" i="1"/>
  <c r="K219" i="1"/>
  <c r="O219" i="1" s="1"/>
  <c r="N219" i="1"/>
  <c r="K287" i="1"/>
  <c r="O287" i="1" s="1"/>
  <c r="N287" i="1"/>
  <c r="K279" i="1"/>
  <c r="O279" i="1" s="1"/>
  <c r="N279" i="1"/>
  <c r="K271" i="1"/>
  <c r="O271" i="1" s="1"/>
  <c r="N271" i="1"/>
  <c r="K1473" i="1"/>
  <c r="O1473" i="1" s="1"/>
  <c r="N1473" i="1"/>
  <c r="K255" i="1"/>
  <c r="O255" i="1" s="1"/>
  <c r="N255" i="1"/>
  <c r="K247" i="1"/>
  <c r="O247" i="1" s="1"/>
  <c r="N247" i="1"/>
  <c r="K91" i="1"/>
  <c r="O91" i="1" s="1"/>
  <c r="K231" i="1"/>
  <c r="O231" i="1" s="1"/>
  <c r="N231" i="1"/>
  <c r="K261" i="1"/>
  <c r="O261" i="1" s="1"/>
  <c r="N261" i="1"/>
  <c r="K215" i="1"/>
  <c r="O215" i="1" s="1"/>
  <c r="N215" i="1"/>
  <c r="K207" i="1"/>
  <c r="O207" i="1" s="1"/>
  <c r="N207" i="1"/>
  <c r="K1210" i="1"/>
  <c r="O1210" i="1" s="1"/>
  <c r="N1210" i="1"/>
  <c r="K191" i="1"/>
  <c r="O191" i="1" s="1"/>
  <c r="N191" i="1"/>
  <c r="K124" i="1"/>
  <c r="O124" i="1" s="1"/>
  <c r="N124" i="1"/>
  <c r="K175" i="1"/>
  <c r="O175" i="1" s="1"/>
  <c r="N175" i="1"/>
  <c r="K167" i="1"/>
  <c r="O167" i="1" s="1"/>
  <c r="N167" i="1"/>
  <c r="K159" i="1"/>
  <c r="O159" i="1" s="1"/>
  <c r="N159" i="1"/>
  <c r="K151" i="1"/>
  <c r="O151" i="1" s="1"/>
  <c r="N151" i="1"/>
  <c r="K143" i="1"/>
  <c r="O143" i="1" s="1"/>
  <c r="N143" i="1"/>
  <c r="K135" i="1"/>
  <c r="O135" i="1" s="1"/>
  <c r="N135" i="1"/>
  <c r="K127" i="1"/>
  <c r="O127" i="1" s="1"/>
  <c r="N127" i="1"/>
  <c r="K119" i="1"/>
  <c r="O119" i="1" s="1"/>
  <c r="N119" i="1"/>
  <c r="K111" i="1"/>
  <c r="O111" i="1" s="1"/>
  <c r="N111" i="1"/>
  <c r="K1532" i="1"/>
  <c r="O1532" i="1" s="1"/>
  <c r="N1532" i="1"/>
  <c r="K95" i="1"/>
  <c r="O95" i="1" s="1"/>
  <c r="N95" i="1"/>
  <c r="K87" i="1"/>
  <c r="O87" i="1" s="1"/>
  <c r="N87" i="1"/>
  <c r="K79" i="1"/>
  <c r="O79" i="1" s="1"/>
  <c r="N79" i="1"/>
  <c r="K71" i="1"/>
  <c r="O71" i="1" s="1"/>
  <c r="N71" i="1"/>
  <c r="K63" i="1"/>
  <c r="O63" i="1" s="1"/>
  <c r="N63" i="1"/>
  <c r="K55" i="1"/>
  <c r="O55" i="1" s="1"/>
  <c r="N55" i="1"/>
  <c r="K47" i="1"/>
  <c r="O47" i="1" s="1"/>
  <c r="N47" i="1"/>
  <c r="K39" i="1"/>
  <c r="O39" i="1" s="1"/>
  <c r="N39" i="1"/>
  <c r="K31" i="1"/>
  <c r="O31" i="1" s="1"/>
  <c r="N31" i="1"/>
  <c r="K236" i="1"/>
  <c r="O236" i="1" s="1"/>
  <c r="N236" i="1"/>
  <c r="K1593" i="1"/>
  <c r="O1593" i="1" s="1"/>
  <c r="N1593" i="1"/>
  <c r="K7" i="1"/>
  <c r="O7" i="1" s="1"/>
  <c r="N7" i="1"/>
  <c r="K1047" i="1"/>
  <c r="O1047" i="1" s="1"/>
  <c r="N1047" i="1"/>
  <c r="K859" i="1"/>
  <c r="O859" i="1" s="1"/>
  <c r="N859" i="1"/>
  <c r="K732" i="1"/>
  <c r="O732" i="1" s="1"/>
  <c r="N732" i="1"/>
  <c r="K552" i="1"/>
  <c r="O552" i="1" s="1"/>
  <c r="N552" i="1"/>
  <c r="K827" i="1"/>
  <c r="O827" i="1" s="1"/>
  <c r="N827" i="1"/>
  <c r="K1474" i="1"/>
  <c r="O1474" i="1" s="1"/>
  <c r="N1474" i="1"/>
  <c r="K1016" i="1"/>
  <c r="O1016" i="1" s="1"/>
  <c r="N1016" i="1"/>
  <c r="K1695" i="1"/>
  <c r="O1695" i="1" s="1"/>
  <c r="N1695" i="1"/>
  <c r="K1687" i="1"/>
  <c r="O1687" i="1" s="1"/>
  <c r="N1687" i="1"/>
  <c r="K1679" i="1"/>
  <c r="O1679" i="1" s="1"/>
  <c r="N1679" i="1"/>
  <c r="K1671" i="1"/>
  <c r="O1671" i="1" s="1"/>
  <c r="N1671" i="1"/>
  <c r="K1663" i="1"/>
  <c r="O1663" i="1" s="1"/>
  <c r="N1663" i="1"/>
  <c r="K1655" i="1"/>
  <c r="O1655" i="1" s="1"/>
  <c r="N1655" i="1"/>
  <c r="K1647" i="1"/>
  <c r="O1647" i="1" s="1"/>
  <c r="N1647" i="1"/>
  <c r="K1639" i="1"/>
  <c r="O1639" i="1" s="1"/>
  <c r="N1639" i="1"/>
  <c r="K1631" i="1"/>
  <c r="O1631" i="1" s="1"/>
  <c r="N1631" i="1"/>
  <c r="K1623" i="1"/>
  <c r="O1623" i="1" s="1"/>
  <c r="N1623" i="1"/>
  <c r="K1615" i="1"/>
  <c r="O1615" i="1" s="1"/>
  <c r="N1615" i="1"/>
  <c r="K1235" i="1"/>
  <c r="O1235" i="1" s="1"/>
  <c r="K1599" i="1"/>
  <c r="O1599" i="1" s="1"/>
  <c r="N1599" i="1"/>
  <c r="K1591" i="1"/>
  <c r="O1591" i="1" s="1"/>
  <c r="N1591" i="1"/>
  <c r="K1583" i="1"/>
  <c r="O1583" i="1" s="1"/>
  <c r="N1583" i="1"/>
  <c r="K1575" i="1"/>
  <c r="O1575" i="1" s="1"/>
  <c r="N1575" i="1"/>
  <c r="K1567" i="1"/>
  <c r="O1567" i="1" s="1"/>
  <c r="N1567" i="1"/>
  <c r="K1559" i="1"/>
  <c r="O1559" i="1" s="1"/>
  <c r="N1559" i="1"/>
  <c r="K1551" i="1"/>
  <c r="O1551" i="1" s="1"/>
  <c r="N1551" i="1"/>
  <c r="K1543" i="1"/>
  <c r="O1543" i="1" s="1"/>
  <c r="N1543" i="1"/>
  <c r="K1535" i="1"/>
  <c r="O1535" i="1" s="1"/>
  <c r="N1535" i="1"/>
  <c r="K1527" i="1"/>
  <c r="O1527" i="1" s="1"/>
  <c r="N1527" i="1"/>
  <c r="K1519" i="1"/>
  <c r="O1519" i="1" s="1"/>
  <c r="N1519" i="1"/>
  <c r="K1511" i="1"/>
  <c r="O1511" i="1" s="1"/>
  <c r="N1511" i="1"/>
  <c r="K1503" i="1"/>
  <c r="O1503" i="1" s="1"/>
  <c r="N1503" i="1"/>
  <c r="K1495" i="1"/>
  <c r="O1495" i="1" s="1"/>
  <c r="N1495" i="1"/>
  <c r="K1487" i="1"/>
  <c r="O1487" i="1" s="1"/>
  <c r="N1487" i="1"/>
  <c r="K1479" i="1"/>
  <c r="O1479" i="1" s="1"/>
  <c r="N1479" i="1"/>
  <c r="K1471" i="1"/>
  <c r="O1471" i="1" s="1"/>
  <c r="N1471" i="1"/>
  <c r="K1463" i="1"/>
  <c r="O1463" i="1" s="1"/>
  <c r="N1463" i="1"/>
  <c r="K1455" i="1"/>
  <c r="O1455" i="1" s="1"/>
  <c r="N1455" i="1"/>
  <c r="K1447" i="1"/>
  <c r="O1447" i="1" s="1"/>
  <c r="N1447" i="1"/>
  <c r="K1439" i="1"/>
  <c r="O1439" i="1" s="1"/>
  <c r="N1439" i="1"/>
  <c r="K1431" i="1"/>
  <c r="O1431" i="1" s="1"/>
  <c r="N1431" i="1"/>
  <c r="K802" i="1"/>
  <c r="O802" i="1" s="1"/>
  <c r="N802" i="1"/>
  <c r="K1415" i="1"/>
  <c r="O1415" i="1" s="1"/>
  <c r="N1415" i="1"/>
  <c r="K1407" i="1"/>
  <c r="O1407" i="1" s="1"/>
  <c r="N1407" i="1"/>
  <c r="K1399" i="1"/>
  <c r="O1399" i="1" s="1"/>
  <c r="N1399" i="1"/>
  <c r="K1391" i="1"/>
  <c r="O1391" i="1" s="1"/>
  <c r="N1391" i="1"/>
  <c r="K1383" i="1"/>
  <c r="O1383" i="1" s="1"/>
  <c r="N1383" i="1"/>
  <c r="K1375" i="1"/>
  <c r="O1375" i="1" s="1"/>
  <c r="N1375" i="1"/>
  <c r="K1367" i="1"/>
  <c r="O1367" i="1" s="1"/>
  <c r="N1367" i="1"/>
  <c r="K1359" i="1"/>
  <c r="O1359" i="1" s="1"/>
  <c r="N1359" i="1"/>
  <c r="K1351" i="1"/>
  <c r="O1351" i="1" s="1"/>
  <c r="N1351" i="1"/>
  <c r="K1343" i="1"/>
  <c r="O1343" i="1" s="1"/>
  <c r="N1343" i="1"/>
  <c r="K1335" i="1"/>
  <c r="O1335" i="1" s="1"/>
  <c r="N1335" i="1"/>
  <c r="K1327" i="1"/>
  <c r="O1327" i="1" s="1"/>
  <c r="N1327" i="1"/>
  <c r="K1319" i="1"/>
  <c r="O1319" i="1" s="1"/>
  <c r="N1319" i="1"/>
  <c r="K1311" i="1"/>
  <c r="O1311" i="1" s="1"/>
  <c r="N1311" i="1"/>
  <c r="K1303" i="1"/>
  <c r="O1303" i="1" s="1"/>
  <c r="N1303" i="1"/>
  <c r="K1295" i="1"/>
  <c r="O1295" i="1" s="1"/>
  <c r="N1295" i="1"/>
  <c r="K1287" i="1"/>
  <c r="O1287" i="1" s="1"/>
  <c r="N1287" i="1"/>
  <c r="K1279" i="1"/>
  <c r="O1279" i="1" s="1"/>
  <c r="N1279" i="1"/>
  <c r="K1271" i="1"/>
  <c r="O1271" i="1" s="1"/>
  <c r="N1271" i="1"/>
  <c r="K1263" i="1"/>
  <c r="O1263" i="1" s="1"/>
  <c r="N1263" i="1"/>
  <c r="K1255" i="1"/>
  <c r="O1255" i="1" s="1"/>
  <c r="N1255" i="1"/>
  <c r="K1247" i="1"/>
  <c r="O1247" i="1" s="1"/>
  <c r="N1247" i="1"/>
  <c r="K1239" i="1"/>
  <c r="O1239" i="1" s="1"/>
  <c r="N1239" i="1"/>
  <c r="K1231" i="1"/>
  <c r="O1231" i="1" s="1"/>
  <c r="N1231" i="1"/>
  <c r="K1223" i="1"/>
  <c r="O1223" i="1" s="1"/>
  <c r="N1223" i="1"/>
  <c r="K1215" i="1"/>
  <c r="O1215" i="1" s="1"/>
  <c r="N1215" i="1"/>
  <c r="K1207" i="1"/>
  <c r="O1207" i="1" s="1"/>
  <c r="N1207" i="1"/>
  <c r="K1424" i="1"/>
  <c r="O1424" i="1" s="1"/>
  <c r="N1424" i="1"/>
  <c r="K1191" i="1"/>
  <c r="O1191" i="1" s="1"/>
  <c r="N1191" i="1"/>
  <c r="K1183" i="1"/>
  <c r="O1183" i="1" s="1"/>
  <c r="N1183" i="1"/>
  <c r="K1175" i="1"/>
  <c r="O1175" i="1" s="1"/>
  <c r="N1175" i="1"/>
  <c r="K1167" i="1"/>
  <c r="O1167" i="1" s="1"/>
  <c r="N1167" i="1"/>
  <c r="K1159" i="1"/>
  <c r="O1159" i="1" s="1"/>
  <c r="N1159" i="1"/>
  <c r="K1151" i="1"/>
  <c r="O1151" i="1" s="1"/>
  <c r="N1151" i="1"/>
  <c r="K1143" i="1"/>
  <c r="O1143" i="1" s="1"/>
  <c r="N1143" i="1"/>
  <c r="K1135" i="1"/>
  <c r="O1135" i="1" s="1"/>
  <c r="N1135" i="1"/>
  <c r="K1127" i="1"/>
  <c r="O1127" i="1" s="1"/>
  <c r="N1127" i="1"/>
  <c r="K1119" i="1"/>
  <c r="O1119" i="1" s="1"/>
  <c r="N1119" i="1"/>
  <c r="K1111" i="1"/>
  <c r="O1111" i="1" s="1"/>
  <c r="N1111" i="1"/>
  <c r="K1103" i="1"/>
  <c r="O1103" i="1" s="1"/>
  <c r="N1103" i="1"/>
  <c r="K1095" i="1"/>
  <c r="O1095" i="1" s="1"/>
  <c r="N1095" i="1"/>
  <c r="K1087" i="1"/>
  <c r="O1087" i="1" s="1"/>
  <c r="N1087" i="1"/>
  <c r="K1079" i="1"/>
  <c r="O1079" i="1" s="1"/>
  <c r="N1079" i="1"/>
  <c r="K1071" i="1"/>
  <c r="O1071" i="1" s="1"/>
  <c r="N1071" i="1"/>
  <c r="K1063" i="1"/>
  <c r="O1063" i="1" s="1"/>
  <c r="N1063" i="1"/>
  <c r="K1055" i="1"/>
  <c r="O1055" i="1" s="1"/>
  <c r="N1055" i="1"/>
  <c r="K1044" i="1"/>
  <c r="O1044" i="1" s="1"/>
  <c r="N1044" i="1"/>
  <c r="K1036" i="1"/>
  <c r="O1036" i="1" s="1"/>
  <c r="N1036" i="1"/>
  <c r="K1028" i="1"/>
  <c r="O1028" i="1" s="1"/>
  <c r="N1028" i="1"/>
  <c r="K1020" i="1"/>
  <c r="O1020" i="1" s="1"/>
  <c r="N1020" i="1"/>
  <c r="K1012" i="1"/>
  <c r="O1012" i="1" s="1"/>
  <c r="N1012" i="1"/>
  <c r="K1004" i="1"/>
  <c r="O1004" i="1" s="1"/>
  <c r="N1004" i="1"/>
  <c r="K996" i="1"/>
  <c r="O996" i="1" s="1"/>
  <c r="N996" i="1"/>
  <c r="K988" i="1"/>
  <c r="O988" i="1" s="1"/>
  <c r="N988" i="1"/>
  <c r="K976" i="1"/>
  <c r="O976" i="1" s="1"/>
  <c r="N976" i="1"/>
  <c r="K968" i="1"/>
  <c r="O968" i="1" s="1"/>
  <c r="N968" i="1"/>
  <c r="K960" i="1"/>
  <c r="O960" i="1" s="1"/>
  <c r="N960" i="1"/>
  <c r="K952" i="1"/>
  <c r="O952" i="1" s="1"/>
  <c r="N952" i="1"/>
  <c r="K795" i="1"/>
  <c r="O795" i="1" s="1"/>
  <c r="N795" i="1"/>
  <c r="K936" i="1"/>
  <c r="O936" i="1" s="1"/>
  <c r="N936" i="1"/>
  <c r="K263" i="1"/>
  <c r="O263" i="1" s="1"/>
  <c r="N263" i="1"/>
  <c r="K920" i="1"/>
  <c r="O920" i="1" s="1"/>
  <c r="N920" i="1"/>
  <c r="K912" i="1"/>
  <c r="O912" i="1" s="1"/>
  <c r="N912" i="1"/>
  <c r="K904" i="1"/>
  <c r="O904" i="1" s="1"/>
  <c r="N904" i="1"/>
  <c r="K896" i="1"/>
  <c r="O896" i="1" s="1"/>
  <c r="N896" i="1"/>
  <c r="K888" i="1"/>
  <c r="O888" i="1" s="1"/>
  <c r="N888" i="1"/>
  <c r="K880" i="1"/>
  <c r="O880" i="1" s="1"/>
  <c r="N880" i="1"/>
  <c r="K872" i="1"/>
  <c r="O872" i="1" s="1"/>
  <c r="N872" i="1"/>
  <c r="K864" i="1"/>
  <c r="O864" i="1" s="1"/>
  <c r="N864" i="1"/>
  <c r="K852" i="1"/>
  <c r="O852" i="1" s="1"/>
  <c r="N852" i="1"/>
  <c r="K840" i="1"/>
  <c r="O840" i="1" s="1"/>
  <c r="N840" i="1"/>
  <c r="K832" i="1"/>
  <c r="O832" i="1" s="1"/>
  <c r="N832" i="1"/>
  <c r="K821" i="1"/>
  <c r="O821" i="1" s="1"/>
  <c r="N821" i="1"/>
  <c r="K813" i="1"/>
  <c r="O813" i="1" s="1"/>
  <c r="N813" i="1"/>
  <c r="K805" i="1"/>
  <c r="O805" i="1" s="1"/>
  <c r="N805" i="1"/>
  <c r="K797" i="1"/>
  <c r="O797" i="1" s="1"/>
  <c r="N797" i="1"/>
  <c r="K789" i="1"/>
  <c r="O789" i="1" s="1"/>
  <c r="N789" i="1"/>
  <c r="K203" i="1"/>
  <c r="O203" i="1" s="1"/>
  <c r="K773" i="1"/>
  <c r="O773" i="1" s="1"/>
  <c r="N773" i="1"/>
  <c r="K765" i="1"/>
  <c r="O765" i="1" s="1"/>
  <c r="N765" i="1"/>
  <c r="K757" i="1"/>
  <c r="O757" i="1" s="1"/>
  <c r="N757" i="1"/>
  <c r="K749" i="1"/>
  <c r="O749" i="1" s="1"/>
  <c r="N749" i="1"/>
  <c r="K741" i="1"/>
  <c r="O741" i="1" s="1"/>
  <c r="N741" i="1"/>
  <c r="K426" i="1"/>
  <c r="O426" i="1" s="1"/>
  <c r="N426" i="1"/>
  <c r="K714" i="1"/>
  <c r="O714" i="1" s="1"/>
  <c r="N714" i="1"/>
  <c r="K706" i="1"/>
  <c r="O706" i="1" s="1"/>
  <c r="N706" i="1"/>
  <c r="K698" i="1"/>
  <c r="O698" i="1" s="1"/>
  <c r="N698" i="1"/>
  <c r="K690" i="1"/>
  <c r="O690" i="1" s="1"/>
  <c r="N690" i="1"/>
  <c r="K682" i="1"/>
  <c r="O682" i="1" s="1"/>
  <c r="N682" i="1"/>
  <c r="K674" i="1"/>
  <c r="O674" i="1" s="1"/>
  <c r="N674" i="1"/>
  <c r="K666" i="1"/>
  <c r="O666" i="1" s="1"/>
  <c r="N666" i="1"/>
  <c r="K658" i="1"/>
  <c r="O658" i="1" s="1"/>
  <c r="N658" i="1"/>
  <c r="K646" i="1"/>
  <c r="O646" i="1" s="1"/>
  <c r="N646" i="1"/>
  <c r="K638" i="1"/>
  <c r="O638" i="1" s="1"/>
  <c r="N638" i="1"/>
  <c r="K630" i="1"/>
  <c r="O630" i="1" s="1"/>
  <c r="N630" i="1"/>
  <c r="K622" i="1"/>
  <c r="O622" i="1" s="1"/>
  <c r="N622" i="1"/>
  <c r="K614" i="1"/>
  <c r="O614" i="1" s="1"/>
  <c r="N614" i="1"/>
  <c r="K606" i="1"/>
  <c r="O606" i="1" s="1"/>
  <c r="N606" i="1"/>
  <c r="K598" i="1"/>
  <c r="O598" i="1" s="1"/>
  <c r="N598" i="1"/>
  <c r="K590" i="1"/>
  <c r="O590" i="1" s="1"/>
  <c r="N590" i="1"/>
  <c r="K582" i="1"/>
  <c r="O582" i="1" s="1"/>
  <c r="N582" i="1"/>
  <c r="K574" i="1"/>
  <c r="O574" i="1" s="1"/>
  <c r="N574" i="1"/>
  <c r="K566" i="1"/>
  <c r="O566" i="1" s="1"/>
  <c r="N566" i="1"/>
  <c r="K558" i="1"/>
  <c r="O558" i="1" s="1"/>
  <c r="N558" i="1"/>
  <c r="K546" i="1"/>
  <c r="O546" i="1" s="1"/>
  <c r="N546" i="1"/>
  <c r="K538" i="1"/>
  <c r="O538" i="1" s="1"/>
  <c r="N538" i="1"/>
  <c r="K530" i="1"/>
  <c r="O530" i="1" s="1"/>
  <c r="N530" i="1"/>
  <c r="K522" i="1"/>
  <c r="O522" i="1" s="1"/>
  <c r="N522" i="1"/>
  <c r="K514" i="1"/>
  <c r="O514" i="1" s="1"/>
  <c r="N514" i="1"/>
  <c r="K506" i="1"/>
  <c r="O506" i="1" s="1"/>
  <c r="N506" i="1"/>
  <c r="K498" i="1"/>
  <c r="O498" i="1" s="1"/>
  <c r="N498" i="1"/>
  <c r="K490" i="1"/>
  <c r="O490" i="1" s="1"/>
  <c r="N490" i="1"/>
  <c r="K722" i="1"/>
  <c r="O722" i="1" s="1"/>
  <c r="N722" i="1"/>
  <c r="K474" i="1"/>
  <c r="O474" i="1" s="1"/>
  <c r="N474" i="1"/>
  <c r="K466" i="1"/>
  <c r="O466" i="1" s="1"/>
  <c r="N466" i="1"/>
  <c r="K454" i="1"/>
  <c r="O454" i="1" s="1"/>
  <c r="N454" i="1"/>
  <c r="K446" i="1"/>
  <c r="O446" i="1" s="1"/>
  <c r="N446" i="1"/>
  <c r="K438" i="1"/>
  <c r="O438" i="1" s="1"/>
  <c r="N438" i="1"/>
  <c r="K430" i="1"/>
  <c r="O430" i="1" s="1"/>
  <c r="N430" i="1"/>
  <c r="K422" i="1"/>
  <c r="O422" i="1" s="1"/>
  <c r="N422" i="1"/>
  <c r="K414" i="1"/>
  <c r="O414" i="1" s="1"/>
  <c r="N414" i="1"/>
  <c r="K406" i="1"/>
  <c r="O406" i="1" s="1"/>
  <c r="N406" i="1"/>
  <c r="K398" i="1"/>
  <c r="O398" i="1" s="1"/>
  <c r="N398" i="1"/>
  <c r="K390" i="1"/>
  <c r="O390" i="1" s="1"/>
  <c r="N390" i="1"/>
  <c r="K382" i="1"/>
  <c r="O382" i="1" s="1"/>
  <c r="N382" i="1"/>
  <c r="K374" i="1"/>
  <c r="O374" i="1" s="1"/>
  <c r="N374" i="1"/>
  <c r="K366" i="1"/>
  <c r="O366" i="1" s="1"/>
  <c r="N366" i="1"/>
  <c r="K358" i="1"/>
  <c r="O358" i="1" s="1"/>
  <c r="N358" i="1"/>
  <c r="K350" i="1"/>
  <c r="O350" i="1" s="1"/>
  <c r="N350" i="1"/>
  <c r="K342" i="1"/>
  <c r="O342" i="1" s="1"/>
  <c r="N342" i="1"/>
  <c r="K334" i="1"/>
  <c r="O334" i="1" s="1"/>
  <c r="N334" i="1"/>
  <c r="K103" i="1"/>
  <c r="O103" i="1" s="1"/>
  <c r="N103" i="1"/>
  <c r="K318" i="1"/>
  <c r="O318" i="1" s="1"/>
  <c r="N318" i="1"/>
  <c r="K310" i="1"/>
  <c r="O310" i="1" s="1"/>
  <c r="N310" i="1"/>
  <c r="K302" i="1"/>
  <c r="O302" i="1" s="1"/>
  <c r="N302" i="1"/>
  <c r="K220" i="1"/>
  <c r="O220" i="1" s="1"/>
  <c r="N220" i="1"/>
  <c r="K286" i="1"/>
  <c r="O286" i="1" s="1"/>
  <c r="N286" i="1"/>
  <c r="K278" i="1"/>
  <c r="O278" i="1" s="1"/>
  <c r="N278" i="1"/>
  <c r="K270" i="1"/>
  <c r="O270" i="1" s="1"/>
  <c r="N270" i="1"/>
  <c r="K1299" i="1"/>
  <c r="O1299" i="1" s="1"/>
  <c r="N1299" i="1"/>
  <c r="K254" i="1"/>
  <c r="O254" i="1" s="1"/>
  <c r="N254" i="1"/>
  <c r="K246" i="1"/>
  <c r="O246" i="1" s="1"/>
  <c r="N246" i="1"/>
  <c r="K93" i="1"/>
  <c r="O93" i="1" s="1"/>
  <c r="K230" i="1"/>
  <c r="O230" i="1" s="1"/>
  <c r="N230" i="1"/>
  <c r="K429" i="1"/>
  <c r="O429" i="1" s="1"/>
  <c r="N429" i="1"/>
  <c r="K214" i="1"/>
  <c r="O214" i="1" s="1"/>
  <c r="N214" i="1"/>
  <c r="K206" i="1"/>
  <c r="O206" i="1" s="1"/>
  <c r="N206" i="1"/>
  <c r="K1200" i="1"/>
  <c r="O1200" i="1" s="1"/>
  <c r="K190" i="1"/>
  <c r="O190" i="1" s="1"/>
  <c r="N190" i="1"/>
  <c r="K182" i="1"/>
  <c r="O182" i="1" s="1"/>
  <c r="N182" i="1"/>
  <c r="K174" i="1"/>
  <c r="O174" i="1" s="1"/>
  <c r="N174" i="1"/>
  <c r="K166" i="1"/>
  <c r="O166" i="1" s="1"/>
  <c r="N166" i="1"/>
  <c r="K158" i="1"/>
  <c r="O158" i="1" s="1"/>
  <c r="N158" i="1"/>
  <c r="K150" i="1"/>
  <c r="O150" i="1" s="1"/>
  <c r="N150" i="1"/>
  <c r="K142" i="1"/>
  <c r="O142" i="1" s="1"/>
  <c r="N142" i="1"/>
  <c r="K134" i="1"/>
  <c r="O134" i="1" s="1"/>
  <c r="N134" i="1"/>
  <c r="K126" i="1"/>
  <c r="O126" i="1" s="1"/>
  <c r="N126" i="1"/>
  <c r="K118" i="1"/>
  <c r="O118" i="1" s="1"/>
  <c r="N118" i="1"/>
  <c r="K110" i="1"/>
  <c r="O110" i="1" s="1"/>
  <c r="N110" i="1"/>
  <c r="K1563" i="1"/>
  <c r="O1563" i="1" s="1"/>
  <c r="N1563" i="1"/>
  <c r="K94" i="1"/>
  <c r="O94" i="1" s="1"/>
  <c r="N94" i="1"/>
  <c r="K86" i="1"/>
  <c r="O86" i="1" s="1"/>
  <c r="N86" i="1"/>
  <c r="K78" i="1"/>
  <c r="O78" i="1" s="1"/>
  <c r="N78" i="1"/>
  <c r="K70" i="1"/>
  <c r="O70" i="1" s="1"/>
  <c r="N70" i="1"/>
  <c r="K62" i="1"/>
  <c r="O62" i="1" s="1"/>
  <c r="N62" i="1"/>
  <c r="K54" i="1"/>
  <c r="O54" i="1" s="1"/>
  <c r="N54" i="1"/>
  <c r="K46" i="1"/>
  <c r="O46" i="1" s="1"/>
  <c r="N46" i="1"/>
  <c r="K38" i="1"/>
  <c r="O38" i="1" s="1"/>
  <c r="N38" i="1"/>
  <c r="K30" i="1"/>
  <c r="O30" i="1" s="1"/>
  <c r="N30" i="1"/>
  <c r="K209" i="1"/>
  <c r="O209" i="1" s="1"/>
  <c r="N209" i="1"/>
  <c r="K1595" i="1"/>
  <c r="O1595" i="1" s="1"/>
  <c r="N1595" i="1"/>
  <c r="K6" i="1"/>
  <c r="O6" i="1" s="1"/>
  <c r="N6" i="1"/>
  <c r="K1046" i="1"/>
  <c r="O1046" i="1" s="1"/>
  <c r="N1046" i="1"/>
  <c r="K858" i="1"/>
  <c r="O858" i="1" s="1"/>
  <c r="N858" i="1"/>
  <c r="K731" i="1"/>
  <c r="O731" i="1" s="1"/>
  <c r="N731" i="1"/>
  <c r="K551" i="1"/>
  <c r="O551" i="1" s="1"/>
  <c r="N551" i="1"/>
  <c r="K826" i="1"/>
  <c r="O826" i="1" s="1"/>
  <c r="N826" i="1"/>
  <c r="K1089" i="1"/>
  <c r="O1089" i="1" s="1"/>
  <c r="N1089" i="1"/>
  <c r="K1529" i="1"/>
  <c r="O1529" i="1" s="1"/>
  <c r="N1529" i="1"/>
  <c r="K1694" i="1"/>
  <c r="O1694" i="1" s="1"/>
  <c r="N1694" i="1"/>
  <c r="K1686" i="1"/>
  <c r="O1686" i="1" s="1"/>
  <c r="N1686" i="1"/>
  <c r="K1678" i="1"/>
  <c r="O1678" i="1" s="1"/>
  <c r="N1678" i="1"/>
  <c r="K1670" i="1"/>
  <c r="O1670" i="1" s="1"/>
  <c r="N1670" i="1"/>
  <c r="K1662" i="1"/>
  <c r="O1662" i="1" s="1"/>
  <c r="N1662" i="1"/>
  <c r="K1654" i="1"/>
  <c r="O1654" i="1" s="1"/>
  <c r="N1654" i="1"/>
  <c r="K1646" i="1"/>
  <c r="O1646" i="1" s="1"/>
  <c r="N1646" i="1"/>
  <c r="K1638" i="1"/>
  <c r="O1638" i="1" s="1"/>
  <c r="N1638" i="1"/>
  <c r="K1630" i="1"/>
  <c r="O1630" i="1" s="1"/>
  <c r="N1630" i="1"/>
  <c r="K1622" i="1"/>
  <c r="O1622" i="1" s="1"/>
  <c r="N1622" i="1"/>
  <c r="K1614" i="1"/>
  <c r="O1614" i="1" s="1"/>
  <c r="N1614" i="1"/>
  <c r="K1237" i="1"/>
  <c r="O1237" i="1" s="1"/>
  <c r="K1598" i="1"/>
  <c r="O1598" i="1" s="1"/>
  <c r="N1598" i="1"/>
  <c r="K1590" i="1"/>
  <c r="O1590" i="1" s="1"/>
  <c r="N1590" i="1"/>
  <c r="K1582" i="1"/>
  <c r="O1582" i="1" s="1"/>
  <c r="N1582" i="1"/>
  <c r="K1574" i="1"/>
  <c r="O1574" i="1" s="1"/>
  <c r="N1574" i="1"/>
  <c r="K1566" i="1"/>
  <c r="O1566" i="1" s="1"/>
  <c r="N1566" i="1"/>
  <c r="K1558" i="1"/>
  <c r="O1558" i="1" s="1"/>
  <c r="N1558" i="1"/>
  <c r="K1550" i="1"/>
  <c r="O1550" i="1" s="1"/>
  <c r="N1550" i="1"/>
  <c r="K1542" i="1"/>
  <c r="O1542" i="1" s="1"/>
  <c r="N1542" i="1"/>
  <c r="K1534" i="1"/>
  <c r="O1534" i="1" s="1"/>
  <c r="N1534" i="1"/>
  <c r="K1526" i="1"/>
  <c r="O1526" i="1" s="1"/>
  <c r="N1526" i="1"/>
  <c r="K1518" i="1"/>
  <c r="O1518" i="1" s="1"/>
  <c r="N1518" i="1"/>
  <c r="K1510" i="1"/>
  <c r="O1510" i="1" s="1"/>
  <c r="N1510" i="1"/>
  <c r="K1502" i="1"/>
  <c r="O1502" i="1" s="1"/>
  <c r="N1502" i="1"/>
  <c r="K1494" i="1"/>
  <c r="O1494" i="1" s="1"/>
  <c r="N1494" i="1"/>
  <c r="K1486" i="1"/>
  <c r="O1486" i="1" s="1"/>
  <c r="N1486" i="1"/>
  <c r="K1478" i="1"/>
  <c r="O1478" i="1" s="1"/>
  <c r="N1478" i="1"/>
  <c r="K1470" i="1"/>
  <c r="O1470" i="1" s="1"/>
  <c r="N1470" i="1"/>
  <c r="K1462" i="1"/>
  <c r="O1462" i="1" s="1"/>
  <c r="N1462" i="1"/>
  <c r="K1454" i="1"/>
  <c r="O1454" i="1" s="1"/>
  <c r="N1454" i="1"/>
  <c r="K1446" i="1"/>
  <c r="O1446" i="1" s="1"/>
  <c r="N1446" i="1"/>
  <c r="K1438" i="1"/>
  <c r="O1438" i="1" s="1"/>
  <c r="N1438" i="1"/>
  <c r="K1430" i="1"/>
  <c r="O1430" i="1" s="1"/>
  <c r="N1430" i="1"/>
  <c r="K264" i="1"/>
  <c r="O264" i="1" s="1"/>
  <c r="N264" i="1"/>
  <c r="K1414" i="1"/>
  <c r="O1414" i="1" s="1"/>
  <c r="N1414" i="1"/>
  <c r="K1406" i="1"/>
  <c r="O1406" i="1" s="1"/>
  <c r="N1406" i="1"/>
  <c r="K1398" i="1"/>
  <c r="O1398" i="1" s="1"/>
  <c r="N1398" i="1"/>
  <c r="K1390" i="1"/>
  <c r="O1390" i="1" s="1"/>
  <c r="N1390" i="1"/>
  <c r="K1382" i="1"/>
  <c r="O1382" i="1" s="1"/>
  <c r="N1382" i="1"/>
  <c r="K1374" i="1"/>
  <c r="O1374" i="1" s="1"/>
  <c r="N1374" i="1"/>
  <c r="K1366" i="1"/>
  <c r="O1366" i="1" s="1"/>
  <c r="N1366" i="1"/>
  <c r="K1358" i="1"/>
  <c r="O1358" i="1" s="1"/>
  <c r="N1358" i="1"/>
  <c r="K1350" i="1"/>
  <c r="O1350" i="1" s="1"/>
  <c r="N1350" i="1"/>
  <c r="K1342" i="1"/>
  <c r="O1342" i="1" s="1"/>
  <c r="N1342" i="1"/>
  <c r="K1334" i="1"/>
  <c r="O1334" i="1" s="1"/>
  <c r="N1334" i="1"/>
  <c r="K1326" i="1"/>
  <c r="O1326" i="1" s="1"/>
  <c r="N1326" i="1"/>
  <c r="K1318" i="1"/>
  <c r="O1318" i="1" s="1"/>
  <c r="N1318" i="1"/>
  <c r="K1310" i="1"/>
  <c r="O1310" i="1" s="1"/>
  <c r="N1310" i="1"/>
  <c r="K1302" i="1"/>
  <c r="O1302" i="1" s="1"/>
  <c r="N1302" i="1"/>
  <c r="K1294" i="1"/>
  <c r="O1294" i="1" s="1"/>
  <c r="N1294" i="1"/>
  <c r="K1286" i="1"/>
  <c r="O1286" i="1" s="1"/>
  <c r="N1286" i="1"/>
  <c r="K1278" i="1"/>
  <c r="O1278" i="1" s="1"/>
  <c r="N1278" i="1"/>
  <c r="K1270" i="1"/>
  <c r="O1270" i="1" s="1"/>
  <c r="N1270" i="1"/>
  <c r="K1262" i="1"/>
  <c r="O1262" i="1" s="1"/>
  <c r="N1262" i="1"/>
  <c r="K1254" i="1"/>
  <c r="O1254" i="1" s="1"/>
  <c r="N1254" i="1"/>
  <c r="K1246" i="1"/>
  <c r="O1246" i="1" s="1"/>
  <c r="N1246" i="1"/>
  <c r="K1238" i="1"/>
  <c r="O1238" i="1" s="1"/>
  <c r="N1238" i="1"/>
  <c r="K1230" i="1"/>
  <c r="O1230" i="1" s="1"/>
  <c r="N1230" i="1"/>
  <c r="K1222" i="1"/>
  <c r="O1222" i="1" s="1"/>
  <c r="N1222" i="1"/>
  <c r="K1214" i="1"/>
  <c r="O1214" i="1" s="1"/>
  <c r="N1214" i="1"/>
  <c r="K1206" i="1"/>
  <c r="O1206" i="1" s="1"/>
  <c r="N1206" i="1"/>
  <c r="K1594" i="1"/>
  <c r="O1594" i="1" s="1"/>
  <c r="N1594" i="1"/>
  <c r="K1190" i="1"/>
  <c r="O1190" i="1" s="1"/>
  <c r="N1190" i="1"/>
  <c r="K1182" i="1"/>
  <c r="O1182" i="1" s="1"/>
  <c r="N1182" i="1"/>
  <c r="K1174" i="1"/>
  <c r="O1174" i="1" s="1"/>
  <c r="N1174" i="1"/>
  <c r="K1166" i="1"/>
  <c r="O1166" i="1" s="1"/>
  <c r="N1166" i="1"/>
  <c r="K1158" i="1"/>
  <c r="O1158" i="1" s="1"/>
  <c r="N1158" i="1"/>
  <c r="K1150" i="1"/>
  <c r="O1150" i="1" s="1"/>
  <c r="N1150" i="1"/>
  <c r="K1142" i="1"/>
  <c r="O1142" i="1" s="1"/>
  <c r="N1142" i="1"/>
  <c r="K1134" i="1"/>
  <c r="O1134" i="1" s="1"/>
  <c r="N1134" i="1"/>
  <c r="K1126" i="1"/>
  <c r="O1126" i="1" s="1"/>
  <c r="N1126" i="1"/>
  <c r="K1118" i="1"/>
  <c r="O1118" i="1" s="1"/>
  <c r="N1118" i="1"/>
  <c r="K1110" i="1"/>
  <c r="O1110" i="1" s="1"/>
  <c r="N1110" i="1"/>
  <c r="K347" i="1"/>
  <c r="O347" i="1" s="1"/>
  <c r="N347" i="1"/>
  <c r="K1094" i="1"/>
  <c r="O1094" i="1" s="1"/>
  <c r="N1094" i="1"/>
  <c r="K1086" i="1"/>
  <c r="O1086" i="1" s="1"/>
  <c r="N1086" i="1"/>
  <c r="K1078" i="1"/>
  <c r="O1078" i="1" s="1"/>
  <c r="N1078" i="1"/>
  <c r="K1070" i="1"/>
  <c r="O1070" i="1" s="1"/>
  <c r="N1070" i="1"/>
  <c r="K1062" i="1"/>
  <c r="O1062" i="1" s="1"/>
  <c r="N1062" i="1"/>
  <c r="K1054" i="1"/>
  <c r="O1054" i="1" s="1"/>
  <c r="N1054" i="1"/>
  <c r="K1043" i="1"/>
  <c r="O1043" i="1" s="1"/>
  <c r="N1043" i="1"/>
  <c r="K1035" i="1"/>
  <c r="O1035" i="1" s="1"/>
  <c r="N1035" i="1"/>
  <c r="K1027" i="1"/>
  <c r="O1027" i="1" s="1"/>
  <c r="N1027" i="1"/>
  <c r="K1019" i="1"/>
  <c r="O1019" i="1" s="1"/>
  <c r="N1019" i="1"/>
  <c r="K1011" i="1"/>
  <c r="O1011" i="1" s="1"/>
  <c r="N1011" i="1"/>
  <c r="K1003" i="1"/>
  <c r="O1003" i="1" s="1"/>
  <c r="N1003" i="1"/>
  <c r="K995" i="1"/>
  <c r="O995" i="1" s="1"/>
  <c r="N995" i="1"/>
  <c r="K987" i="1"/>
  <c r="O987" i="1" s="1"/>
  <c r="N987" i="1"/>
  <c r="K975" i="1"/>
  <c r="O975" i="1" s="1"/>
  <c r="N975" i="1"/>
  <c r="K967" i="1"/>
  <c r="O967" i="1" s="1"/>
  <c r="N967" i="1"/>
  <c r="K959" i="1"/>
  <c r="O959" i="1" s="1"/>
  <c r="N959" i="1"/>
  <c r="K951" i="1"/>
  <c r="O951" i="1" s="1"/>
  <c r="N951" i="1"/>
  <c r="K801" i="1"/>
  <c r="O801" i="1" s="1"/>
  <c r="N801" i="1"/>
  <c r="K935" i="1"/>
  <c r="O935" i="1" s="1"/>
  <c r="N935" i="1"/>
  <c r="K485" i="1"/>
  <c r="O485" i="1" s="1"/>
  <c r="N485" i="1"/>
  <c r="K919" i="1"/>
  <c r="O919" i="1" s="1"/>
  <c r="N919" i="1"/>
  <c r="K911" i="1"/>
  <c r="O911" i="1" s="1"/>
  <c r="N911" i="1"/>
  <c r="K903" i="1"/>
  <c r="O903" i="1" s="1"/>
  <c r="N903" i="1"/>
  <c r="K895" i="1"/>
  <c r="O895" i="1" s="1"/>
  <c r="N895" i="1"/>
  <c r="K887" i="1"/>
  <c r="O887" i="1" s="1"/>
  <c r="N887" i="1"/>
  <c r="K879" i="1"/>
  <c r="O879" i="1" s="1"/>
  <c r="N879" i="1"/>
  <c r="K871" i="1"/>
  <c r="O871" i="1" s="1"/>
  <c r="N871" i="1"/>
  <c r="K863" i="1"/>
  <c r="O863" i="1" s="1"/>
  <c r="N863" i="1"/>
  <c r="K851" i="1"/>
  <c r="O851" i="1" s="1"/>
  <c r="N851" i="1"/>
  <c r="K839" i="1"/>
  <c r="O839" i="1" s="1"/>
  <c r="N839" i="1"/>
  <c r="K831" i="1"/>
  <c r="O831" i="1" s="1"/>
  <c r="N831" i="1"/>
  <c r="K820" i="1"/>
  <c r="O820" i="1" s="1"/>
  <c r="N820" i="1"/>
  <c r="K1102" i="1"/>
  <c r="O1102" i="1" s="1"/>
  <c r="N1102" i="1"/>
  <c r="K835" i="1"/>
  <c r="O835" i="1" s="1"/>
  <c r="N835" i="1"/>
  <c r="K122" i="1"/>
  <c r="O122" i="1" s="1"/>
  <c r="N122" i="1"/>
  <c r="K788" i="1"/>
  <c r="O788" i="1" s="1"/>
  <c r="N788" i="1"/>
  <c r="K780" i="1"/>
  <c r="O780" i="1" s="1"/>
  <c r="N780" i="1"/>
  <c r="K772" i="1"/>
  <c r="O772" i="1" s="1"/>
  <c r="N772" i="1"/>
  <c r="K764" i="1"/>
  <c r="O764" i="1" s="1"/>
  <c r="N764" i="1"/>
  <c r="K756" i="1"/>
  <c r="O756" i="1" s="1"/>
  <c r="N756" i="1"/>
  <c r="K748" i="1"/>
  <c r="O748" i="1" s="1"/>
  <c r="N748" i="1"/>
  <c r="K740" i="1"/>
  <c r="O740" i="1" s="1"/>
  <c r="N740" i="1"/>
  <c r="K729" i="1"/>
  <c r="O729" i="1" s="1"/>
  <c r="N729" i="1"/>
  <c r="K721" i="1"/>
  <c r="O721" i="1" s="1"/>
  <c r="N721" i="1"/>
  <c r="K713" i="1"/>
  <c r="O713" i="1" s="1"/>
  <c r="N713" i="1"/>
  <c r="K705" i="1"/>
  <c r="O705" i="1" s="1"/>
  <c r="N705" i="1"/>
  <c r="K697" i="1"/>
  <c r="O697" i="1" s="1"/>
  <c r="N697" i="1"/>
  <c r="K689" i="1"/>
  <c r="O689" i="1" s="1"/>
  <c r="N689" i="1"/>
  <c r="K681" i="1"/>
  <c r="O681" i="1" s="1"/>
  <c r="N681" i="1"/>
  <c r="K673" i="1"/>
  <c r="O673" i="1" s="1"/>
  <c r="N673" i="1"/>
  <c r="K1711" i="1"/>
  <c r="O1711" i="1" s="1"/>
  <c r="N1711" i="1"/>
  <c r="K657" i="1"/>
  <c r="O657" i="1" s="1"/>
  <c r="N657" i="1"/>
  <c r="K645" i="1"/>
  <c r="O645" i="1" s="1"/>
  <c r="N645" i="1"/>
  <c r="K637" i="1"/>
  <c r="O637" i="1" s="1"/>
  <c r="N637" i="1"/>
  <c r="K629" i="1"/>
  <c r="O629" i="1" s="1"/>
  <c r="N629" i="1"/>
  <c r="K621" i="1"/>
  <c r="O621" i="1" s="1"/>
  <c r="N621" i="1"/>
  <c r="K613" i="1"/>
  <c r="O613" i="1" s="1"/>
  <c r="N613" i="1"/>
  <c r="K605" i="1"/>
  <c r="O605" i="1" s="1"/>
  <c r="N605" i="1"/>
  <c r="K597" i="1"/>
  <c r="O597" i="1" s="1"/>
  <c r="N597" i="1"/>
  <c r="K589" i="1"/>
  <c r="O589" i="1" s="1"/>
  <c r="N589" i="1"/>
  <c r="K581" i="1"/>
  <c r="O581" i="1" s="1"/>
  <c r="N581" i="1"/>
  <c r="K573" i="1"/>
  <c r="O573" i="1" s="1"/>
  <c r="N573" i="1"/>
  <c r="K1212" i="1"/>
  <c r="O1212" i="1" s="1"/>
  <c r="N1212" i="1"/>
  <c r="K557" i="1"/>
  <c r="O557" i="1" s="1"/>
  <c r="N557" i="1"/>
  <c r="K545" i="1"/>
  <c r="O545" i="1" s="1"/>
  <c r="N545" i="1"/>
  <c r="K537" i="1"/>
  <c r="O537" i="1" s="1"/>
  <c r="N537" i="1"/>
  <c r="K529" i="1"/>
  <c r="O529" i="1" s="1"/>
  <c r="N529" i="1"/>
  <c r="K521" i="1"/>
  <c r="O521" i="1" s="1"/>
  <c r="N521" i="1"/>
  <c r="K513" i="1"/>
  <c r="O513" i="1" s="1"/>
  <c r="N513" i="1"/>
  <c r="K505" i="1"/>
  <c r="O505" i="1" s="1"/>
  <c r="N505" i="1"/>
  <c r="K497" i="1"/>
  <c r="O497" i="1" s="1"/>
  <c r="N497" i="1"/>
  <c r="K489" i="1"/>
  <c r="O489" i="1" s="1"/>
  <c r="N489" i="1"/>
  <c r="K481" i="1"/>
  <c r="O481" i="1" s="1"/>
  <c r="N481" i="1"/>
  <c r="K473" i="1"/>
  <c r="O473" i="1" s="1"/>
  <c r="N473" i="1"/>
  <c r="K461" i="1"/>
  <c r="O461" i="1" s="1"/>
  <c r="N461" i="1"/>
  <c r="K453" i="1"/>
  <c r="O453" i="1" s="1"/>
  <c r="N453" i="1"/>
  <c r="K445" i="1"/>
  <c r="O445" i="1" s="1"/>
  <c r="N445" i="1"/>
  <c r="K437" i="1"/>
  <c r="O437" i="1" s="1"/>
  <c r="N437" i="1"/>
  <c r="K796" i="1"/>
  <c r="O796" i="1" s="1"/>
  <c r="N796" i="1"/>
  <c r="K421" i="1"/>
  <c r="O421" i="1" s="1"/>
  <c r="N421" i="1"/>
  <c r="K413" i="1"/>
  <c r="O413" i="1" s="1"/>
  <c r="N413" i="1"/>
  <c r="K405" i="1"/>
  <c r="O405" i="1" s="1"/>
  <c r="N405" i="1"/>
  <c r="K397" i="1"/>
  <c r="O397" i="1" s="1"/>
  <c r="N397" i="1"/>
  <c r="K389" i="1"/>
  <c r="O389" i="1" s="1"/>
  <c r="N389" i="1"/>
  <c r="K381" i="1"/>
  <c r="O381" i="1" s="1"/>
  <c r="N381" i="1"/>
  <c r="K373" i="1"/>
  <c r="O373" i="1" s="1"/>
  <c r="N373" i="1"/>
  <c r="K365" i="1"/>
  <c r="O365" i="1" s="1"/>
  <c r="N365" i="1"/>
  <c r="K357" i="1"/>
  <c r="O357" i="1" s="1"/>
  <c r="N357" i="1"/>
  <c r="K349" i="1"/>
  <c r="O349" i="1" s="1"/>
  <c r="N349" i="1"/>
  <c r="K341" i="1"/>
  <c r="O341" i="1" s="1"/>
  <c r="N341" i="1"/>
  <c r="K333" i="1"/>
  <c r="O333" i="1" s="1"/>
  <c r="N333" i="1"/>
  <c r="K102" i="1"/>
  <c r="O102" i="1" s="1"/>
  <c r="N102" i="1"/>
  <c r="K317" i="1"/>
  <c r="O317" i="1" s="1"/>
  <c r="N317" i="1"/>
  <c r="K309" i="1"/>
  <c r="O309" i="1" s="1"/>
  <c r="N309" i="1"/>
  <c r="K301" i="1"/>
  <c r="O301" i="1" s="1"/>
  <c r="N301" i="1"/>
  <c r="K197" i="1"/>
  <c r="O197" i="1" s="1"/>
  <c r="N197" i="1"/>
  <c r="K285" i="1"/>
  <c r="O285" i="1" s="1"/>
  <c r="N285" i="1"/>
  <c r="K277" i="1"/>
  <c r="O277" i="1" s="1"/>
  <c r="N277" i="1"/>
  <c r="K269" i="1"/>
  <c r="O269" i="1" s="1"/>
  <c r="N269" i="1"/>
  <c r="K1596" i="1"/>
  <c r="O1596" i="1" s="1"/>
  <c r="N1596" i="1"/>
  <c r="K253" i="1"/>
  <c r="O253" i="1" s="1"/>
  <c r="N253" i="1"/>
  <c r="K245" i="1"/>
  <c r="O245" i="1" s="1"/>
  <c r="N245" i="1"/>
  <c r="K92" i="1"/>
  <c r="O92" i="1" s="1"/>
  <c r="K229" i="1"/>
  <c r="O229" i="1" s="1"/>
  <c r="N229" i="1"/>
  <c r="K345" i="1"/>
  <c r="O345" i="1" s="1"/>
  <c r="N345" i="1"/>
  <c r="K213" i="1"/>
  <c r="O213" i="1" s="1"/>
  <c r="N213" i="1"/>
  <c r="K205" i="1"/>
  <c r="O205" i="1" s="1"/>
  <c r="N205" i="1"/>
  <c r="K1091" i="1"/>
  <c r="O1091" i="1" s="1"/>
  <c r="N1091" i="1"/>
  <c r="K189" i="1"/>
  <c r="O189" i="1" s="1"/>
  <c r="N189" i="1"/>
  <c r="K181" i="1"/>
  <c r="O181" i="1" s="1"/>
  <c r="N181" i="1"/>
  <c r="K173" i="1"/>
  <c r="O173" i="1" s="1"/>
  <c r="N173" i="1"/>
  <c r="K165" i="1"/>
  <c r="O165" i="1" s="1"/>
  <c r="N165" i="1"/>
  <c r="K157" i="1"/>
  <c r="O157" i="1" s="1"/>
  <c r="N157" i="1"/>
  <c r="K149" i="1"/>
  <c r="O149" i="1" s="1"/>
  <c r="N149" i="1"/>
  <c r="K141" i="1"/>
  <c r="O141" i="1" s="1"/>
  <c r="N141" i="1"/>
  <c r="K133" i="1"/>
  <c r="O133" i="1" s="1"/>
  <c r="N133" i="1"/>
  <c r="K196" i="1"/>
  <c r="O196" i="1" s="1"/>
  <c r="N196" i="1"/>
  <c r="K117" i="1"/>
  <c r="O117" i="1" s="1"/>
  <c r="N117" i="1"/>
  <c r="K109" i="1"/>
  <c r="O109" i="1" s="1"/>
  <c r="N109" i="1"/>
  <c r="K101" i="1"/>
  <c r="O101" i="1" s="1"/>
  <c r="N101" i="1"/>
  <c r="K1198" i="1"/>
  <c r="O1198" i="1" s="1"/>
  <c r="N1198" i="1"/>
  <c r="K85" i="1"/>
  <c r="O85" i="1" s="1"/>
  <c r="N85" i="1"/>
  <c r="K77" i="1"/>
  <c r="O77" i="1" s="1"/>
  <c r="N77" i="1"/>
  <c r="K69" i="1"/>
  <c r="O69" i="1" s="1"/>
  <c r="N69" i="1"/>
  <c r="K61" i="1"/>
  <c r="O61" i="1" s="1"/>
  <c r="N61" i="1"/>
  <c r="K53" i="1"/>
  <c r="O53" i="1" s="1"/>
  <c r="N53" i="1"/>
  <c r="K45" i="1"/>
  <c r="O45" i="1" s="1"/>
  <c r="N45" i="1"/>
  <c r="K37" i="1"/>
  <c r="O37" i="1" s="1"/>
  <c r="N37" i="1"/>
  <c r="K29" i="1"/>
  <c r="O29" i="1" s="1"/>
  <c r="N29" i="1"/>
  <c r="K20" i="1"/>
  <c r="O20" i="1" s="1"/>
  <c r="K13" i="1"/>
  <c r="O13" i="1" s="1"/>
  <c r="N13" i="1"/>
  <c r="K5" i="1"/>
  <c r="O5" i="1" s="1"/>
  <c r="N5" i="1"/>
  <c r="K857" i="1"/>
  <c r="O857" i="1" s="1"/>
  <c r="N857" i="1"/>
  <c r="K550" i="1"/>
  <c r="O550" i="1" s="1"/>
  <c r="N550" i="1"/>
  <c r="B5" i="2" l="1"/>
  <c r="B14" i="2"/>
  <c r="O5" i="6" s="1"/>
  <c r="H14" i="2" a="1"/>
  <c r="H14" i="2" s="1"/>
  <c r="E14" i="2" a="1"/>
  <c r="E14" i="2" s="1"/>
  <c r="H30" i="2" a="1"/>
  <c r="H30" i="2" s="1"/>
  <c r="E30" i="2" a="1"/>
  <c r="E30" i="2" s="1"/>
  <c r="B10" i="2"/>
  <c r="B26" i="2"/>
  <c r="G14" i="2" a="1"/>
  <c r="G14" i="2" s="1"/>
  <c r="B29" i="2"/>
  <c r="B30" i="2"/>
  <c r="G8" i="2" a="1"/>
  <c r="G8" i="2" s="1"/>
  <c r="F14" i="2" a="1"/>
  <c r="F14" i="2" s="1"/>
  <c r="F13" i="2" a="1"/>
  <c r="F13" i="2" s="1"/>
  <c r="E9" i="2" a="1"/>
  <c r="E9" i="2" s="1"/>
  <c r="D14" i="2" a="1"/>
  <c r="D14" i="2" s="1"/>
  <c r="D13" i="2" a="1"/>
  <c r="D13" i="2" s="1"/>
  <c r="C11" i="2" a="1"/>
  <c r="C11" i="2" s="1"/>
  <c r="G9" i="2" a="1"/>
  <c r="G9" i="2" s="1"/>
  <c r="F6" i="2" a="1"/>
  <c r="F6" i="2" s="1"/>
  <c r="E5" i="2" a="1"/>
  <c r="E5" i="2" s="1"/>
  <c r="E10" i="2" a="1"/>
  <c r="E10" i="2" s="1"/>
  <c r="D6" i="2" a="1"/>
  <c r="D6" i="2" s="1"/>
  <c r="C5" i="2" a="1"/>
  <c r="C5" i="2" s="1"/>
  <c r="C12" i="2" a="1"/>
  <c r="C12" i="2" s="1"/>
  <c r="G10" i="2" a="1"/>
  <c r="G10" i="2" s="1"/>
  <c r="F7" i="2" a="1"/>
  <c r="F7" i="2" s="1"/>
  <c r="E11" i="2" a="1"/>
  <c r="E11" i="2" s="1"/>
  <c r="D7" i="2" a="1"/>
  <c r="D7" i="2" s="1"/>
  <c r="C14" i="2" a="1"/>
  <c r="C14" i="2" s="1"/>
  <c r="C13" i="2" a="1"/>
  <c r="C13" i="2" s="1"/>
  <c r="G11" i="2" a="1"/>
  <c r="G11" i="2" s="1"/>
  <c r="F8" i="2" a="1"/>
  <c r="F8" i="2" s="1"/>
  <c r="E12" i="2" a="1"/>
  <c r="E12" i="2" s="1"/>
  <c r="D8" i="2" a="1"/>
  <c r="D8" i="2" s="1"/>
  <c r="C6" i="2" a="1"/>
  <c r="C6" i="2" s="1"/>
  <c r="G12" i="2" a="1"/>
  <c r="G12" i="2" s="1"/>
  <c r="F9" i="2" a="1"/>
  <c r="F9" i="2" s="1"/>
  <c r="E13" i="2" a="1"/>
  <c r="E13" i="2" s="1"/>
  <c r="D9" i="2" a="1"/>
  <c r="D9" i="2" s="1"/>
  <c r="C7" i="2" a="1"/>
  <c r="C7" i="2" s="1"/>
  <c r="G13" i="2" a="1"/>
  <c r="G13" i="2" s="1"/>
  <c r="F10" i="2" a="1"/>
  <c r="F10" i="2" s="1"/>
  <c r="E6" i="2" a="1"/>
  <c r="E6" i="2" s="1"/>
  <c r="D5" i="2" a="1"/>
  <c r="D5" i="2" s="1"/>
  <c r="D10" i="2" a="1"/>
  <c r="D10" i="2" s="1"/>
  <c r="C8" i="2" a="1"/>
  <c r="C8" i="2" s="1"/>
  <c r="G6" i="2" a="1"/>
  <c r="G6" i="2" s="1"/>
  <c r="G5" i="2" a="1"/>
  <c r="G5" i="2" s="1"/>
  <c r="F11" i="2" a="1"/>
  <c r="F11" i="2" s="1"/>
  <c r="E7" i="2" a="1"/>
  <c r="E7" i="2" s="1"/>
  <c r="D11" i="2" a="1"/>
  <c r="D11" i="2" s="1"/>
  <c r="C9" i="2" a="1"/>
  <c r="C9" i="2" s="1"/>
  <c r="G7" i="2" a="1"/>
  <c r="G7" i="2" s="1"/>
  <c r="F5" i="2" a="1"/>
  <c r="F5" i="2" s="1"/>
  <c r="F12" i="2" a="1"/>
  <c r="F12" i="2" s="1"/>
  <c r="E8" i="2" a="1"/>
  <c r="E8" i="2" s="1"/>
  <c r="D12" i="2" a="1"/>
  <c r="D12" i="2" s="1"/>
  <c r="C10" i="2" a="1"/>
  <c r="C10" i="2" s="1"/>
  <c r="G30" i="2" a="1"/>
  <c r="G30" i="2" s="1"/>
  <c r="G29" i="2" a="1"/>
  <c r="G29" i="2" s="1"/>
  <c r="F26" i="2" a="1"/>
  <c r="F26" i="2" s="1"/>
  <c r="E27" i="2" a="1"/>
  <c r="E27" i="2" s="1"/>
  <c r="D23" i="2" a="1"/>
  <c r="D23" i="2" s="1"/>
  <c r="G22" i="2" a="1"/>
  <c r="G22" i="2" s="1"/>
  <c r="G21" i="2" a="1"/>
  <c r="G21" i="2" s="1"/>
  <c r="F27" i="2" a="1"/>
  <c r="F27" i="2" s="1"/>
  <c r="E28" i="2" a="1"/>
  <c r="E28" i="2" s="1"/>
  <c r="D24" i="2" a="1"/>
  <c r="D24" i="2" s="1"/>
  <c r="G23" i="2" a="1"/>
  <c r="G23" i="2" s="1"/>
  <c r="F21" i="2" a="1"/>
  <c r="F21" i="2" s="1"/>
  <c r="F28" i="2" a="1"/>
  <c r="F28" i="2" s="1"/>
  <c r="E29" i="2" a="1"/>
  <c r="E29" i="2" s="1"/>
  <c r="D25" i="2" a="1"/>
  <c r="D25" i="2" s="1"/>
  <c r="G24" i="2" a="1"/>
  <c r="G24" i="2" s="1"/>
  <c r="F30" i="2" a="1"/>
  <c r="F30" i="2" s="1"/>
  <c r="F29" i="2" a="1"/>
  <c r="F29" i="2" s="1"/>
  <c r="E22" i="2" a="1"/>
  <c r="E22" i="2" s="1"/>
  <c r="D21" i="2" a="1"/>
  <c r="D21" i="2" s="1"/>
  <c r="D26" i="2" a="1"/>
  <c r="D26" i="2" s="1"/>
  <c r="C30" i="2" a="1"/>
  <c r="C30" i="2" s="1"/>
  <c r="G25" i="2" a="1"/>
  <c r="G25" i="2" s="1"/>
  <c r="F22" i="2" a="1"/>
  <c r="F22" i="2" s="1"/>
  <c r="E21" i="2" a="1"/>
  <c r="E21" i="2" s="1"/>
  <c r="E23" i="2" a="1"/>
  <c r="E23" i="2" s="1"/>
  <c r="D27" i="2" a="1"/>
  <c r="D27" i="2" s="1"/>
  <c r="G26" i="2" a="1"/>
  <c r="G26" i="2" s="1"/>
  <c r="F23" i="2" a="1"/>
  <c r="F23" i="2" s="1"/>
  <c r="E24" i="2" a="1"/>
  <c r="E24" i="2" s="1"/>
  <c r="D28" i="2" a="1"/>
  <c r="D28" i="2" s="1"/>
  <c r="G27" i="2" a="1"/>
  <c r="G27" i="2" s="1"/>
  <c r="F24" i="2" a="1"/>
  <c r="F24" i="2" s="1"/>
  <c r="E25" i="2" a="1"/>
  <c r="E25" i="2" s="1"/>
  <c r="D30" i="2" a="1"/>
  <c r="D30" i="2" s="1"/>
  <c r="D29" i="2" a="1"/>
  <c r="D29" i="2" s="1"/>
  <c r="G28" i="2" a="1"/>
  <c r="G28" i="2" s="1"/>
  <c r="F25" i="2" a="1"/>
  <c r="F25" i="2" s="1"/>
  <c r="E26" i="2" a="1"/>
  <c r="E26" i="2" s="1"/>
  <c r="D22" i="2" a="1"/>
  <c r="D22" i="2" s="1"/>
  <c r="C21" i="2" a="1"/>
  <c r="C21" i="2" s="1"/>
  <c r="B25" i="2"/>
  <c r="B24" i="2"/>
  <c r="B6" i="2"/>
  <c r="B23" i="2"/>
  <c r="B22" i="2"/>
  <c r="B11" i="2"/>
  <c r="B21" i="2"/>
  <c r="B28" i="2"/>
  <c r="B27" i="2"/>
  <c r="C22" i="2" a="1"/>
  <c r="C22" i="2" s="1"/>
  <c r="C23" i="2" a="1"/>
  <c r="C23" i="2" s="1"/>
  <c r="C24" i="2" a="1"/>
  <c r="C24" i="2" s="1"/>
  <c r="C25" i="2" a="1"/>
  <c r="C25" i="2" s="1"/>
  <c r="C26" i="2" a="1"/>
  <c r="C26" i="2" s="1"/>
  <c r="C27" i="2" a="1"/>
  <c r="C27" i="2" s="1"/>
  <c r="C28" i="2" a="1"/>
  <c r="C28" i="2" s="1"/>
  <c r="C29" i="2" a="1"/>
  <c r="C29" i="2" s="1"/>
  <c r="B8" i="2"/>
  <c r="B13" i="2"/>
  <c r="B9" i="2"/>
  <c r="B7" i="2"/>
  <c r="B12" i="2"/>
  <c r="O17" i="6" l="1"/>
  <c r="G231" i="6"/>
  <c r="G239" i="6"/>
  <c r="G247" i="6"/>
  <c r="G255" i="6"/>
  <c r="G263" i="6"/>
  <c r="G271" i="6"/>
  <c r="G279" i="6"/>
  <c r="G287" i="6"/>
  <c r="G295" i="6"/>
  <c r="G303" i="6"/>
  <c r="G311" i="6"/>
  <c r="G319" i="6"/>
  <c r="G327" i="6"/>
  <c r="G335" i="6"/>
  <c r="G343" i="6"/>
  <c r="G351" i="6"/>
  <c r="G359" i="6"/>
  <c r="G367" i="6"/>
  <c r="G375" i="6"/>
  <c r="G383" i="6"/>
  <c r="G391" i="6"/>
  <c r="G399" i="6"/>
  <c r="G407" i="6"/>
  <c r="G415" i="6"/>
  <c r="G232" i="6"/>
  <c r="G240" i="6"/>
  <c r="G248" i="6"/>
  <c r="G256" i="6"/>
  <c r="G264" i="6"/>
  <c r="G272" i="6"/>
  <c r="G280" i="6"/>
  <c r="G288" i="6"/>
  <c r="G296" i="6"/>
  <c r="G304" i="6"/>
  <c r="G312" i="6"/>
  <c r="G320" i="6"/>
  <c r="G328" i="6"/>
  <c r="G336" i="6"/>
  <c r="G344" i="6"/>
  <c r="G352" i="6"/>
  <c r="G360" i="6"/>
  <c r="G368" i="6"/>
  <c r="G376" i="6"/>
  <c r="G384" i="6"/>
  <c r="G392" i="6"/>
  <c r="G400" i="6"/>
  <c r="G408" i="6"/>
  <c r="G416" i="6"/>
  <c r="G233" i="6"/>
  <c r="G241" i="6"/>
  <c r="G249" i="6"/>
  <c r="G257" i="6"/>
  <c r="G265" i="6"/>
  <c r="G273" i="6"/>
  <c r="G281" i="6"/>
  <c r="G289" i="6"/>
  <c r="G297" i="6"/>
  <c r="G305" i="6"/>
  <c r="G313" i="6"/>
  <c r="G321" i="6"/>
  <c r="G329" i="6"/>
  <c r="G337" i="6"/>
  <c r="G345" i="6"/>
  <c r="G353" i="6"/>
  <c r="G361" i="6"/>
  <c r="G369" i="6"/>
  <c r="G377" i="6"/>
  <c r="G385" i="6"/>
  <c r="G393" i="6"/>
  <c r="G401" i="6"/>
  <c r="G409" i="6"/>
  <c r="G417" i="6"/>
  <c r="G234" i="6"/>
  <c r="G242" i="6"/>
  <c r="G250" i="6"/>
  <c r="G258" i="6"/>
  <c r="G266" i="6"/>
  <c r="G274" i="6"/>
  <c r="G282" i="6"/>
  <c r="G290" i="6"/>
  <c r="G298" i="6"/>
  <c r="G306" i="6"/>
  <c r="G314" i="6"/>
  <c r="G322" i="6"/>
  <c r="G330" i="6"/>
  <c r="G338" i="6"/>
  <c r="G346" i="6"/>
  <c r="G354" i="6"/>
  <c r="G362" i="6"/>
  <c r="G370" i="6"/>
  <c r="G378" i="6"/>
  <c r="G386" i="6"/>
  <c r="G394" i="6"/>
  <c r="G402" i="6"/>
  <c r="G410" i="6"/>
  <c r="G418" i="6"/>
  <c r="G235" i="6"/>
  <c r="G243" i="6"/>
  <c r="G251" i="6"/>
  <c r="G259" i="6"/>
  <c r="G267" i="6"/>
  <c r="G275" i="6"/>
  <c r="G283" i="6"/>
  <c r="G291" i="6"/>
  <c r="G299" i="6"/>
  <c r="G307" i="6"/>
  <c r="G315" i="6"/>
  <c r="G323" i="6"/>
  <c r="G331" i="6"/>
  <c r="G339" i="6"/>
  <c r="G347" i="6"/>
  <c r="G355" i="6"/>
  <c r="G363" i="6"/>
  <c r="G371" i="6"/>
  <c r="G379" i="6"/>
  <c r="G387" i="6"/>
  <c r="G395" i="6"/>
  <c r="G403" i="6"/>
  <c r="G411" i="6"/>
  <c r="G419" i="6"/>
  <c r="G236" i="6"/>
  <c r="G244" i="6"/>
  <c r="G252" i="6"/>
  <c r="G260" i="6"/>
  <c r="G268" i="6"/>
  <c r="G276" i="6"/>
  <c r="G284" i="6"/>
  <c r="G292" i="6"/>
  <c r="G300" i="6"/>
  <c r="G308" i="6"/>
  <c r="G316" i="6"/>
  <c r="G324" i="6"/>
  <c r="G332" i="6"/>
  <c r="G340" i="6"/>
  <c r="G348" i="6"/>
  <c r="G356" i="6"/>
  <c r="G364" i="6"/>
  <c r="G372" i="6"/>
  <c r="G380" i="6"/>
  <c r="G388" i="6"/>
  <c r="G396" i="6"/>
  <c r="G404" i="6"/>
  <c r="G412" i="6"/>
  <c r="G230" i="6"/>
  <c r="G237" i="6"/>
  <c r="G245" i="6"/>
  <c r="G253" i="6"/>
  <c r="G261" i="6"/>
  <c r="G269" i="6"/>
  <c r="G277" i="6"/>
  <c r="G285" i="6"/>
  <c r="G293" i="6"/>
  <c r="G301" i="6"/>
  <c r="G309" i="6"/>
  <c r="G317" i="6"/>
  <c r="G325" i="6"/>
  <c r="G333" i="6"/>
  <c r="G341" i="6"/>
  <c r="G349" i="6"/>
  <c r="G357" i="6"/>
  <c r="G365" i="6"/>
  <c r="G373" i="6"/>
  <c r="G381" i="6"/>
  <c r="G389" i="6"/>
  <c r="G397" i="6"/>
  <c r="G405" i="6"/>
  <c r="G413" i="6"/>
  <c r="G238" i="6"/>
  <c r="G246" i="6"/>
  <c r="G254" i="6"/>
  <c r="G262" i="6"/>
  <c r="G270" i="6"/>
  <c r="G278" i="6"/>
  <c r="G286" i="6"/>
  <c r="G294" i="6"/>
  <c r="G302" i="6"/>
  <c r="G310" i="6"/>
  <c r="G318" i="6"/>
  <c r="G326" i="6"/>
  <c r="G334" i="6"/>
  <c r="G342" i="6"/>
  <c r="G350" i="6"/>
  <c r="G358" i="6"/>
  <c r="G366" i="6"/>
  <c r="G374" i="6"/>
  <c r="G382" i="6"/>
  <c r="G390" i="6"/>
  <c r="G398" i="6"/>
  <c r="G406" i="6"/>
  <c r="G414" i="6"/>
  <c r="O16" i="6"/>
  <c r="O15" i="6" s="1"/>
  <c r="O14" i="6" s="1"/>
  <c r="O18" i="6"/>
  <c r="O19" i="6" s="1"/>
  <c r="O20" i="6" s="1"/>
  <c r="O4" i="6"/>
  <c r="O3" i="6" s="1"/>
  <c r="O2" i="6" s="1"/>
  <c r="O6" i="6"/>
  <c r="O7" i="6" s="1"/>
  <c r="O8" i="6" s="1"/>
  <c r="D230" i="6"/>
  <c r="D231" i="6"/>
  <c r="D239" i="6"/>
  <c r="D247" i="6"/>
  <c r="D255" i="6"/>
  <c r="D263" i="6"/>
  <c r="D271" i="6"/>
  <c r="D279" i="6"/>
  <c r="D287" i="6"/>
  <c r="D295" i="6"/>
  <c r="D303" i="6"/>
  <c r="D311" i="6"/>
  <c r="D319" i="6"/>
  <c r="D327" i="6"/>
  <c r="D335" i="6"/>
  <c r="D343" i="6"/>
  <c r="D351" i="6"/>
  <c r="D359" i="6"/>
  <c r="D367" i="6"/>
  <c r="D375" i="6"/>
  <c r="D383" i="6"/>
  <c r="D391" i="6"/>
  <c r="D399" i="6"/>
  <c r="D407" i="6"/>
  <c r="D415" i="6"/>
  <c r="D232" i="6"/>
  <c r="D240" i="6"/>
  <c r="D248" i="6"/>
  <c r="D256" i="6"/>
  <c r="D264" i="6"/>
  <c r="D272" i="6"/>
  <c r="D280" i="6"/>
  <c r="D288" i="6"/>
  <c r="D296" i="6"/>
  <c r="D304" i="6"/>
  <c r="D312" i="6"/>
  <c r="D320" i="6"/>
  <c r="D328" i="6"/>
  <c r="D336" i="6"/>
  <c r="D344" i="6"/>
  <c r="D352" i="6"/>
  <c r="D360" i="6"/>
  <c r="D368" i="6"/>
  <c r="D376" i="6"/>
  <c r="D384" i="6"/>
  <c r="D392" i="6"/>
  <c r="D400" i="6"/>
  <c r="D408" i="6"/>
  <c r="D416" i="6"/>
  <c r="D233" i="6"/>
  <c r="D241" i="6"/>
  <c r="D249" i="6"/>
  <c r="D257" i="6"/>
  <c r="D265" i="6"/>
  <c r="D273" i="6"/>
  <c r="D281" i="6"/>
  <c r="D289" i="6"/>
  <c r="D297" i="6"/>
  <c r="D305" i="6"/>
  <c r="D313" i="6"/>
  <c r="D321" i="6"/>
  <c r="D329" i="6"/>
  <c r="D337" i="6"/>
  <c r="D345" i="6"/>
  <c r="D353" i="6"/>
  <c r="D361" i="6"/>
  <c r="D369" i="6"/>
  <c r="D377" i="6"/>
  <c r="D385" i="6"/>
  <c r="D393" i="6"/>
  <c r="D401" i="6"/>
  <c r="D409" i="6"/>
  <c r="D417" i="6"/>
  <c r="D234" i="6"/>
  <c r="D242" i="6"/>
  <c r="D250" i="6"/>
  <c r="D258" i="6"/>
  <c r="D266" i="6"/>
  <c r="D274" i="6"/>
  <c r="D282" i="6"/>
  <c r="D290" i="6"/>
  <c r="D298" i="6"/>
  <c r="D306" i="6"/>
  <c r="D314" i="6"/>
  <c r="D322" i="6"/>
  <c r="D330" i="6"/>
  <c r="D338" i="6"/>
  <c r="D346" i="6"/>
  <c r="D354" i="6"/>
  <c r="D362" i="6"/>
  <c r="D370" i="6"/>
  <c r="D378" i="6"/>
  <c r="D386" i="6"/>
  <c r="D394" i="6"/>
  <c r="D402" i="6"/>
  <c r="D410" i="6"/>
  <c r="D418" i="6"/>
  <c r="D235" i="6"/>
  <c r="D243" i="6"/>
  <c r="D251" i="6"/>
  <c r="D259" i="6"/>
  <c r="D267" i="6"/>
  <c r="D275" i="6"/>
  <c r="D283" i="6"/>
  <c r="D291" i="6"/>
  <c r="D299" i="6"/>
  <c r="D307" i="6"/>
  <c r="D315" i="6"/>
  <c r="D323" i="6"/>
  <c r="D331" i="6"/>
  <c r="D339" i="6"/>
  <c r="D347" i="6"/>
  <c r="D355" i="6"/>
  <c r="D363" i="6"/>
  <c r="D371" i="6"/>
  <c r="D379" i="6"/>
  <c r="D387" i="6"/>
  <c r="D395" i="6"/>
  <c r="D403" i="6"/>
  <c r="D411" i="6"/>
  <c r="D419" i="6"/>
  <c r="D236" i="6"/>
  <c r="D244" i="6"/>
  <c r="D252" i="6"/>
  <c r="D260" i="6"/>
  <c r="D268" i="6"/>
  <c r="D276" i="6"/>
  <c r="D284" i="6"/>
  <c r="D292" i="6"/>
  <c r="D300" i="6"/>
  <c r="D308" i="6"/>
  <c r="D316" i="6"/>
  <c r="D324" i="6"/>
  <c r="D332" i="6"/>
  <c r="D340" i="6"/>
  <c r="D348" i="6"/>
  <c r="D356" i="6"/>
  <c r="D364" i="6"/>
  <c r="D372" i="6"/>
  <c r="D380" i="6"/>
  <c r="D388" i="6"/>
  <c r="D396" i="6"/>
  <c r="D404" i="6"/>
  <c r="D412" i="6"/>
  <c r="D237" i="6"/>
  <c r="D245" i="6"/>
  <c r="D253" i="6"/>
  <c r="D261" i="6"/>
  <c r="D269" i="6"/>
  <c r="D277" i="6"/>
  <c r="D285" i="6"/>
  <c r="D293" i="6"/>
  <c r="D301" i="6"/>
  <c r="D309" i="6"/>
  <c r="D317" i="6"/>
  <c r="D325" i="6"/>
  <c r="D333" i="6"/>
  <c r="D341" i="6"/>
  <c r="D349" i="6"/>
  <c r="D357" i="6"/>
  <c r="D365" i="6"/>
  <c r="D373" i="6"/>
  <c r="D381" i="6"/>
  <c r="D389" i="6"/>
  <c r="D397" i="6"/>
  <c r="D405" i="6"/>
  <c r="D413" i="6"/>
  <c r="D238" i="6"/>
  <c r="D246" i="6"/>
  <c r="D254" i="6"/>
  <c r="D262" i="6"/>
  <c r="D270" i="6"/>
  <c r="D278" i="6"/>
  <c r="D286" i="6"/>
  <c r="D294" i="6"/>
  <c r="D302" i="6"/>
  <c r="D310" i="6"/>
  <c r="D318" i="6"/>
  <c r="D326" i="6"/>
  <c r="D334" i="6"/>
  <c r="D342" i="6"/>
  <c r="D350" i="6"/>
  <c r="D358" i="6"/>
  <c r="D366" i="6"/>
  <c r="D374" i="6"/>
  <c r="D382" i="6"/>
  <c r="D390" i="6"/>
  <c r="D398" i="6"/>
  <c r="D406" i="6"/>
  <c r="D41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<sst xmlns="http://schemas.openxmlformats.org/spreadsheetml/2006/main" count="7529" uniqueCount="625">
  <si>
    <t>Ticker Symbol</t>
  </si>
  <si>
    <t>Years</t>
  </si>
  <si>
    <t>Period Ending</t>
  </si>
  <si>
    <t xml:space="preserve"> Total Revenue </t>
  </si>
  <si>
    <t xml:space="preserve"> Cost of Goods Sold </t>
  </si>
  <si>
    <t xml:space="preserve"> Sales, General and Admin. </t>
  </si>
  <si>
    <t xml:space="preserve"> Research and Development </t>
  </si>
  <si>
    <t xml:space="preserve"> Other Operating Items </t>
  </si>
  <si>
    <t>GICS Sector</t>
  </si>
  <si>
    <t>GICS Sub Industry</t>
  </si>
  <si>
    <t>AAL</t>
  </si>
  <si>
    <t>Year 1</t>
  </si>
  <si>
    <t>Industrials</t>
  </si>
  <si>
    <t>Airlines</t>
  </si>
  <si>
    <t>Year 2</t>
  </si>
  <si>
    <t>Year 3</t>
  </si>
  <si>
    <t>Year 4</t>
  </si>
  <si>
    <t>AAP</t>
  </si>
  <si>
    <t>Consumer Discretionary</t>
  </si>
  <si>
    <t>Automotive Retail</t>
  </si>
  <si>
    <t>AAPL</t>
  </si>
  <si>
    <t>Information Technology</t>
  </si>
  <si>
    <t>Computer Hardware</t>
  </si>
  <si>
    <t>ABBV</t>
  </si>
  <si>
    <t>Health Care</t>
  </si>
  <si>
    <t>Pharmaceuticals</t>
  </si>
  <si>
    <t>ABC</t>
  </si>
  <si>
    <t>Health Care Distributors</t>
  </si>
  <si>
    <t>ABT</t>
  </si>
  <si>
    <t>Health Care Equipment</t>
  </si>
  <si>
    <t>ADBE</t>
  </si>
  <si>
    <t>Application Software</t>
  </si>
  <si>
    <t>ADI</t>
  </si>
  <si>
    <t>Semiconductors</t>
  </si>
  <si>
    <t>ADM</t>
  </si>
  <si>
    <t>Consumer Staples</t>
  </si>
  <si>
    <t>Agricultural Products</t>
  </si>
  <si>
    <t>ADS</t>
  </si>
  <si>
    <t>Data Processing &amp; Outsourced Services</t>
  </si>
  <si>
    <t>ADSK</t>
  </si>
  <si>
    <t>AEE</t>
  </si>
  <si>
    <t>Utilities</t>
  </si>
  <si>
    <t>MultiUtilities</t>
  </si>
  <si>
    <t>AEP</t>
  </si>
  <si>
    <t>Electric Utilities</t>
  </si>
  <si>
    <t>AFL</t>
  </si>
  <si>
    <t>Financials</t>
  </si>
  <si>
    <t>Life &amp; Health Insurance</t>
  </si>
  <si>
    <t>AIG</t>
  </si>
  <si>
    <t>Property &amp; Casualty Insurance</t>
  </si>
  <si>
    <t>AIV</t>
  </si>
  <si>
    <t>Real Estate</t>
  </si>
  <si>
    <t>REITs</t>
  </si>
  <si>
    <t>AIZ</t>
  </si>
  <si>
    <t>Multi-line Insurance</t>
  </si>
  <si>
    <t>AKAM</t>
  </si>
  <si>
    <t>Internet Software &amp; Services</t>
  </si>
  <si>
    <t>ALB</t>
  </si>
  <si>
    <t>Materials</t>
  </si>
  <si>
    <t>Specialty Chemicals</t>
  </si>
  <si>
    <t>ALK</t>
  </si>
  <si>
    <t>ALL</t>
  </si>
  <si>
    <t>ALLE</t>
  </si>
  <si>
    <t>Building Products</t>
  </si>
  <si>
    <t>ALXN</t>
  </si>
  <si>
    <t>Biotechnology</t>
  </si>
  <si>
    <t>AMAT</t>
  </si>
  <si>
    <t>Semiconductor Equipment</t>
  </si>
  <si>
    <t>AME</t>
  </si>
  <si>
    <t>Electrical Components &amp; Equipment</t>
  </si>
  <si>
    <t>AMGN</t>
  </si>
  <si>
    <t>AMP</t>
  </si>
  <si>
    <t>Asset Management &amp; Custody Banks</t>
  </si>
  <si>
    <t>AMT</t>
  </si>
  <si>
    <t>Specialized REITs</t>
  </si>
  <si>
    <t>AMZN</t>
  </si>
  <si>
    <t>Internet &amp; Direct Marketing Retail</t>
  </si>
  <si>
    <t>AN</t>
  </si>
  <si>
    <t>Specialty Stores</t>
  </si>
  <si>
    <t>ANTM</t>
  </si>
  <si>
    <t>Managed Health Care</t>
  </si>
  <si>
    <t>APA</t>
  </si>
  <si>
    <t>Energy</t>
  </si>
  <si>
    <t>Oil &amp; Gas Exploration &amp; Production</t>
  </si>
  <si>
    <t>APC</t>
  </si>
  <si>
    <t>APD</t>
  </si>
  <si>
    <t>Industrial Gases</t>
  </si>
  <si>
    <t>APH</t>
  </si>
  <si>
    <t>Electronic Components</t>
  </si>
  <si>
    <t>ARNC</t>
  </si>
  <si>
    <t>Aerospace &amp; Defense</t>
  </si>
  <si>
    <t>ATVI</t>
  </si>
  <si>
    <t>Home Entertainment Software</t>
  </si>
  <si>
    <t>AVGO</t>
  </si>
  <si>
    <t>AVY</t>
  </si>
  <si>
    <t>Paper Packaging</t>
  </si>
  <si>
    <t>AWK</t>
  </si>
  <si>
    <t>Water Utilities</t>
  </si>
  <si>
    <t>AXP</t>
  </si>
  <si>
    <t>Consumer Finance</t>
  </si>
  <si>
    <t>AYI</t>
  </si>
  <si>
    <t>AZO</t>
  </si>
  <si>
    <t>BA</t>
  </si>
  <si>
    <t>BAC</t>
  </si>
  <si>
    <t>Banks</t>
  </si>
  <si>
    <t>BAX</t>
  </si>
  <si>
    <t>BBBY</t>
  </si>
  <si>
    <t>BBT</t>
  </si>
  <si>
    <t>BBY</t>
  </si>
  <si>
    <t>Computer &amp; Electronics Retail</t>
  </si>
  <si>
    <t>BCR</t>
  </si>
  <si>
    <t>BDX</t>
  </si>
  <si>
    <t>BHI</t>
  </si>
  <si>
    <t>Oil &amp; Gas Equipment &amp; Services</t>
  </si>
  <si>
    <t>BIIB</t>
  </si>
  <si>
    <t>BLL</t>
  </si>
  <si>
    <t>Metal &amp; Glass Containers</t>
  </si>
  <si>
    <t>BMY</t>
  </si>
  <si>
    <t>BSX</t>
  </si>
  <si>
    <t>BWA</t>
  </si>
  <si>
    <t>Auto Parts &amp; Equipment</t>
  </si>
  <si>
    <t>BXP</t>
  </si>
  <si>
    <t>CAG</t>
  </si>
  <si>
    <t>Packaged Foods &amp; Meats</t>
  </si>
  <si>
    <t>CAH</t>
  </si>
  <si>
    <t>CAT</t>
  </si>
  <si>
    <t>Construction &amp; Farm Machinery &amp; Heavy Trucks</t>
  </si>
  <si>
    <t>CB</t>
  </si>
  <si>
    <t>CBG</t>
  </si>
  <si>
    <t>Real Estate Services</t>
  </si>
  <si>
    <t>CCI</t>
  </si>
  <si>
    <t>CCL</t>
  </si>
  <si>
    <t>Hotels, Resorts &amp; Cruise Lines</t>
  </si>
  <si>
    <t>CELG</t>
  </si>
  <si>
    <t>CERN</t>
  </si>
  <si>
    <t>Health Care Technology</t>
  </si>
  <si>
    <t>CF</t>
  </si>
  <si>
    <t>Fertilizers &amp; Agricultural Chemicals</t>
  </si>
  <si>
    <t>CFG</t>
  </si>
  <si>
    <t>Regional Banks</t>
  </si>
  <si>
    <t>CHD</t>
  </si>
  <si>
    <t>Household Products</t>
  </si>
  <si>
    <t>CHK</t>
  </si>
  <si>
    <t>Integrated Oil &amp; Gas</t>
  </si>
  <si>
    <t>CHRW</t>
  </si>
  <si>
    <t>Air Freight &amp; Logistics</t>
  </si>
  <si>
    <t>CHTR</t>
  </si>
  <si>
    <t>Cable &amp; Satellite</t>
  </si>
  <si>
    <t>CI</t>
  </si>
  <si>
    <t>CINF</t>
  </si>
  <si>
    <t>CL</t>
  </si>
  <si>
    <t>CLX</t>
  </si>
  <si>
    <t>CMA</t>
  </si>
  <si>
    <t>CMG</t>
  </si>
  <si>
    <t>Restaurants</t>
  </si>
  <si>
    <t>CMI</t>
  </si>
  <si>
    <t>Industrial Machinery</t>
  </si>
  <si>
    <t>CMS</t>
  </si>
  <si>
    <t>CNC</t>
  </si>
  <si>
    <t>CNP</t>
  </si>
  <si>
    <t>COF</t>
  </si>
  <si>
    <t>COG</t>
  </si>
  <si>
    <t>COL</t>
  </si>
  <si>
    <t>Industrial Conglomerates</t>
  </si>
  <si>
    <t>COO</t>
  </si>
  <si>
    <t>Health Care Supplies</t>
  </si>
  <si>
    <t>COST</t>
  </si>
  <si>
    <t>Hypermarkets &amp; Super Centers</t>
  </si>
  <si>
    <t>COTY</t>
  </si>
  <si>
    <t>Personal Products</t>
  </si>
  <si>
    <t>CPB</t>
  </si>
  <si>
    <t>CRM</t>
  </si>
  <si>
    <t>CSCO</t>
  </si>
  <si>
    <t>Networking Equipment</t>
  </si>
  <si>
    <t>CSRA</t>
  </si>
  <si>
    <t>IT Consulting &amp; Other Services</t>
  </si>
  <si>
    <t>CSX</t>
  </si>
  <si>
    <t>Railroads</t>
  </si>
  <si>
    <t>CTAS</t>
  </si>
  <si>
    <t>Diversified Support Services</t>
  </si>
  <si>
    <t>CTL</t>
  </si>
  <si>
    <t>Telecommunications Services</t>
  </si>
  <si>
    <t>Integrated Telecommunications Services</t>
  </si>
  <si>
    <t>CTSH</t>
  </si>
  <si>
    <t>CTXS</t>
  </si>
  <si>
    <t>CVS</t>
  </si>
  <si>
    <t>Drug Retail</t>
  </si>
  <si>
    <t>CVX</t>
  </si>
  <si>
    <t>CXO</t>
  </si>
  <si>
    <t>D</t>
  </si>
  <si>
    <t>DAL</t>
  </si>
  <si>
    <t>DD</t>
  </si>
  <si>
    <t>Diversified Chemicals</t>
  </si>
  <si>
    <t>DE</t>
  </si>
  <si>
    <t>DFS</t>
  </si>
  <si>
    <t>DG</t>
  </si>
  <si>
    <t>General Merchandise Stores</t>
  </si>
  <si>
    <t>DGX</t>
  </si>
  <si>
    <t>Health Care Facilities</t>
  </si>
  <si>
    <t>DHI</t>
  </si>
  <si>
    <t>Homebuilding</t>
  </si>
  <si>
    <t>DHR</t>
  </si>
  <si>
    <t>DIS</t>
  </si>
  <si>
    <t>Broadcasting &amp; Cable TV</t>
  </si>
  <si>
    <t>DISCA</t>
  </si>
  <si>
    <t>DISCK</t>
  </si>
  <si>
    <t>DLPH</t>
  </si>
  <si>
    <t>DLR</t>
  </si>
  <si>
    <t>DLTR</t>
  </si>
  <si>
    <t>DNB</t>
  </si>
  <si>
    <t>Research &amp; Consulting Services</t>
  </si>
  <si>
    <t>DOV</t>
  </si>
  <si>
    <t>DPS</t>
  </si>
  <si>
    <t>Soft Drinks</t>
  </si>
  <si>
    <t>DRI</t>
  </si>
  <si>
    <t>DUK</t>
  </si>
  <si>
    <t>DVA</t>
  </si>
  <si>
    <t>DVN</t>
  </si>
  <si>
    <t>EA</t>
  </si>
  <si>
    <t>EBAY</t>
  </si>
  <si>
    <t>ECL</t>
  </si>
  <si>
    <t>ED</t>
  </si>
  <si>
    <t>EFX</t>
  </si>
  <si>
    <t>EIX</t>
  </si>
  <si>
    <t>EL</t>
  </si>
  <si>
    <t>EMN</t>
  </si>
  <si>
    <t>EMR</t>
  </si>
  <si>
    <t>EOG</t>
  </si>
  <si>
    <t>EQIX</t>
  </si>
  <si>
    <t>EQR</t>
  </si>
  <si>
    <t>EQT</t>
  </si>
  <si>
    <t>ES</t>
  </si>
  <si>
    <t>ESS</t>
  </si>
  <si>
    <t>Residential REITs</t>
  </si>
  <si>
    <t>ETFC</t>
  </si>
  <si>
    <t>Investment Banking &amp; Brokerage</t>
  </si>
  <si>
    <t>ETN</t>
  </si>
  <si>
    <t>ETR</t>
  </si>
  <si>
    <t>EW</t>
  </si>
  <si>
    <t>EXC</t>
  </si>
  <si>
    <t>EXPD</t>
  </si>
  <si>
    <t>EXPE</t>
  </si>
  <si>
    <t>EXR</t>
  </si>
  <si>
    <t>F</t>
  </si>
  <si>
    <t>Automobile Manufacturers</t>
  </si>
  <si>
    <t>FAST</t>
  </si>
  <si>
    <t>FB</t>
  </si>
  <si>
    <t>FBHS</t>
  </si>
  <si>
    <t>FCX</t>
  </si>
  <si>
    <t>Copper</t>
  </si>
  <si>
    <t>FDX</t>
  </si>
  <si>
    <t>FE</t>
  </si>
  <si>
    <t>FFIV</t>
  </si>
  <si>
    <t>FIS</t>
  </si>
  <si>
    <t>FISV</t>
  </si>
  <si>
    <t>FL</t>
  </si>
  <si>
    <t>Apparel Retail</t>
  </si>
  <si>
    <t>FLIR</t>
  </si>
  <si>
    <t>Electronic Equipment &amp; Instruments</t>
  </si>
  <si>
    <t>FLR</t>
  </si>
  <si>
    <t>Diversified Commercial Services</t>
  </si>
  <si>
    <t>FLS</t>
  </si>
  <si>
    <t>FMC</t>
  </si>
  <si>
    <t>FRT</t>
  </si>
  <si>
    <t>Retail REITs</t>
  </si>
  <si>
    <t>FSLR</t>
  </si>
  <si>
    <t>FTR</t>
  </si>
  <si>
    <t>GD</t>
  </si>
  <si>
    <t>GGP</t>
  </si>
  <si>
    <t>GILD</t>
  </si>
  <si>
    <t>GIS</t>
  </si>
  <si>
    <t>GLW</t>
  </si>
  <si>
    <t>GM</t>
  </si>
  <si>
    <t>GPC</t>
  </si>
  <si>
    <t>GPN</t>
  </si>
  <si>
    <t>GPS</t>
  </si>
  <si>
    <t>GRMN</t>
  </si>
  <si>
    <t>Consumer Electronics</t>
  </si>
  <si>
    <t>GT</t>
  </si>
  <si>
    <t>Tires &amp; Rubber</t>
  </si>
  <si>
    <t>GWW</t>
  </si>
  <si>
    <t>Industrial Materials</t>
  </si>
  <si>
    <t>HAL</t>
  </si>
  <si>
    <t>HAR</t>
  </si>
  <si>
    <t>HAS</t>
  </si>
  <si>
    <t>Leisure Products</t>
  </si>
  <si>
    <t>HBAN</t>
  </si>
  <si>
    <t>HBI</t>
  </si>
  <si>
    <t>Apparel, Accessories &amp; Luxury Goods</t>
  </si>
  <si>
    <t>HCA</t>
  </si>
  <si>
    <t>HCN</t>
  </si>
  <si>
    <t>HCP</t>
  </si>
  <si>
    <t>HD</t>
  </si>
  <si>
    <t>Home Improvement Retail</t>
  </si>
  <si>
    <t>HES</t>
  </si>
  <si>
    <t>HIG</t>
  </si>
  <si>
    <t>HOG</t>
  </si>
  <si>
    <t>Motorcycle Manufacturers</t>
  </si>
  <si>
    <t>HOLX</t>
  </si>
  <si>
    <t>HON</t>
  </si>
  <si>
    <t>HP</t>
  </si>
  <si>
    <t>Oil &amp; Gas Drilling</t>
  </si>
  <si>
    <t>HPE</t>
  </si>
  <si>
    <t>Technology Hardware, Storage &amp; Peripherals</t>
  </si>
  <si>
    <t>HPQ</t>
  </si>
  <si>
    <t>HRB</t>
  </si>
  <si>
    <t>HRL</t>
  </si>
  <si>
    <t>HRS</t>
  </si>
  <si>
    <t>Telecommunications Equipment</t>
  </si>
  <si>
    <t>HSIC</t>
  </si>
  <si>
    <t>HST</t>
  </si>
  <si>
    <t>HSY</t>
  </si>
  <si>
    <t>HUM</t>
  </si>
  <si>
    <t>IBM</t>
  </si>
  <si>
    <t>IDXX</t>
  </si>
  <si>
    <t>IFF</t>
  </si>
  <si>
    <t>ILMN</t>
  </si>
  <si>
    <t>Life Sciences Tools &amp; Services</t>
  </si>
  <si>
    <t>INTC</t>
  </si>
  <si>
    <t>INTU</t>
  </si>
  <si>
    <t>IP</t>
  </si>
  <si>
    <t>IPG</t>
  </si>
  <si>
    <t>Advertising</t>
  </si>
  <si>
    <t>IRM</t>
  </si>
  <si>
    <t>ISRG</t>
  </si>
  <si>
    <t>ITW</t>
  </si>
  <si>
    <t>IVZ</t>
  </si>
  <si>
    <t>JBHT</t>
  </si>
  <si>
    <t>Trucking</t>
  </si>
  <si>
    <t>JEC</t>
  </si>
  <si>
    <t>JNPR</t>
  </si>
  <si>
    <t>JPM</t>
  </si>
  <si>
    <t>JWN</t>
  </si>
  <si>
    <t>Department Stores</t>
  </si>
  <si>
    <t>K</t>
  </si>
  <si>
    <t>KEY</t>
  </si>
  <si>
    <t>KIM</t>
  </si>
  <si>
    <t>KLAC</t>
  </si>
  <si>
    <t>KMB</t>
  </si>
  <si>
    <t>KMI</t>
  </si>
  <si>
    <t>Oil &amp; Gas Refining &amp; Marketing &amp; Transportation</t>
  </si>
  <si>
    <t>KMX</t>
  </si>
  <si>
    <t>KO</t>
  </si>
  <si>
    <t>KORS</t>
  </si>
  <si>
    <t>KR</t>
  </si>
  <si>
    <t>Food Retail</t>
  </si>
  <si>
    <t>KSS</t>
  </si>
  <si>
    <t>KSU</t>
  </si>
  <si>
    <t>LB</t>
  </si>
  <si>
    <t>LEG</t>
  </si>
  <si>
    <t>LEN</t>
  </si>
  <si>
    <t>LH</t>
  </si>
  <si>
    <t>LKQ</t>
  </si>
  <si>
    <t>Distributors</t>
  </si>
  <si>
    <t>LLL</t>
  </si>
  <si>
    <t>LLTC</t>
  </si>
  <si>
    <t>LLY</t>
  </si>
  <si>
    <t>LMT</t>
  </si>
  <si>
    <t>LNT</t>
  </si>
  <si>
    <t>LOW</t>
  </si>
  <si>
    <t>LRCX</t>
  </si>
  <si>
    <t>LUK</t>
  </si>
  <si>
    <t>Multi-Sector Holdings</t>
  </si>
  <si>
    <t>LUV</t>
  </si>
  <si>
    <t>LVLT</t>
  </si>
  <si>
    <t>Alternative Carriers</t>
  </si>
  <si>
    <t>LYB</t>
  </si>
  <si>
    <t>M</t>
  </si>
  <si>
    <t>MA</t>
  </si>
  <si>
    <t>MAA</t>
  </si>
  <si>
    <t>MAC</t>
  </si>
  <si>
    <t>MAR</t>
  </si>
  <si>
    <t>MAS</t>
  </si>
  <si>
    <t>MAT</t>
  </si>
  <si>
    <t>MCD</t>
  </si>
  <si>
    <t>MCHP</t>
  </si>
  <si>
    <t>MCK</t>
  </si>
  <si>
    <t>MCO</t>
  </si>
  <si>
    <t>Diversified Financial Services</t>
  </si>
  <si>
    <t>MDLZ</t>
  </si>
  <si>
    <t>MET</t>
  </si>
  <si>
    <t>MHK</t>
  </si>
  <si>
    <t>Home Furnishings</t>
  </si>
  <si>
    <t>MJN</t>
  </si>
  <si>
    <t>MKC</t>
  </si>
  <si>
    <t>MLM</t>
  </si>
  <si>
    <t>Construction Materials</t>
  </si>
  <si>
    <t>MMC</t>
  </si>
  <si>
    <t>Insurance Brokers</t>
  </si>
  <si>
    <t>MMM</t>
  </si>
  <si>
    <t>MNST</t>
  </si>
  <si>
    <t>MO</t>
  </si>
  <si>
    <t>Tobacco</t>
  </si>
  <si>
    <t>MON</t>
  </si>
  <si>
    <t>MOS</t>
  </si>
  <si>
    <t>MPC</t>
  </si>
  <si>
    <t>MRK</t>
  </si>
  <si>
    <t>MRO</t>
  </si>
  <si>
    <t>MSFT</t>
  </si>
  <si>
    <t>Systems Software</t>
  </si>
  <si>
    <t>MTB</t>
  </si>
  <si>
    <t>MTD</t>
  </si>
  <si>
    <t>MU</t>
  </si>
  <si>
    <t>MUR</t>
  </si>
  <si>
    <t>MYL</t>
  </si>
  <si>
    <t>NBL</t>
  </si>
  <si>
    <t>NDAQ</t>
  </si>
  <si>
    <t>NEE</t>
  </si>
  <si>
    <t>NEM</t>
  </si>
  <si>
    <t>Gold</t>
  </si>
  <si>
    <t>NFLX</t>
  </si>
  <si>
    <t>NFX</t>
  </si>
  <si>
    <t>NKE</t>
  </si>
  <si>
    <t>NLSN</t>
  </si>
  <si>
    <t>NOV</t>
  </si>
  <si>
    <t>NSC</t>
  </si>
  <si>
    <t>NTAP</t>
  </si>
  <si>
    <t>NUE</t>
  </si>
  <si>
    <t>Steel</t>
  </si>
  <si>
    <t>NVDA</t>
  </si>
  <si>
    <t>NWL</t>
  </si>
  <si>
    <t>Housewares &amp; Specialties</t>
  </si>
  <si>
    <t>O</t>
  </si>
  <si>
    <t>OKE</t>
  </si>
  <si>
    <t>OMC</t>
  </si>
  <si>
    <t>ORLY</t>
  </si>
  <si>
    <t>OXY</t>
  </si>
  <si>
    <t>PBCT</t>
  </si>
  <si>
    <t>Thrifts &amp; Mortgage Finance</t>
  </si>
  <si>
    <t>PBI</t>
  </si>
  <si>
    <t>Technology, Hardware, Software and Supplies</t>
  </si>
  <si>
    <t>PCAR</t>
  </si>
  <si>
    <t>PCG</t>
  </si>
  <si>
    <t>PCLN</t>
  </si>
  <si>
    <t>PDCO</t>
  </si>
  <si>
    <t>PEG</t>
  </si>
  <si>
    <t>PEP</t>
  </si>
  <si>
    <t>PFE</t>
  </si>
  <si>
    <t>PFG</t>
  </si>
  <si>
    <t>PG</t>
  </si>
  <si>
    <t>PGR</t>
  </si>
  <si>
    <t>PH</t>
  </si>
  <si>
    <t>PHM</t>
  </si>
  <si>
    <t>PKI</t>
  </si>
  <si>
    <t>PM</t>
  </si>
  <si>
    <t>PNC</t>
  </si>
  <si>
    <t>PNR</t>
  </si>
  <si>
    <t>PNW</t>
  </si>
  <si>
    <t>PPG</t>
  </si>
  <si>
    <t>PPL</t>
  </si>
  <si>
    <t>PRU</t>
  </si>
  <si>
    <t>PSX</t>
  </si>
  <si>
    <t>PVH</t>
  </si>
  <si>
    <t>PWR</t>
  </si>
  <si>
    <t>PX</t>
  </si>
  <si>
    <t>QCOM</t>
  </si>
  <si>
    <t>QRVO</t>
  </si>
  <si>
    <t>R</t>
  </si>
  <si>
    <t>RCL</t>
  </si>
  <si>
    <t>REGN</t>
  </si>
  <si>
    <t>RHI</t>
  </si>
  <si>
    <t>Human Resource &amp; Employment Services</t>
  </si>
  <si>
    <t>RHT</t>
  </si>
  <si>
    <t>RL</t>
  </si>
  <si>
    <t>ROK</t>
  </si>
  <si>
    <t>ROP</t>
  </si>
  <si>
    <t>ROST</t>
  </si>
  <si>
    <t>RRC</t>
  </si>
  <si>
    <t>RSG</t>
  </si>
  <si>
    <t>SBUX</t>
  </si>
  <si>
    <t>SCG</t>
  </si>
  <si>
    <t>SE</t>
  </si>
  <si>
    <t>SEE</t>
  </si>
  <si>
    <t>SHW</t>
  </si>
  <si>
    <t>SIG</t>
  </si>
  <si>
    <t>SJM</t>
  </si>
  <si>
    <t>SLG</t>
  </si>
  <si>
    <t>Office REITs</t>
  </si>
  <si>
    <t>SNA</t>
  </si>
  <si>
    <t>Household Appliances</t>
  </si>
  <si>
    <t>SNI</t>
  </si>
  <si>
    <t>SO</t>
  </si>
  <si>
    <t>SPG</t>
  </si>
  <si>
    <t>SPLS</t>
  </si>
  <si>
    <t>SRCL</t>
  </si>
  <si>
    <t>SRE</t>
  </si>
  <si>
    <t>STI</t>
  </si>
  <si>
    <t>STX</t>
  </si>
  <si>
    <t>Computer Storage &amp; Peripherals</t>
  </si>
  <si>
    <t>STZ</t>
  </si>
  <si>
    <t>Distillers &amp; Vintners</t>
  </si>
  <si>
    <t>SWK</t>
  </si>
  <si>
    <t>SWKS</t>
  </si>
  <si>
    <t>SWN</t>
  </si>
  <si>
    <t>SYF</t>
  </si>
  <si>
    <t>SYK</t>
  </si>
  <si>
    <t>SYMC</t>
  </si>
  <si>
    <t>SYY</t>
  </si>
  <si>
    <t>Food Distributors</t>
  </si>
  <si>
    <t>T</t>
  </si>
  <si>
    <t>TAP</t>
  </si>
  <si>
    <t>Brewers</t>
  </si>
  <si>
    <t>TDC</t>
  </si>
  <si>
    <t>TDG</t>
  </si>
  <si>
    <t>TEL</t>
  </si>
  <si>
    <t>Electronic Manufacturing Services</t>
  </si>
  <si>
    <t>TGNA</t>
  </si>
  <si>
    <t>Publishing</t>
  </si>
  <si>
    <t>TGT</t>
  </si>
  <si>
    <t>TIF</t>
  </si>
  <si>
    <t>TJX</t>
  </si>
  <si>
    <t>TMK</t>
  </si>
  <si>
    <t>TMO</t>
  </si>
  <si>
    <t>TRIP</t>
  </si>
  <si>
    <t>TRV</t>
  </si>
  <si>
    <t>TSCO</t>
  </si>
  <si>
    <t>Specialty Retail</t>
  </si>
  <si>
    <t>TSN</t>
  </si>
  <si>
    <t>TSO</t>
  </si>
  <si>
    <t>TSS</t>
  </si>
  <si>
    <t>TXN</t>
  </si>
  <si>
    <t>TXT</t>
  </si>
  <si>
    <t>UA</t>
  </si>
  <si>
    <t>UAA</t>
  </si>
  <si>
    <t>UAL</t>
  </si>
  <si>
    <t>UDR</t>
  </si>
  <si>
    <t>ULTA</t>
  </si>
  <si>
    <t>UNH</t>
  </si>
  <si>
    <t>UNM</t>
  </si>
  <si>
    <t>UNP</t>
  </si>
  <si>
    <t>UPS</t>
  </si>
  <si>
    <t>URBN</t>
  </si>
  <si>
    <t>USB</t>
  </si>
  <si>
    <t>UTX</t>
  </si>
  <si>
    <t>V</t>
  </si>
  <si>
    <t>VAR</t>
  </si>
  <si>
    <t>VFC</t>
  </si>
  <si>
    <t>VIAB</t>
  </si>
  <si>
    <t>VLO</t>
  </si>
  <si>
    <t>VMC</t>
  </si>
  <si>
    <t>VNO</t>
  </si>
  <si>
    <t>VRSK</t>
  </si>
  <si>
    <t>VRSN</t>
  </si>
  <si>
    <t>VRTX</t>
  </si>
  <si>
    <t>VTR</t>
  </si>
  <si>
    <t>VZ</t>
  </si>
  <si>
    <t>WAT</t>
  </si>
  <si>
    <t>WDC</t>
  </si>
  <si>
    <t>WEC</t>
  </si>
  <si>
    <t>WFC</t>
  </si>
  <si>
    <t>WFM</t>
  </si>
  <si>
    <t>WHR</t>
  </si>
  <si>
    <t>WM</t>
  </si>
  <si>
    <t>Environmental Services</t>
  </si>
  <si>
    <t>WMB</t>
  </si>
  <si>
    <t>WMT</t>
  </si>
  <si>
    <t>WRK</t>
  </si>
  <si>
    <t>WU</t>
  </si>
  <si>
    <t>WY</t>
  </si>
  <si>
    <t>WYN</t>
  </si>
  <si>
    <t>WYNN</t>
  </si>
  <si>
    <t>Casinos &amp; Gaming</t>
  </si>
  <si>
    <t>XEC</t>
  </si>
  <si>
    <t>XEL</t>
  </si>
  <si>
    <t>XL</t>
  </si>
  <si>
    <t>XLNX</t>
  </si>
  <si>
    <t>XOM</t>
  </si>
  <si>
    <t>XRAY</t>
  </si>
  <si>
    <t>XRX</t>
  </si>
  <si>
    <t>XYL</t>
  </si>
  <si>
    <t>YHOO</t>
  </si>
  <si>
    <t>YUM</t>
  </si>
  <si>
    <t>ZBH</t>
  </si>
  <si>
    <t>ZION</t>
  </si>
  <si>
    <t>ZTS</t>
  </si>
  <si>
    <t>Column1</t>
  </si>
  <si>
    <t>Summary Statistics</t>
  </si>
  <si>
    <t>Gross Profit</t>
  </si>
  <si>
    <t>Operating Profit</t>
  </si>
  <si>
    <t>Total Revenue</t>
  </si>
  <si>
    <t>Cost of Goods Sold (COGS)</t>
  </si>
  <si>
    <t>Sales , General &amp; Admin.</t>
  </si>
  <si>
    <t>Research &amp; Development</t>
  </si>
  <si>
    <t>Other Operating Expenses</t>
  </si>
  <si>
    <t>Total Operating Expenses</t>
  </si>
  <si>
    <t>Earnings Before Interest &amp; Tax (EBIT)</t>
  </si>
  <si>
    <t>Year</t>
  </si>
  <si>
    <t>Forecasting Models for Biotechnology Companies</t>
  </si>
  <si>
    <t>Year 5</t>
  </si>
  <si>
    <t>Year 6</t>
  </si>
  <si>
    <t>Historical Growth</t>
  </si>
  <si>
    <t>Growth Assumptions</t>
  </si>
  <si>
    <t>Gross Margin</t>
  </si>
  <si>
    <t>Operating Margin</t>
  </si>
  <si>
    <t>Scenario</t>
  </si>
  <si>
    <t>Best Case</t>
  </si>
  <si>
    <t>Base Case</t>
  </si>
  <si>
    <t>Worst Case</t>
  </si>
  <si>
    <t>Revenue Growth (%)</t>
  </si>
  <si>
    <t>Average Annual Growth Rate</t>
  </si>
  <si>
    <t>AAGR</t>
  </si>
  <si>
    <t>Ticker</t>
  </si>
  <si>
    <t>Historical Average</t>
  </si>
  <si>
    <t>Gross Margin Assumptions</t>
  </si>
  <si>
    <t>Operating Margin Assumptions</t>
  </si>
  <si>
    <t>P&amp;L Dashboard for NYSE Companies</t>
  </si>
  <si>
    <t>Operating Margins</t>
  </si>
  <si>
    <t>Mean</t>
  </si>
  <si>
    <t>Max</t>
  </si>
  <si>
    <t>Min</t>
  </si>
  <si>
    <t>1st Quartile</t>
  </si>
  <si>
    <t>3rd Quartile</t>
  </si>
  <si>
    <t>Median</t>
  </si>
  <si>
    <t>Gross Margins</t>
  </si>
  <si>
    <t>Subindustry</t>
  </si>
  <si>
    <t>Gross Margin Aggregate</t>
  </si>
  <si>
    <t>Operating Margin Aggregate</t>
  </si>
  <si>
    <t>Standard Deviation</t>
  </si>
  <si>
    <t>1 SD Below</t>
  </si>
  <si>
    <t>2 SD Below</t>
  </si>
  <si>
    <t>3 SD Below</t>
  </si>
  <si>
    <t>1 SD Above</t>
  </si>
  <si>
    <t>2 SD Above</t>
  </si>
  <si>
    <t>3 SD Above</t>
  </si>
  <si>
    <t>Std 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</si>
</sst>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00000000"/>
    <numFmt numFmtId="165" formatCode="0.00000000"/>
    <numFmt numFmtId="166" formatCode="_(&quot;$&quot;* #,##0_);_(&quot;$&quot;* \(#,##0\);_(&quot;$&quot;* &quot;-&quot;??_);_(@_)"/>
    <numFmt numFmtId="167" formatCode="0.000000"/>
  </numFmts>
  <fonts count="3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4"/>
      <color theme="4" tint="-0.249977111117893"/>
      <name val="Calibri"/>
      <family val="2"/>
      <scheme val="minor"/>
    </font>
    <font>
      <sz val="14"/>
      <color theme="9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/>
        <bgColor theme="9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9">
    <xf numFmtId="0" fontId="0" fillId="0" borderId="0" xfId="0"/>
    <xf numFmtId="0" fontId="13" fillId="34" borderId="10" xfId="0" applyFont="1" applyFill="1" applyBorder="1"/>
    <xf numFmtId="0" fontId="0" fillId="0" borderId="0" xfId="0" applyAlignment="1">
      <alignment horizontal="center"/>
    </xf>
    <xf numFmtId="44" fontId="0" fillId="0" borderId="0" xfId="42" applyFont="1"/>
    <xf numFmtId="0" fontId="19" fillId="0" borderId="0" xfId="0" applyFont="1"/>
    <xf numFmtId="0" fontId="21" fillId="0" borderId="0" xfId="0" applyFont="1"/>
    <xf numFmtId="0" fontId="18" fillId="0" borderId="0" xfId="0" applyFont="1"/>
    <xf numFmtId="0" fontId="22" fillId="0" borderId="0" xfId="0" applyFont="1"/>
    <xf numFmtId="166" fontId="0" fillId="0" borderId="0" xfId="0" applyNumberFormat="1"/>
    <xf numFmtId="0" fontId="21" fillId="35" borderId="0" xfId="0" applyFont="1" applyFill="1" applyAlignment="1">
      <alignment horizontal="center"/>
    </xf>
    <xf numFmtId="0" fontId="0" fillId="0" borderId="11" xfId="0" applyBorder="1"/>
    <xf numFmtId="0" fontId="0" fillId="0" borderId="0" xfId="0" applyBorder="1"/>
    <xf numFmtId="0" fontId="0" fillId="36" borderId="0" xfId="0" applyFill="1"/>
    <xf numFmtId="0" fontId="21" fillId="35" borderId="0" xfId="0" applyFont="1" applyFill="1" applyAlignment="1">
      <alignment horizontal="center" vertical="center"/>
    </xf>
    <xf numFmtId="0" fontId="0" fillId="0" borderId="0" xfId="0" applyAlignment="1"/>
    <xf numFmtId="0" fontId="25" fillId="0" borderId="0" xfId="0" applyFont="1"/>
    <xf numFmtId="2" fontId="0" fillId="0" borderId="0" xfId="0" applyNumberFormat="1"/>
    <xf numFmtId="0" fontId="19" fillId="0" borderId="15" xfId="0" applyFont="1" applyBorder="1" applyAlignment="1"/>
    <xf numFmtId="0" fontId="19" fillId="0" borderId="0" xfId="0" applyFont="1" applyBorder="1" applyAlignment="1"/>
    <xf numFmtId="0" fontId="19" fillId="0" borderId="0" xfId="0" applyFont="1" applyBorder="1"/>
    <xf numFmtId="2" fontId="19" fillId="0" borderId="0" xfId="0" applyNumberFormat="1" applyFont="1" applyBorder="1"/>
    <xf numFmtId="164" fontId="0" fillId="0" borderId="0" xfId="0" applyNumberFormat="1" applyAlignment="1"/>
    <xf numFmtId="0" fontId="16" fillId="0" borderId="0" xfId="0" applyFont="1" applyFill="1" applyBorder="1" applyAlignment="1">
      <alignment vertical="center"/>
    </xf>
    <xf numFmtId="0" fontId="0" fillId="0" borderId="0" xfId="0" applyFill="1" applyBorder="1"/>
    <xf numFmtId="0" fontId="0" fillId="0" borderId="0" xfId="0" applyFill="1" applyBorder="1" applyAlignment="1"/>
    <xf numFmtId="0" fontId="19" fillId="0" borderId="0" xfId="0" applyFont="1" applyFill="1" applyBorder="1" applyAlignment="1">
      <alignment vertical="center"/>
    </xf>
    <xf numFmtId="164" fontId="0" fillId="0" borderId="0" xfId="0" applyNumberFormat="1" applyFill="1" applyBorder="1" applyAlignment="1"/>
    <xf numFmtId="0" fontId="0" fillId="0" borderId="0" xfId="0" applyFont="1" applyFill="1" applyBorder="1"/>
    <xf numFmtId="0" fontId="22" fillId="0" borderId="0" xfId="0" applyFont="1" applyFill="1" applyBorder="1" applyAlignment="1">
      <alignment vertical="center"/>
    </xf>
    <xf numFmtId="0" fontId="22" fillId="0" borderId="0" xfId="0" applyFont="1" applyFill="1" applyBorder="1" applyAlignment="1">
      <alignment horizontal="left" vertical="center"/>
    </xf>
    <xf numFmtId="0" fontId="0" fillId="0" borderId="0" xfId="0" applyNumberFormat="1"/>
    <xf numFmtId="167" fontId="0" fillId="0" borderId="0" xfId="42" applyNumberFormat="1" applyFont="1"/>
    <xf numFmtId="165" fontId="19" fillId="0" borderId="11" xfId="0" applyNumberFormat="1" applyFont="1" applyFill="1" applyBorder="1" applyAlignment="1"/>
    <xf numFmtId="0" fontId="22" fillId="0" borderId="15" xfId="0" applyFont="1" applyFill="1" applyBorder="1" applyAlignment="1">
      <alignment vertical="center"/>
    </xf>
    <xf numFmtId="165" fontId="19" fillId="0" borderId="15" xfId="0" applyNumberFormat="1" applyFont="1" applyFill="1" applyBorder="1" applyAlignment="1"/>
    <xf numFmtId="0" fontId="22" fillId="0" borderId="12" xfId="0" applyFont="1" applyFill="1" applyBorder="1" applyAlignment="1">
      <alignment vertical="center"/>
    </xf>
    <xf numFmtId="165" fontId="19" fillId="0" borderId="12" xfId="0" applyNumberFormat="1" applyFont="1" applyFill="1" applyBorder="1" applyAlignment="1"/>
    <xf numFmtId="165" fontId="19" fillId="0" borderId="0" xfId="0" applyNumberFormat="1" applyFont="1" applyFill="1" applyBorder="1" applyAlignment="1"/>
    <xf numFmtId="165" fontId="19" fillId="0" borderId="16" xfId="0" applyNumberFormat="1" applyFont="1" applyFill="1" applyBorder="1" applyAlignment="1"/>
    <xf numFmtId="0" fontId="0" fillId="33" borderId="0" xfId="0" applyFont="1" applyFill="1"/>
    <xf numFmtId="0" fontId="0" fillId="0" borderId="0" xfId="0" applyFont="1"/>
    <xf numFmtId="0" fontId="28" fillId="37" borderId="11" xfId="0" applyFont="1" applyFill="1" applyBorder="1" applyAlignment="1">
      <alignment horizontal="center" vertical="center"/>
    </xf>
    <xf numFmtId="0" fontId="28" fillId="37" borderId="11" xfId="0" applyFont="1" applyFill="1" applyBorder="1" applyAlignment="1">
      <alignment horizontal="right" vertical="center"/>
    </xf>
    <xf numFmtId="0" fontId="0" fillId="0" borderId="17" xfId="0" applyFont="1" applyBorder="1"/>
    <xf numFmtId="167" fontId="0" fillId="0" borderId="0" xfId="0" applyNumberFormat="1"/>
    <xf numFmtId="0" fontId="16" fillId="0" borderId="0" xfId="0" applyFont="1"/>
    <xf numFmtId="0" fontId="29" fillId="0" borderId="16" xfId="0" applyFont="1" applyFill="1" applyBorder="1" applyAlignment="1">
      <alignment vertical="center"/>
    </xf>
    <xf numFmtId="0" fontId="29" fillId="0" borderId="11" xfId="0" applyFont="1" applyFill="1" applyBorder="1" applyAlignment="1">
      <alignment vertical="center"/>
    </xf>
    <xf numFmtId="14" fontId="0" fillId="0" borderId="0" xfId="0" applyNumberFormat="1"/>
    <xf numFmtId="0" fontId="0" fillId="33" borderId="0" xfId="0" applyFont="1" applyFill="1" applyBorder="1"/>
    <xf numFmtId="0" fontId="16" fillId="0" borderId="0" xfId="0" applyFont="1" applyBorder="1"/>
    <xf numFmtId="0" fontId="0" fillId="0" borderId="0" xfId="0" applyFont="1" applyBorder="1"/>
    <xf numFmtId="167" fontId="0" fillId="33" borderId="0" xfId="42" applyNumberFormat="1" applyFont="1" applyFill="1"/>
    <xf numFmtId="167" fontId="0" fillId="0" borderId="17" xfId="42" applyNumberFormat="1" applyFont="1" applyBorder="1"/>
    <xf numFmtId="0" fontId="16" fillId="0" borderId="18" xfId="0" applyFont="1" applyBorder="1"/>
    <xf numFmtId="0" fontId="0" fillId="33" borderId="18" xfId="0" applyFont="1" applyFill="1" applyBorder="1"/>
    <xf numFmtId="167" fontId="0" fillId="33" borderId="18" xfId="0" applyNumberFormat="1" applyFont="1" applyFill="1" applyBorder="1"/>
    <xf numFmtId="167" fontId="0" fillId="0" borderId="0" xfId="0" applyNumberFormat="1" applyFont="1"/>
    <xf numFmtId="167" fontId="0" fillId="33" borderId="0" xfId="0" applyNumberFormat="1" applyFont="1" applyFill="1"/>
    <xf numFmtId="167" fontId="0" fillId="0" borderId="17" xfId="0" applyNumberFormat="1" applyFont="1" applyBorder="1"/>
    <xf numFmtId="0" fontId="16" fillId="33" borderId="0" xfId="0" applyFont="1" applyFill="1"/>
    <xf numFmtId="167" fontId="0" fillId="0" borderId="0" xfId="0" applyNumberFormat="1" applyFont="1" applyBorder="1"/>
    <xf numFmtId="0" fontId="0" fillId="0" borderId="18" xfId="0" applyFont="1" applyBorder="1"/>
    <xf numFmtId="167" fontId="0" fillId="0" borderId="18" xfId="0" applyNumberFormat="1" applyFont="1" applyBorder="1"/>
    <xf numFmtId="167" fontId="0" fillId="33" borderId="0" xfId="0" applyNumberFormat="1" applyFont="1" applyFill="1" applyBorder="1"/>
    <xf numFmtId="0" fontId="16" fillId="38" borderId="0" xfId="0" applyFont="1" applyFill="1" applyBorder="1" applyAlignment="1">
      <alignment vertical="center"/>
    </xf>
    <xf numFmtId="0" fontId="0" fillId="38" borderId="0" xfId="0" applyFill="1" applyBorder="1"/>
    <xf numFmtId="0" fontId="19" fillId="38" borderId="0" xfId="0" applyFont="1" applyFill="1" applyBorder="1" applyAlignment="1">
      <alignment vertical="center"/>
    </xf>
    <xf numFmtId="0" fontId="0" fillId="38" borderId="0" xfId="0" applyFill="1" applyBorder="1" applyAlignment="1">
      <alignment vertical="center"/>
    </xf>
    <xf numFmtId="0" fontId="19" fillId="0" borderId="0" xfId="0" applyFont="1" applyFill="1" applyBorder="1" applyAlignment="1"/>
    <xf numFmtId="165" fontId="16" fillId="0" borderId="0" xfId="0" applyNumberFormat="1" applyFont="1" applyFill="1" applyBorder="1" applyAlignment="1">
      <alignment vertical="center"/>
    </xf>
    <xf numFmtId="166" fontId="24" fillId="0" borderId="11" xfId="42" applyNumberFormat="1" applyFont="1" applyBorder="1" applyAlignment="1">
      <alignment horizontal="center"/>
    </xf>
    <xf numFmtId="166" fontId="18" fillId="0" borderId="12" xfId="42" applyNumberFormat="1" applyFont="1" applyBorder="1" applyAlignment="1">
      <alignment horizontal="center"/>
    </xf>
    <xf numFmtId="0" fontId="23" fillId="37" borderId="0" xfId="0" applyFont="1" applyFill="1" applyAlignment="1">
      <alignment horizontal="center" vertical="center"/>
    </xf>
    <xf numFmtId="0" fontId="29" fillId="0" borderId="0" xfId="0" applyFont="1" applyAlignment="1">
      <alignment horizontal="center" vertical="center"/>
    </xf>
    <xf numFmtId="166" fontId="18" fillId="0" borderId="0" xfId="42" applyNumberFormat="1" applyFont="1" applyAlignment="1">
      <alignment horizontal="center"/>
    </xf>
    <xf numFmtId="0" fontId="21" fillId="37" borderId="0" xfId="0" applyFont="1" applyFill="1" applyAlignment="1">
      <alignment horizontal="center" vertical="center"/>
    </xf>
    <xf numFmtId="166" fontId="21" fillId="0" borderId="0" xfId="42" applyNumberFormat="1" applyFont="1" applyAlignment="1">
      <alignment horizontal="center"/>
    </xf>
    <xf numFmtId="166" fontId="21" fillId="0" borderId="11" xfId="42" applyNumberFormat="1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166" fontId="26" fillId="0" borderId="0" xfId="42" applyNumberFormat="1" applyFont="1" applyAlignment="1">
      <alignment horizontal="center"/>
    </xf>
    <xf numFmtId="166" fontId="19" fillId="0" borderId="11" xfId="42" applyNumberFormat="1" applyFont="1" applyBorder="1" applyAlignment="1">
      <alignment horizontal="center"/>
    </xf>
    <xf numFmtId="166" fontId="19" fillId="0" borderId="0" xfId="42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1" fillId="35" borderId="0" xfId="0" applyFont="1" applyFill="1" applyAlignment="1">
      <alignment horizontal="center"/>
    </xf>
    <xf numFmtId="0" fontId="21" fillId="37" borderId="14" xfId="0" applyFont="1" applyFill="1" applyBorder="1" applyAlignment="1">
      <alignment horizontal="center"/>
    </xf>
    <xf numFmtId="0" fontId="21" fillId="37" borderId="0" xfId="0" applyFont="1" applyFill="1" applyAlignment="1">
      <alignment horizontal="center"/>
    </xf>
    <xf numFmtId="10" fontId="26" fillId="0" borderId="0" xfId="43" applyNumberFormat="1" applyFont="1" applyAlignment="1">
      <alignment horizontal="center"/>
    </xf>
    <xf numFmtId="2" fontId="27" fillId="0" borderId="0" xfId="0" applyNumberFormat="1" applyFont="1" applyAlignment="1">
      <alignment horizontal="center"/>
    </xf>
    <xf numFmtId="2" fontId="26" fillId="0" borderId="0" xfId="43" applyNumberFormat="1" applyFont="1" applyAlignment="1">
      <alignment horizontal="center"/>
    </xf>
    <xf numFmtId="166" fontId="19" fillId="0" borderId="12" xfId="42" applyNumberFormat="1" applyFont="1" applyBorder="1" applyAlignment="1">
      <alignment horizontal="center"/>
    </xf>
    <xf numFmtId="0" fontId="21" fillId="37" borderId="0" xfId="0" applyFont="1" applyFill="1" applyBorder="1" applyAlignment="1">
      <alignment horizontal="center"/>
    </xf>
    <xf numFmtId="0" fontId="21" fillId="37" borderId="13" xfId="0" applyFont="1" applyFill="1" applyBorder="1" applyAlignment="1">
      <alignment horizontal="center"/>
    </xf>
    <xf numFmtId="0" fontId="22" fillId="0" borderId="11" xfId="0" applyFont="1" applyBorder="1" applyAlignment="1">
      <alignment horizontal="center"/>
    </xf>
    <xf numFmtId="0" fontId="22" fillId="0" borderId="11" xfId="0" applyFont="1" applyBorder="1" applyAlignment="1">
      <alignment horizontal="left"/>
    </xf>
    <xf numFmtId="0" fontId="27" fillId="0" borderId="0" xfId="0" applyFont="1" applyAlignment="1">
      <alignment horizontal="center"/>
    </xf>
    <xf numFmtId="9" fontId="27" fillId="0" borderId="0" xfId="0" applyNumberFormat="1" applyFont="1" applyAlignment="1">
      <alignment horizontal="center"/>
    </xf>
    <xf numFmtId="9" fontId="19" fillId="0" borderId="0" xfId="43" applyNumberFormat="1" applyFont="1" applyAlignment="1">
      <alignment horizontal="center"/>
    </xf>
    <xf numFmtId="0" fontId="25" fillId="0" borderId="0" xfId="0" applyFont="1" applyAlignment="1">
      <alignment horizontal="center"/>
    </xf>
    <xf numFmtId="166" fontId="19" fillId="0" borderId="11" xfId="0" applyNumberFormat="1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0" fillId="36" borderId="0" xfId="0" applyFill="1" applyAlignment="1">
      <alignment horizontal="center"/>
    </xf>
    <xf numFmtId="10" fontId="19" fillId="0" borderId="0" xfId="43" applyNumberFormat="1" applyFont="1" applyAlignment="1">
      <alignment horizontal="center"/>
    </xf>
    <xf numFmtId="0" fontId="0" fillId="0" borderId="11" xfId="0" applyBorder="1" applyAlignment="1">
      <alignment horizontal="center"/>
    </xf>
    <xf numFmtId="166" fontId="19" fillId="0" borderId="12" xfId="0" applyNumberFormat="1" applyFont="1" applyBorder="1" applyAlignment="1">
      <alignment horizontal="center"/>
    </xf>
    <xf numFmtId="0" fontId="19" fillId="0" borderId="12" xfId="0" applyFont="1" applyBorder="1" applyAlignment="1">
      <alignment horizontal="center"/>
    </xf>
    <xf numFmtId="2" fontId="19" fillId="0" borderId="0" xfId="43" applyNumberFormat="1" applyFont="1" applyAlignment="1">
      <alignment horizontal="center"/>
    </xf>
    <xf numFmtId="0" fontId="0" fillId="0" borderId="0" xfId="0" applyAlignment="1">
      <alignment horizontal="center"/>
    </xf>
    <xf numFmtId="14" fontId="21" fillId="37" borderId="0" xfId="0" applyNumberFormat="1" applyFont="1" applyFill="1" applyAlignment="1">
      <alignment horizontal="center" vertic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167" formatCode="0.000000"/>
    </dxf>
    <dxf>
      <numFmt numFmtId="167" formatCode="0.00000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colors>
    <mruColors>
      <color rgb="FFF990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3915F9-1E97-1248-98EA-791127A966EE}" name="Project_Data_NYSE" displayName="Project_Data_NYSE" ref="A1:O1711" totalsRowShown="0">
  <autoFilter ref="A1:O1711" xr:uid="{273915F9-1E97-1248-98EA-791127A966EE}"/>
  <tableColumns count="15">
    <tableColumn id="1" xr3:uid="{EFF8FC66-0A5A-B74F-8BA3-D26258F53186}" name="Column1"/>
    <tableColumn id="2" xr3:uid="{FB619C1E-CBC3-694F-A58A-B85B83A81139}" name="Ticker Symbol"/>
    <tableColumn id="3" xr3:uid="{B1BB2C0B-0FED-5143-AA27-DBF77AA08C31}" name="Years"/>
    <tableColumn id="4" xr3:uid="{09C98DBB-E7BD-D34A-AF4E-8F03EE23F9A8}" name="Period Ending"/>
    <tableColumn id="5" xr3:uid="{4AF489F2-518E-F548-A901-9FF2B2A8446E}" name=" Total Revenue " dataCellStyle="Currency"/>
    <tableColumn id="6" xr3:uid="{7DFE3641-EF2F-B646-AE6B-CA4642C51208}" name=" Cost of Goods Sold " dataCellStyle="Currency"/>
    <tableColumn id="12" xr3:uid="{8116D1FC-6708-C845-B12F-53A71B0F4B2B}" name="Gross Profit" dataCellStyle="Currency">
      <calculatedColumnFormula>Project_Data_NYSE[[#This Row],[ Total Revenue ]]-Project_Data_NYSE[[#This Row],[ Cost of Goods Sold ]]</calculatedColumnFormula>
    </tableColumn>
    <tableColumn id="7" xr3:uid="{4A685EF1-B01A-0D42-8F7A-B869AA62475C}" name=" Sales, General and Admin. " dataCellStyle="Currency"/>
    <tableColumn id="8" xr3:uid="{B0B79FCF-385B-EC46-9025-6E41D9B35E9A}" name=" Research and Development " dataCellStyle="Currency"/>
    <tableColumn id="9" xr3:uid="{26CC8911-8DE5-544A-AFEF-DAF0980DDB2E}" name=" Other Operating Items " dataCellStyle="Currency"/>
    <tableColumn id="13" xr3:uid="{E9B46EE2-980D-FB4A-B4BF-B3939F699527}" name="Operating Profit" dataCellStyle="Currency">
      <calculatedColumnFormula>Project_Data_NYSE[[#This Row],[Gross Profit]]-Project_Data_NYSE[[#This Row],[ Sales, General and Admin. ]]-Project_Data_NYSE[[#This Row],[ Research and Development ]]-Project_Data_NYSE[[#This Row],[ Other Operating Items ]]</calculatedColumnFormula>
    </tableColumn>
    <tableColumn id="10" xr3:uid="{FF164778-7A10-F744-A755-4CDA781E92BE}" name="GICS Sector"/>
    <tableColumn id="11" xr3:uid="{4E8451BC-D715-EF44-A1D4-1B5C6C34223E}" name="GICS Sub Industry"/>
    <tableColumn id="14" xr3:uid="{D1A3A48B-6C39-CA4A-A40B-DA069153EEF9}" name="Gross Margin" dataDxfId="21" dataCellStyle="Currency">
      <calculatedColumnFormula>Project_Data_NYSE[[#This Row],[Gross Profit]]/Project_Data_NYSE[[#This Row],[ Total Revenue ]]</calculatedColumnFormula>
    </tableColumn>
    <tableColumn id="15" xr3:uid="{558B20DF-8847-AE46-B295-C778FDB33B34}" name="Operating Margin" dataDxfId="20" dataCellStyle="Currency">
      <calculatedColumnFormula>Project_Data_NYSE[[#This Row],[Operating Profit]]/Project_Data_NYSE[[#This Row],[ Total Revenue 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EAC3D67-5390-9142-802C-3A1026BFCADA}" name="Table11" displayName="Table11" ref="A1:G11" totalsRowShown="0" headerRowDxfId="19" dataDxfId="18" tableBorderDxfId="17">
  <autoFilter ref="A1:G11" xr:uid="{6EAC3D67-5390-9142-802C-3A1026BFCADA}"/>
  <sortState xmlns:xlrd2="http://schemas.microsoft.com/office/spreadsheetml/2017/richdata2" ref="A2:G11">
    <sortCondition ref="E1:E11"/>
  </sortState>
  <tableColumns count="7">
    <tableColumn id="1" xr3:uid="{9ADEEAF2-C9BC-0542-8715-F29E216ECD08}" name="Subindustry" dataDxfId="16"/>
    <tableColumn id="2" xr3:uid="{AC7CC7BB-EEB1-FD4E-970E-E3BF208F1FB3}" name="Mean" dataDxfId="15"/>
    <tableColumn id="3" xr3:uid="{559A4B1E-B0D4-6345-B0DD-8CB6118EA05C}" name="Min" dataDxfId="14"/>
    <tableColumn id="4" xr3:uid="{81974B23-CAFC-0E45-AF0B-B5BA7D2F596C}" name="Max" dataDxfId="13"/>
    <tableColumn id="5" xr3:uid="{CF28A5D4-86EE-1B49-9FC9-91EEC74E06B0}" name="Median" dataDxfId="12"/>
    <tableColumn id="6" xr3:uid="{C8E9D65D-CACC-2043-85F5-C6C631E972E4}" name="1st Quartile" dataDxfId="11"/>
    <tableColumn id="7" xr3:uid="{C5D5C4FB-EEB5-684F-8A48-321A5D4244C0}" name="3rd Quartile" dataDxfId="1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D83B993-9AF1-C340-B851-A000E3FAF620}" name="Table12" displayName="Table12" ref="A13:G23" totalsRowShown="0" headerRowDxfId="9" dataDxfId="8" tableBorderDxfId="7">
  <autoFilter ref="A13:G23" xr:uid="{CD83B993-9AF1-C340-B851-A000E3FAF620}"/>
  <sortState xmlns:xlrd2="http://schemas.microsoft.com/office/spreadsheetml/2017/richdata2" ref="A14:G23">
    <sortCondition ref="E13:E23"/>
  </sortState>
  <tableColumns count="7">
    <tableColumn id="1" xr3:uid="{8180731E-C61B-E84A-89C1-C84745B27E0E}" name="Subindustry" dataDxfId="6"/>
    <tableColumn id="2" xr3:uid="{61F3A5A9-9A16-354C-B0EA-78487948E562}" name="Mean" dataDxfId="5"/>
    <tableColumn id="3" xr3:uid="{A82ACDF4-1EAD-7D40-82FF-F9B15F39E9C0}" name="Min" dataDxfId="4"/>
    <tableColumn id="4" xr3:uid="{798E2BC6-D126-3345-9A30-C87DB79F5113}" name="Max" dataDxfId="3"/>
    <tableColumn id="5" xr3:uid="{4DB6B25F-C948-6047-9072-DCBFD80CC82B}" name="Median" dataDxfId="2"/>
    <tableColumn id="6" xr3:uid="{5DCE4F74-AD18-8C4F-811A-504DFB29AC9E}" name="1st Quartile" dataDxfId="1"/>
    <tableColumn id="7" xr3:uid="{FD8BAEEB-0C2E-6A4B-8F31-EA011C6604FF}" name="3rd Quartil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BEA65-715D-384B-B85A-E78EADA026B1}">
  <dimension ref="A1:H26"/>
  <sheetViews>
    <sheetView tabSelected="1" workbookViewId="0">
      <selection activeCell="J10" sqref="J10"/>
    </sheetView>
  </sheetViews>
  <sheetFormatPr baseColWidth="10" defaultRowHeight="16" x14ac:dyDescent="0.2"/>
  <cols>
    <col min="5" max="6" width="10.83203125" customWidth="1"/>
    <col min="8" max="8" width="17.5" customWidth="1"/>
  </cols>
  <sheetData>
    <row r="1" spans="1:8" ht="16" customHeight="1" x14ac:dyDescent="0.2">
      <c r="A1" s="73" t="s">
        <v>605</v>
      </c>
      <c r="B1" s="73"/>
      <c r="C1" s="73"/>
      <c r="D1" s="73"/>
      <c r="E1" s="73"/>
      <c r="F1" s="73"/>
      <c r="G1" s="73"/>
      <c r="H1" s="73"/>
    </row>
    <row r="2" spans="1:8" ht="16" customHeight="1" x14ac:dyDescent="0.2">
      <c r="A2" s="73"/>
      <c r="B2" s="73"/>
      <c r="C2" s="73"/>
      <c r="D2" s="73"/>
      <c r="E2" s="73"/>
      <c r="F2" s="73"/>
      <c r="G2" s="73"/>
      <c r="H2" s="73"/>
    </row>
    <row r="5" spans="1:8" ht="26" customHeight="1" x14ac:dyDescent="0.2">
      <c r="F5" s="74" t="s">
        <v>0</v>
      </c>
      <c r="G5" s="74"/>
      <c r="H5" s="13" t="s">
        <v>10</v>
      </c>
    </row>
    <row r="7" spans="1:8" ht="29" customHeight="1" x14ac:dyDescent="0.2">
      <c r="A7" s="74" t="s">
        <v>2</v>
      </c>
      <c r="B7" s="74"/>
      <c r="C7" s="108" cm="1">
        <f t="array" ref="C7">INDEX('Project Data NYSE'!D:D,MATCH(1,('Project Data NYSE'!B:B='P&amp;L Dashboard'!H5)*('Project Data NYSE'!C:C='P&amp;L Dashboard'!H7),0))</f>
        <v>41274</v>
      </c>
      <c r="D7" s="108"/>
      <c r="F7" s="74" t="s">
        <v>586</v>
      </c>
      <c r="G7" s="74"/>
      <c r="H7" s="13" t="s">
        <v>11</v>
      </c>
    </row>
    <row r="10" spans="1:8" ht="24" x14ac:dyDescent="0.3">
      <c r="A10" s="6" t="s">
        <v>579</v>
      </c>
      <c r="G10" s="75" cm="1">
        <f t="array" ref="G10">INDEX('Project Data NYSE'!E2:E1711,MATCH(1,('Project Data NYSE'!B2:B1711='P&amp;L Dashboard'!H5)*('Project Data NYSE'!C2:C1711='P&amp;L Dashboard'!H7),0))</f>
        <v>24855000000</v>
      </c>
      <c r="H10" s="75"/>
    </row>
    <row r="12" spans="1:8" ht="24" x14ac:dyDescent="0.3">
      <c r="A12" s="6" t="s">
        <v>580</v>
      </c>
      <c r="G12" s="71" cm="1">
        <f t="array" ref="G12">-(INDEX('Project Data NYSE'!F2:F1711,MATCH(1,('Project Data NYSE'!B2:B1711='P&amp;L Dashboard'!H5)*('Project Data NYSE'!C2:C1711='P&amp;L Dashboard'!H7),0)))</f>
        <v>-10499000000</v>
      </c>
      <c r="H12" s="71"/>
    </row>
    <row r="15" spans="1:8" ht="24" x14ac:dyDescent="0.3">
      <c r="A15" s="6" t="s">
        <v>577</v>
      </c>
      <c r="G15" s="75">
        <f>G10+G12</f>
        <v>14356000000</v>
      </c>
      <c r="H15" s="75"/>
    </row>
    <row r="18" spans="1:8" ht="21" x14ac:dyDescent="0.25">
      <c r="A18" s="5" t="s">
        <v>581</v>
      </c>
      <c r="E18" s="77" cm="1">
        <f t="array" ref="E18">INDEX('Project Data NYSE'!H2:H1711,MATCH(1,('Project Data NYSE'!B2:B1711='P&amp;L Dashboard'!H5)*('Project Data NYSE'!C2:C1711='P&amp;L Dashboard'!H7),0))</f>
        <v>12977000000</v>
      </c>
      <c r="F18" s="77"/>
    </row>
    <row r="19" spans="1:8" ht="21" x14ac:dyDescent="0.25">
      <c r="A19" s="5" t="s">
        <v>582</v>
      </c>
      <c r="E19" s="77" cm="1">
        <f t="array" ref="E19">INDEX('Project Data NYSE'!I2:I1711,MATCH(1,('Project Data NYSE'!B2:B1711='P&amp;L Dashboard'!H5)*('Project Data NYSE'!C2:C1711='P&amp;L Dashboard'!H7),0))</f>
        <v>0</v>
      </c>
      <c r="F19" s="77"/>
    </row>
    <row r="20" spans="1:8" ht="21" x14ac:dyDescent="0.25">
      <c r="A20" s="5" t="s">
        <v>583</v>
      </c>
      <c r="E20" s="78" cm="1">
        <f t="array" ref="E20">INDEX('Project Data NYSE'!J2:J1711,MATCH(1,('Project Data NYSE'!B2:B1711='P&amp;L Dashboard'!H5)*('Project Data NYSE'!C2:C1711='P&amp;L Dashboard'!H7),0))</f>
        <v>845000000</v>
      </c>
      <c r="F20" s="78"/>
    </row>
    <row r="22" spans="1:8" ht="24" x14ac:dyDescent="0.3">
      <c r="A22" s="6" t="s">
        <v>584</v>
      </c>
      <c r="G22" s="71">
        <f>-(SUM(E18:F20))</f>
        <v>-13822000000</v>
      </c>
      <c r="H22" s="71"/>
    </row>
    <row r="25" spans="1:8" ht="25" thickBot="1" x14ac:dyDescent="0.35">
      <c r="A25" s="6" t="s">
        <v>585</v>
      </c>
      <c r="G25" s="72">
        <f>G15+G22</f>
        <v>534000000</v>
      </c>
      <c r="H25" s="72"/>
    </row>
    <row r="26" spans="1:8" ht="17" thickTop="1" x14ac:dyDescent="0.2"/>
  </sheetData>
  <mergeCells count="13">
    <mergeCell ref="G22:H22"/>
    <mergeCell ref="G25:H25"/>
    <mergeCell ref="A1:H2"/>
    <mergeCell ref="F5:G5"/>
    <mergeCell ref="F7:G7"/>
    <mergeCell ref="G10:H10"/>
    <mergeCell ref="G12:H12"/>
    <mergeCell ref="C7:D7"/>
    <mergeCell ref="A7:B7"/>
    <mergeCell ref="G15:H15"/>
    <mergeCell ref="E18:F18"/>
    <mergeCell ref="E19:F19"/>
    <mergeCell ref="E20:F20"/>
  </mergeCells>
  <conditionalFormatting sqref="G25:H25">
    <cfRule type="dataBar" priority="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{8C892224-F759-DC40-9E9F-8E63D4467F4E}</x14:id>
        </ext>
      </extLst>
    </cfRule>
  </conditionalFormatting>
  <conditionalFormatting sqref="G12:H12">
    <cfRule type="cellIs" dxfId="25" priority="4" operator="lessThan">
      <formula>0</formula>
    </cfRule>
  </conditionalFormatting>
  <conditionalFormatting sqref="G22:H22">
    <cfRule type="cellIs" dxfId="24" priority="2" operator="less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892224-F759-DC40-9E9F-8E63D4467F4E}">
            <x14:dataBar minLength="0" maxLength="100">
              <x14:cfvo type="autoMin"/>
              <x14:cfvo type="autoMax"/>
              <x14:negativeFillColor rgb="FFF99094"/>
              <x14:axisColor rgb="FF000000"/>
            </x14:dataBar>
          </x14:cfRule>
          <xm:sqref>G25:H25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8EA1094-DDD9-E74F-BB38-AEBC9822D8D5}">
          <x14:formula1>
            <xm:f>'Project Data NYSE'!$Q$2:$Q$432</xm:f>
          </x14:formula1>
          <xm:sqref>H5</xm:sqref>
        </x14:dataValidation>
        <x14:dataValidation type="list" allowBlank="1" showInputMessage="1" showErrorMessage="1" xr:uid="{F0E0565C-DBB1-484A-A362-1184BF608A66}">
          <x14:formula1>
            <xm:f>'Project Data NYSE'!$R$2:$R$5</xm:f>
          </x14:formula1>
          <xm:sqref>H7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52865-E339-1644-9266-95CD9411997B}">
  <dimension ref="A1:Q82"/>
  <sheetViews>
    <sheetView workbookViewId="0">
      <selection activeCell="P9" sqref="P9"/>
    </sheetView>
  </sheetViews>
  <sheetFormatPr baseColWidth="10" defaultRowHeight="16" x14ac:dyDescent="0.2"/>
  <cols>
    <col min="2" max="2" width="12.33203125" customWidth="1"/>
    <col min="3" max="3" width="15.83203125" customWidth="1"/>
  </cols>
  <sheetData>
    <row r="1" spans="1:15" ht="16" customHeight="1" x14ac:dyDescent="0.2">
      <c r="A1" s="73" t="s">
        <v>587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</row>
    <row r="2" spans="1:15" ht="16" customHeight="1" x14ac:dyDescent="0.2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</row>
    <row r="4" spans="1:15" ht="21" x14ac:dyDescent="0.25">
      <c r="A4" s="7" t="s">
        <v>0</v>
      </c>
      <c r="C4" s="9" t="s">
        <v>64</v>
      </c>
      <c r="L4" s="83" t="s">
        <v>594</v>
      </c>
      <c r="M4" s="83"/>
      <c r="N4" s="84" t="s">
        <v>596</v>
      </c>
      <c r="O4" s="84"/>
    </row>
    <row r="6" spans="1:15" ht="19" x14ac:dyDescent="0.25">
      <c r="D6" s="79" t="s">
        <v>11</v>
      </c>
      <c r="E6" s="79"/>
      <c r="F6" s="79" t="s">
        <v>14</v>
      </c>
      <c r="G6" s="79"/>
      <c r="H6" s="79" t="s">
        <v>15</v>
      </c>
      <c r="I6" s="79"/>
      <c r="J6" s="79" t="s">
        <v>16</v>
      </c>
      <c r="K6" s="79"/>
      <c r="L6" s="79" t="s">
        <v>588</v>
      </c>
      <c r="M6" s="79"/>
      <c r="N6" s="79" t="s">
        <v>589</v>
      </c>
      <c r="O6" s="79"/>
    </row>
    <row r="8" spans="1:15" ht="19" x14ac:dyDescent="0.25">
      <c r="A8" s="4" t="s">
        <v>579</v>
      </c>
      <c r="D8" s="80" cm="1">
        <f t="array" ref="D8">INDEX('Project Data NYSE'!$E:$E,MATCH(1,('Project Data NYSE'!$B:$B='Yearly Forecasts'!$C$4)*('Project Data NYSE'!$C:$C='Yearly Forecasts'!D$6),0))</f>
        <v>1551346000</v>
      </c>
      <c r="E8" s="80"/>
      <c r="F8" s="80" cm="1">
        <f t="array" ref="F8">INDEX('Project Data NYSE'!$E:$E,MATCH(1,('Project Data NYSE'!$B:$B='Yearly Forecasts'!$C$4)*('Project Data NYSE'!$C:$C='Yearly Forecasts'!F$6),0))</f>
        <v>2234000000</v>
      </c>
      <c r="G8" s="80"/>
      <c r="H8" s="80" cm="1">
        <f t="array" ref="H8">INDEX('Project Data NYSE'!$E:$E,MATCH(1,('Project Data NYSE'!$B:$B='Yearly Forecasts'!$C$4)*('Project Data NYSE'!$C:$C='Yearly Forecasts'!H$6),0))</f>
        <v>2604000000</v>
      </c>
      <c r="I8" s="80"/>
      <c r="J8" s="80" cm="1">
        <f t="array" ref="J8">INDEX('Project Data NYSE'!$E:$E,MATCH(1,('Project Data NYSE'!$B:$B='Yearly Forecasts'!$C$4)*('Project Data NYSE'!$C:$C='Yearly Forecasts'!J$6),0))</f>
        <v>3084000000</v>
      </c>
      <c r="K8" s="80"/>
      <c r="L8" s="80">
        <f ca="1">(J8*L27)+J8</f>
        <v>3700800000</v>
      </c>
      <c r="M8" s="80"/>
      <c r="N8" s="80">
        <f ca="1">(L8*N27)+L8</f>
        <v>4440960000</v>
      </c>
      <c r="O8" s="80"/>
    </row>
    <row r="9" spans="1:15" ht="19" x14ac:dyDescent="0.25">
      <c r="A9" s="4"/>
      <c r="D9" s="8"/>
      <c r="E9" s="8"/>
      <c r="F9" s="8"/>
      <c r="G9" s="8"/>
      <c r="H9" s="8"/>
      <c r="I9" s="8"/>
      <c r="J9" s="8"/>
      <c r="K9" s="8"/>
    </row>
    <row r="10" spans="1:15" ht="19" x14ac:dyDescent="0.25">
      <c r="A10" s="4" t="s">
        <v>580</v>
      </c>
      <c r="D10" s="82" cm="1">
        <f t="array" ref="D10">-(INDEX('Project Data NYSE'!$F:$F,MATCH(1,('Project Data NYSE'!$B:$B='Yearly Forecasts'!$C$4)*('Project Data NYSE'!$C:$C='Yearly Forecasts'!D$6),0)))</f>
        <v>-177556000</v>
      </c>
      <c r="E10" s="82"/>
      <c r="F10" s="82" cm="1">
        <f t="array" ref="F10">-(INDEX('Project Data NYSE'!$F:$F,MATCH(1,('Project Data NYSE'!$B:$B='Yearly Forecasts'!$C$4)*('Project Data NYSE'!$C:$C='Yearly Forecasts'!F$6),0)))</f>
        <v>-174000000</v>
      </c>
      <c r="G10" s="82"/>
      <c r="H10" s="82" cm="1">
        <f t="array" ref="H10">-(INDEX('Project Data NYSE'!$F:$F,MATCH(1,('Project Data NYSE'!$B:$B='Yearly Forecasts'!$C$4)*('Project Data NYSE'!$C:$C='Yearly Forecasts'!H$6),0)))</f>
        <v>-233000000</v>
      </c>
      <c r="I10" s="82"/>
      <c r="J10" s="82" cm="1">
        <f t="array" ref="J10">-(INDEX('Project Data NYSE'!$F:$F,MATCH(1,('Project Data NYSE'!$B:$B='Yearly Forecasts'!$C$4)*('Project Data NYSE'!$C:$C='Yearly Forecasts'!J$6),0)))</f>
        <v>-258000000</v>
      </c>
      <c r="K10" s="82"/>
      <c r="L10" s="12"/>
      <c r="M10" s="12"/>
      <c r="N10" s="12"/>
      <c r="O10" s="12"/>
    </row>
    <row r="11" spans="1:15" ht="19" x14ac:dyDescent="0.25">
      <c r="A11" s="4"/>
      <c r="D11" s="8"/>
      <c r="E11" s="8"/>
      <c r="F11" s="8"/>
      <c r="G11" s="8"/>
      <c r="H11" s="8"/>
      <c r="I11" s="8"/>
      <c r="J11" s="8"/>
      <c r="K11" s="8"/>
    </row>
    <row r="12" spans="1:15" ht="19" x14ac:dyDescent="0.25">
      <c r="A12" s="4"/>
      <c r="D12" s="8"/>
      <c r="E12" s="8"/>
      <c r="F12" s="8"/>
      <c r="G12" s="8"/>
      <c r="H12" s="8"/>
      <c r="I12" s="8"/>
      <c r="J12" s="8"/>
      <c r="K12" s="8"/>
    </row>
    <row r="13" spans="1:15" ht="19" x14ac:dyDescent="0.25">
      <c r="A13" s="4" t="s">
        <v>577</v>
      </c>
      <c r="D13" s="81">
        <f>D8+D10</f>
        <v>1373790000</v>
      </c>
      <c r="E13" s="81"/>
      <c r="F13" s="81">
        <f>F8+F10</f>
        <v>2060000000</v>
      </c>
      <c r="G13" s="81"/>
      <c r="H13" s="81">
        <f>H8+H10</f>
        <v>2371000000</v>
      </c>
      <c r="I13" s="81"/>
      <c r="J13" s="81">
        <f>J8+J10</f>
        <v>2826000000</v>
      </c>
      <c r="K13" s="81"/>
      <c r="L13" s="99">
        <f ca="1">L8*L28</f>
        <v>3367728000</v>
      </c>
      <c r="M13" s="100"/>
      <c r="N13" s="99">
        <f ca="1">N8*N28</f>
        <v>4041273600</v>
      </c>
      <c r="O13" s="100"/>
    </row>
    <row r="14" spans="1:15" ht="19" x14ac:dyDescent="0.25">
      <c r="A14" s="4"/>
      <c r="D14" s="8"/>
      <c r="E14" s="8"/>
      <c r="F14" s="8"/>
      <c r="G14" s="8"/>
      <c r="H14" s="8"/>
      <c r="I14" s="8"/>
      <c r="J14" s="8"/>
      <c r="K14" s="8"/>
    </row>
    <row r="15" spans="1:15" ht="19" x14ac:dyDescent="0.25">
      <c r="A15" s="4"/>
      <c r="D15" s="8"/>
      <c r="E15" s="8"/>
      <c r="F15" s="8"/>
      <c r="G15" s="8"/>
      <c r="H15" s="8"/>
      <c r="I15" s="8"/>
      <c r="J15" s="8"/>
      <c r="K15" s="8"/>
    </row>
    <row r="16" spans="1:15" ht="19" x14ac:dyDescent="0.25">
      <c r="A16" s="4" t="s">
        <v>581</v>
      </c>
      <c r="D16" s="80" cm="1">
        <f t="array" ref="D16">INDEX('Project Data NYSE'!$H:$H,MATCH(1,('Project Data NYSE'!$B:$B='Yearly Forecasts'!$C$4)*('Project Data NYSE'!$C:$C='Yearly Forecasts'!D$6),0))</f>
        <v>493726000</v>
      </c>
      <c r="E16" s="80"/>
      <c r="F16" s="80" cm="1">
        <f t="array" ref="F16">INDEX('Project Data NYSE'!$H:$H,MATCH(1,('Project Data NYSE'!$B:$B='Yearly Forecasts'!$C$4)*('Project Data NYSE'!$C:$C='Yearly Forecasts'!F$6),0))</f>
        <v>650000000</v>
      </c>
      <c r="G16" s="80"/>
      <c r="H16" s="80" cm="1">
        <f t="array" ref="H16">INDEX('Project Data NYSE'!$H:$H,MATCH(1,('Project Data NYSE'!$B:$B='Yearly Forecasts'!$C$4)*('Project Data NYSE'!$C:$C='Yearly Forecasts'!H$6),0))</f>
        <v>927000000</v>
      </c>
      <c r="I16" s="80"/>
      <c r="J16" s="80" cm="1">
        <f t="array" ref="J16">INDEX('Project Data NYSE'!$H:$H,MATCH(1,('Project Data NYSE'!$B:$B='Yearly Forecasts'!$C$4)*('Project Data NYSE'!$C:$C='Yearly Forecasts'!J$6),0))</f>
        <v>990000000</v>
      </c>
      <c r="K16" s="80"/>
      <c r="L16" s="12"/>
      <c r="M16" s="12"/>
      <c r="N16" s="12"/>
      <c r="O16" s="12"/>
    </row>
    <row r="17" spans="1:16" ht="19" x14ac:dyDescent="0.25">
      <c r="A17" s="4" t="s">
        <v>582</v>
      </c>
      <c r="D17" s="80" cm="1">
        <f t="array" ref="D17">INDEX('Project Data NYSE'!$I:$I,MATCH(1,('Project Data NYSE'!$B:$B='Yearly Forecasts'!$C$4)*('Project Data NYSE'!$C:$C='Yearly Forecasts'!D$6),0))</f>
        <v>317093000</v>
      </c>
      <c r="E17" s="80"/>
      <c r="F17" s="80" cm="1">
        <f t="array" ref="F17">INDEX('Project Data NYSE'!$I:$I,MATCH(1,('Project Data NYSE'!$B:$B='Yearly Forecasts'!$C$4)*('Project Data NYSE'!$C:$C='Yearly Forecasts'!F$6),0))</f>
        <v>514000000</v>
      </c>
      <c r="G17" s="80"/>
      <c r="H17" s="80" cm="1">
        <f t="array" ref="H17">INDEX('Project Data NYSE'!$I:$I,MATCH(1,('Project Data NYSE'!$B:$B='Yearly Forecasts'!$C$4)*('Project Data NYSE'!$C:$C='Yearly Forecasts'!H$6),0))</f>
        <v>709000000</v>
      </c>
      <c r="I17" s="80"/>
      <c r="J17" s="80" cm="1">
        <f t="array" ref="J17">INDEX('Project Data NYSE'!$I:$I,MATCH(1,('Project Data NYSE'!$B:$B='Yearly Forecasts'!$C$4)*('Project Data NYSE'!$C:$C='Yearly Forecasts'!J$6),0))</f>
        <v>757000000</v>
      </c>
      <c r="K17" s="80"/>
      <c r="L17" s="12"/>
      <c r="M17" s="12"/>
      <c r="N17" s="12"/>
      <c r="O17" s="12"/>
    </row>
    <row r="18" spans="1:16" ht="19" x14ac:dyDescent="0.25">
      <c r="A18" s="4" t="s">
        <v>583</v>
      </c>
      <c r="D18" s="80" cm="1">
        <f t="array" ref="D18">INDEX('Project Data NYSE'!$J:$J,MATCH(1,('Project Data NYSE'!$B:$B='Yearly Forecasts'!$C$4)*('Project Data NYSE'!$C:$C='Yearly Forecasts'!D$6),0))</f>
        <v>417000</v>
      </c>
      <c r="E18" s="80"/>
      <c r="F18" s="80" cm="1">
        <f t="array" ref="F18">INDEX('Project Data NYSE'!$J:$J,MATCH(1,('Project Data NYSE'!$B:$B='Yearly Forecasts'!$C$4)*('Project Data NYSE'!$C:$C='Yearly Forecasts'!F$6),0))</f>
        <v>0</v>
      </c>
      <c r="G18" s="80"/>
      <c r="H18" s="80" cm="1">
        <f t="array" ref="H18">INDEX('Project Data NYSE'!$J:$J,MATCH(1,('Project Data NYSE'!$B:$B='Yearly Forecasts'!$C$4)*('Project Data NYSE'!$C:$C='Yearly Forecasts'!H$6),0))</f>
        <v>117000000</v>
      </c>
      <c r="I18" s="80"/>
      <c r="J18" s="80" cm="1">
        <f t="array" ref="J18">INDEX('Project Data NYSE'!$J:$J,MATCH(1,('Project Data NYSE'!$B:$B='Yearly Forecasts'!$C$4)*('Project Data NYSE'!$C:$C='Yearly Forecasts'!J$6),0))</f>
        <v>322000000</v>
      </c>
      <c r="K18" s="80"/>
      <c r="L18" s="12"/>
      <c r="M18" s="12"/>
      <c r="N18" s="12"/>
      <c r="O18" s="12"/>
    </row>
    <row r="19" spans="1:16" ht="19" x14ac:dyDescent="0.25">
      <c r="A19" s="4"/>
      <c r="D19" s="8"/>
      <c r="E19" s="8"/>
      <c r="F19" s="8"/>
      <c r="G19" s="8"/>
      <c r="H19" s="8"/>
      <c r="I19" s="8"/>
      <c r="J19" s="8"/>
      <c r="K19" s="8"/>
    </row>
    <row r="20" spans="1:16" ht="19" x14ac:dyDescent="0.25">
      <c r="A20" s="4" t="s">
        <v>584</v>
      </c>
      <c r="D20" s="81">
        <f>-(SUM(D16:E18))</f>
        <v>-811236000</v>
      </c>
      <c r="E20" s="81"/>
      <c r="F20" s="81">
        <f>-(SUM(F16:G18))</f>
        <v>-1164000000</v>
      </c>
      <c r="G20" s="81"/>
      <c r="H20" s="81">
        <f>-(SUM(H16:I18))</f>
        <v>-1753000000</v>
      </c>
      <c r="I20" s="81"/>
      <c r="J20" s="81">
        <f>-(SUM(J16:K18))</f>
        <v>-2069000000</v>
      </c>
      <c r="K20" s="81"/>
      <c r="L20" s="103"/>
      <c r="M20" s="103"/>
      <c r="N20" s="103"/>
      <c r="O20" s="103"/>
    </row>
    <row r="21" spans="1:16" ht="19" x14ac:dyDescent="0.25">
      <c r="A21" s="4"/>
      <c r="D21" s="8"/>
      <c r="E21" s="8"/>
      <c r="F21" s="8"/>
      <c r="G21" s="8"/>
      <c r="H21" s="8"/>
      <c r="I21" s="8"/>
      <c r="J21" s="8"/>
      <c r="K21" s="8"/>
    </row>
    <row r="22" spans="1:16" ht="19" x14ac:dyDescent="0.25">
      <c r="A22" s="4"/>
      <c r="D22" s="8"/>
      <c r="E22" s="8"/>
      <c r="F22" s="8"/>
      <c r="G22" s="8"/>
      <c r="H22" s="8"/>
      <c r="I22" s="8"/>
      <c r="J22" s="8"/>
      <c r="K22" s="8"/>
    </row>
    <row r="23" spans="1:16" ht="20" thickBot="1" x14ac:dyDescent="0.3">
      <c r="A23" s="4" t="s">
        <v>585</v>
      </c>
      <c r="D23" s="90">
        <f>D13+D20</f>
        <v>562554000</v>
      </c>
      <c r="E23" s="90"/>
      <c r="F23" s="90">
        <f>F13+F20</f>
        <v>896000000</v>
      </c>
      <c r="G23" s="90"/>
      <c r="H23" s="90">
        <f>H13+H20</f>
        <v>618000000</v>
      </c>
      <c r="I23" s="90"/>
      <c r="J23" s="90">
        <f>J13+J20</f>
        <v>757000000</v>
      </c>
      <c r="K23" s="90"/>
      <c r="L23" s="104">
        <f ca="1">L8*L29</f>
        <v>925200000</v>
      </c>
      <c r="M23" s="105"/>
      <c r="N23" s="104">
        <f ca="1">N8*N29</f>
        <v>1110240000</v>
      </c>
      <c r="O23" s="105"/>
    </row>
    <row r="24" spans="1:16" ht="17" thickTop="1" x14ac:dyDescent="0.2"/>
    <row r="26" spans="1:16" ht="21" x14ac:dyDescent="0.25">
      <c r="D26" s="91" t="s">
        <v>590</v>
      </c>
      <c r="E26" s="91"/>
      <c r="F26" s="91"/>
      <c r="G26" s="91"/>
      <c r="H26" s="91"/>
      <c r="I26" s="91"/>
      <c r="J26" s="91"/>
      <c r="K26" s="92"/>
      <c r="L26" s="85" t="s">
        <v>591</v>
      </c>
      <c r="M26" s="86"/>
      <c r="N26" s="86"/>
      <c r="O26" s="86"/>
    </row>
    <row r="27" spans="1:16" ht="34" customHeight="1" x14ac:dyDescent="0.25">
      <c r="A27" s="7" t="s">
        <v>598</v>
      </c>
      <c r="B27" s="7"/>
      <c r="D27" s="101"/>
      <c r="E27" s="101"/>
      <c r="F27" s="87">
        <f>(F8-D8)/D8</f>
        <v>0.44003981059028741</v>
      </c>
      <c r="G27" s="87"/>
      <c r="H27" s="87">
        <f>(H8-F8)/F8</f>
        <v>0.16562220232766339</v>
      </c>
      <c r="I27" s="87"/>
      <c r="J27" s="87">
        <f>(J8-H8)/H8</f>
        <v>0.18433179723502305</v>
      </c>
      <c r="K27" s="87"/>
      <c r="L27" s="88">
        <f ca="1">OFFSET($L$33,MATCH($N$4,$A$34:$A$36,0),0)</f>
        <v>0.2</v>
      </c>
      <c r="M27" s="88"/>
      <c r="N27" s="88">
        <f ca="1">OFFSET($N$33,MATCH($N$4,$A$34:$A$36,0),0)</f>
        <v>0.2</v>
      </c>
      <c r="O27" s="88"/>
    </row>
    <row r="28" spans="1:16" ht="34" customHeight="1" x14ac:dyDescent="0.25">
      <c r="A28" s="7" t="s">
        <v>592</v>
      </c>
      <c r="D28" s="89">
        <f>D13/D8</f>
        <v>0.88554713132982588</v>
      </c>
      <c r="E28" s="89"/>
      <c r="F28" s="89">
        <f>F13/F8</f>
        <v>0.92211280214861235</v>
      </c>
      <c r="G28" s="89"/>
      <c r="H28" s="89">
        <f>H13/H8</f>
        <v>0.91052227342549918</v>
      </c>
      <c r="I28" s="89"/>
      <c r="J28" s="89">
        <f>J13/J8</f>
        <v>0.91634241245136183</v>
      </c>
      <c r="K28" s="89"/>
      <c r="L28" s="88">
        <f ca="1">OFFSET($L$39,MATCH($N$4,$A$40:$A$42,0),0)</f>
        <v>0.91</v>
      </c>
      <c r="M28" s="88"/>
      <c r="N28" s="88">
        <f ca="1">OFFSET($N$39,MATCH($N$4,$A$40:$A$42,0),0)</f>
        <v>0.91</v>
      </c>
      <c r="O28" s="88"/>
    </row>
    <row r="29" spans="1:16" ht="34" customHeight="1" x14ac:dyDescent="0.25">
      <c r="A29" s="7" t="s">
        <v>593</v>
      </c>
      <c r="D29" s="89">
        <f>D23/D8</f>
        <v>0.36262316723670929</v>
      </c>
      <c r="E29" s="89"/>
      <c r="F29" s="89">
        <f>F23/F8</f>
        <v>0.40107430617726053</v>
      </c>
      <c r="G29" s="89"/>
      <c r="H29" s="89">
        <f>H23/H8</f>
        <v>0.23732718894009217</v>
      </c>
      <c r="I29" s="89"/>
      <c r="J29" s="89">
        <f>J23/J8</f>
        <v>0.2454604409857328</v>
      </c>
      <c r="K29" s="89"/>
      <c r="L29" s="88">
        <f ca="1">OFFSET($L$45,MATCH($N$4,$A$46:$A$48,0),0)</f>
        <v>0.25</v>
      </c>
      <c r="M29" s="88"/>
      <c r="N29" s="88">
        <f ca="1">OFFSET($N$45,MATCH($N$4,$A$46:$A$48,0),0)</f>
        <v>0.25</v>
      </c>
      <c r="O29" s="88"/>
    </row>
    <row r="31" spans="1:16" ht="21" x14ac:dyDescent="0.25">
      <c r="D31" s="7"/>
      <c r="P31" s="11"/>
    </row>
    <row r="32" spans="1:16" x14ac:dyDescent="0.2">
      <c r="P32" s="11"/>
    </row>
    <row r="33" spans="1:16" ht="22" customHeight="1" x14ac:dyDescent="0.25">
      <c r="A33" s="93" t="s">
        <v>598</v>
      </c>
      <c r="B33" s="93"/>
      <c r="C33" s="10"/>
      <c r="D33" s="10"/>
      <c r="E33" s="10"/>
      <c r="F33" s="10"/>
      <c r="G33" s="10"/>
      <c r="H33" s="10"/>
      <c r="I33" s="10"/>
      <c r="J33" s="10"/>
      <c r="K33" s="10"/>
      <c r="L33" s="79" t="s">
        <v>588</v>
      </c>
      <c r="M33" s="79"/>
      <c r="N33" s="79" t="s">
        <v>589</v>
      </c>
      <c r="O33" s="79"/>
      <c r="P33" s="11"/>
    </row>
    <row r="34" spans="1:16" ht="22" customHeight="1" x14ac:dyDescent="0.25">
      <c r="A34" s="17" t="s">
        <v>595</v>
      </c>
      <c r="B34" s="17"/>
      <c r="D34" s="12"/>
      <c r="E34" s="12"/>
      <c r="F34" s="12"/>
      <c r="G34" s="12"/>
      <c r="H34" s="12"/>
      <c r="I34" s="12"/>
      <c r="J34" s="12"/>
      <c r="K34" s="12"/>
      <c r="L34" s="96">
        <f>INDEX($A$53:$I$60,MATCH($C$4,$A$53:$A$60,0),MATCH($A34,$A$53:$I$53,0))</f>
        <v>0.25</v>
      </c>
      <c r="M34" s="95"/>
      <c r="N34" s="96">
        <f>INDEX($A$53:$I$60,MATCH($C$4,$A$53:$A$60,0),MATCH($A34,$A$53:$I$53,0))</f>
        <v>0.25</v>
      </c>
      <c r="O34" s="95"/>
    </row>
    <row r="35" spans="1:16" ht="22" customHeight="1" x14ac:dyDescent="0.25">
      <c r="A35" s="18" t="s">
        <v>596</v>
      </c>
      <c r="B35" s="18"/>
      <c r="D35" s="12"/>
      <c r="E35" s="12"/>
      <c r="F35" s="12"/>
      <c r="G35" s="12"/>
      <c r="H35" s="12"/>
      <c r="I35" s="12"/>
      <c r="J35" s="12"/>
      <c r="K35" s="12"/>
      <c r="L35" s="96">
        <f>INDEX($A$53:$I$60,MATCH($C$4,$A$53:$A$60,0),MATCH($A35,$A$53:$I$53,0))</f>
        <v>0.2</v>
      </c>
      <c r="M35" s="95"/>
      <c r="N35" s="96">
        <f>INDEX($A$53:$I$60,MATCH($C$4,$A$53:$A$60,0),MATCH($A35,$A$53:$I$53,0))</f>
        <v>0.2</v>
      </c>
      <c r="O35" s="95"/>
    </row>
    <row r="36" spans="1:16" ht="22" customHeight="1" x14ac:dyDescent="0.25">
      <c r="A36" s="18" t="s">
        <v>597</v>
      </c>
      <c r="B36" s="18"/>
      <c r="D36" s="12"/>
      <c r="E36" s="12"/>
      <c r="F36" s="12"/>
      <c r="G36" s="12"/>
      <c r="H36" s="12"/>
      <c r="I36" s="12"/>
      <c r="J36" s="12"/>
      <c r="K36" s="12"/>
      <c r="L36" s="96">
        <f>INDEX($A$53:$I$60,MATCH($C$4,$A$53:$A$60,0),MATCH($A36,$A$53:$I$53,0))</f>
        <v>0.15</v>
      </c>
      <c r="M36" s="95"/>
      <c r="N36" s="96">
        <f>INDEX($A$53:$I$60,MATCH($C$4,$A$53:$A$60,0),MATCH($A36,$A$53:$I$53,0))</f>
        <v>0.15</v>
      </c>
      <c r="O36" s="95"/>
    </row>
    <row r="39" spans="1:16" ht="22" customHeight="1" x14ac:dyDescent="0.25">
      <c r="A39" s="94" t="s">
        <v>592</v>
      </c>
      <c r="B39" s="94"/>
      <c r="C39" s="10"/>
      <c r="D39" s="10"/>
      <c r="E39" s="10"/>
      <c r="F39" s="10"/>
      <c r="G39" s="10"/>
      <c r="H39" s="10"/>
      <c r="I39" s="10"/>
      <c r="J39" s="10"/>
      <c r="K39" s="10"/>
      <c r="L39" s="79" t="s">
        <v>588</v>
      </c>
      <c r="M39" s="79"/>
      <c r="N39" s="79" t="s">
        <v>589</v>
      </c>
      <c r="O39" s="79"/>
    </row>
    <row r="40" spans="1:16" ht="22" customHeight="1" x14ac:dyDescent="0.25">
      <c r="A40" s="17" t="s">
        <v>595</v>
      </c>
      <c r="B40" s="17"/>
      <c r="D40" s="12"/>
      <c r="E40" s="12"/>
      <c r="F40" s="12"/>
      <c r="G40" s="12"/>
      <c r="H40" s="12"/>
      <c r="I40" s="12"/>
      <c r="J40" s="12"/>
      <c r="K40" s="12"/>
      <c r="L40" s="95">
        <f>INDEX($A$64:$I$71,MATCH($C$4,$A$64:$A$71,0),MATCH($A40,$A$64:$I$64,0))</f>
        <v>0.93</v>
      </c>
      <c r="M40" s="95"/>
      <c r="N40" s="95">
        <f>INDEX($A$64:$I$71,MATCH($C$4,$A$64:$A$71,0),MATCH($A40,$A$64:$I$64,0))</f>
        <v>0.93</v>
      </c>
      <c r="O40" s="95"/>
    </row>
    <row r="41" spans="1:16" ht="22" customHeight="1" x14ac:dyDescent="0.25">
      <c r="A41" s="18" t="s">
        <v>596</v>
      </c>
      <c r="B41" s="18"/>
      <c r="D41" s="12"/>
      <c r="E41" s="12"/>
      <c r="F41" s="12"/>
      <c r="G41" s="12"/>
      <c r="H41" s="12"/>
      <c r="I41" s="12"/>
      <c r="J41" s="12"/>
      <c r="K41" s="12"/>
      <c r="L41" s="95">
        <f>INDEX($A$64:$I$71,MATCH($C$4,$A$64:$A$71,0),MATCH($A41,$A$64:$I$64,0))</f>
        <v>0.91</v>
      </c>
      <c r="M41" s="95"/>
      <c r="N41" s="95">
        <f>INDEX($A$64:$I$71,MATCH($C$4,$A$64:$A$71,0),MATCH($A41,$A$64:$I$64,0))</f>
        <v>0.91</v>
      </c>
      <c r="O41" s="95"/>
    </row>
    <row r="42" spans="1:16" ht="22" customHeight="1" x14ac:dyDescent="0.25">
      <c r="A42" s="18" t="s">
        <v>597</v>
      </c>
      <c r="B42" s="18"/>
      <c r="D42" s="12"/>
      <c r="E42" s="12"/>
      <c r="F42" s="12"/>
      <c r="G42" s="12"/>
      <c r="H42" s="12"/>
      <c r="I42" s="12"/>
      <c r="J42" s="12"/>
      <c r="K42" s="12"/>
      <c r="L42" s="95">
        <f>INDEX($A$64:$I$71,MATCH($C$4,$A$64:$A$71,0),MATCH($A42,$A$64:$I$64,0))</f>
        <v>0.89</v>
      </c>
      <c r="M42" s="95"/>
      <c r="N42" s="95">
        <f>INDEX($A$64:$I$71,MATCH($C$4,$A$64:$A$71,0),MATCH($A42,$A$64:$I$64,0))</f>
        <v>0.89</v>
      </c>
      <c r="O42" s="95"/>
    </row>
    <row r="45" spans="1:16" ht="22" customHeight="1" x14ac:dyDescent="0.25">
      <c r="A45" s="94" t="s">
        <v>593</v>
      </c>
      <c r="B45" s="94"/>
      <c r="C45" s="10"/>
      <c r="D45" s="10"/>
      <c r="E45" s="10"/>
      <c r="F45" s="10"/>
      <c r="G45" s="10"/>
      <c r="H45" s="10"/>
      <c r="I45" s="10"/>
      <c r="J45" s="10"/>
      <c r="K45" s="10"/>
      <c r="L45" s="79" t="s">
        <v>588</v>
      </c>
      <c r="M45" s="79"/>
      <c r="N45" s="79" t="s">
        <v>589</v>
      </c>
      <c r="O45" s="79"/>
    </row>
    <row r="46" spans="1:16" ht="22" customHeight="1" x14ac:dyDescent="0.25">
      <c r="A46" s="17" t="s">
        <v>595</v>
      </c>
      <c r="B46" s="17"/>
      <c r="D46" s="12"/>
      <c r="E46" s="12"/>
      <c r="F46" s="12"/>
      <c r="G46" s="12"/>
      <c r="H46" s="12"/>
      <c r="I46" s="12"/>
      <c r="J46" s="12"/>
      <c r="K46" s="12"/>
      <c r="L46" s="88">
        <f>INDEX($A$75:$I$82,MATCH($C$4,$A$75:$A$82,0),MATCH($A46,$A$75:$I$75,0))</f>
        <v>0.3</v>
      </c>
      <c r="M46" s="88"/>
      <c r="N46" s="88">
        <f>INDEX($A$75:$I$82,MATCH($C$4,$A$75:$A$82,0),MATCH($A46,$A$75:$I$75,0))</f>
        <v>0.3</v>
      </c>
      <c r="O46" s="88"/>
    </row>
    <row r="47" spans="1:16" ht="22" customHeight="1" x14ac:dyDescent="0.25">
      <c r="A47" s="18" t="s">
        <v>596</v>
      </c>
      <c r="B47" s="18"/>
      <c r="D47" s="12"/>
      <c r="E47" s="12"/>
      <c r="F47" s="12"/>
      <c r="G47" s="12"/>
      <c r="H47" s="12"/>
      <c r="I47" s="12"/>
      <c r="J47" s="12"/>
      <c r="K47" s="12"/>
      <c r="L47" s="88">
        <f>INDEX($A$75:$I$82,MATCH($C$4,$A$75:$A$82,0),MATCH($A47,$A$75:$I$75,0))</f>
        <v>0.25</v>
      </c>
      <c r="M47" s="88"/>
      <c r="N47" s="88">
        <f>INDEX($A$75:$I$82,MATCH($C$4,$A$75:$A$82,0),MATCH($A47,$A$75:$I$75,0))</f>
        <v>0.25</v>
      </c>
      <c r="O47" s="88"/>
    </row>
    <row r="48" spans="1:16" ht="22" customHeight="1" x14ac:dyDescent="0.25">
      <c r="A48" s="18" t="s">
        <v>597</v>
      </c>
      <c r="B48" s="18"/>
      <c r="D48" s="12"/>
      <c r="E48" s="12"/>
      <c r="F48" s="12"/>
      <c r="G48" s="12"/>
      <c r="H48" s="12"/>
      <c r="I48" s="12"/>
      <c r="J48" s="12"/>
      <c r="K48" s="12"/>
      <c r="L48" s="88">
        <f>INDEX($A$75:$I$82,MATCH($C$4,$A$75:$A$82,0),MATCH($A48,$A$75:$I$75,0))</f>
        <v>0.2</v>
      </c>
      <c r="M48" s="88"/>
      <c r="N48" s="88">
        <f>INDEX($A$75:$I$82,MATCH($C$4,$A$75:$A$82,0),MATCH($A48,$A$75:$I$75,0))</f>
        <v>0.2</v>
      </c>
      <c r="O48" s="88"/>
    </row>
    <row r="52" spans="1:17" ht="21" x14ac:dyDescent="0.25">
      <c r="A52" s="85" t="s">
        <v>599</v>
      </c>
      <c r="B52" s="91"/>
      <c r="C52" s="91"/>
      <c r="D52" s="91"/>
      <c r="E52" s="91"/>
      <c r="F52" s="91"/>
      <c r="G52" s="91"/>
      <c r="H52" s="91"/>
      <c r="I52" s="91"/>
    </row>
    <row r="53" spans="1:17" ht="23" customHeight="1" x14ac:dyDescent="0.25">
      <c r="A53" s="15" t="s">
        <v>601</v>
      </c>
      <c r="B53" s="98" t="s">
        <v>600</v>
      </c>
      <c r="C53" s="98"/>
      <c r="D53" s="98" t="s">
        <v>595</v>
      </c>
      <c r="E53" s="98"/>
      <c r="F53" s="98" t="s">
        <v>596</v>
      </c>
      <c r="G53" s="98"/>
      <c r="H53" s="98" t="s">
        <v>597</v>
      </c>
      <c r="I53" s="98"/>
    </row>
    <row r="54" spans="1:17" ht="20" customHeight="1" x14ac:dyDescent="0.25">
      <c r="A54" s="4" t="s">
        <v>64</v>
      </c>
      <c r="B54" s="97">
        <v>0.23987650699999999</v>
      </c>
      <c r="C54" s="97"/>
      <c r="D54" s="102">
        <v>0.25</v>
      </c>
      <c r="E54" s="102"/>
      <c r="F54" s="102">
        <v>0.2</v>
      </c>
      <c r="G54" s="102"/>
      <c r="H54" s="102">
        <v>0.15</v>
      </c>
      <c r="I54" s="102"/>
    </row>
    <row r="55" spans="1:17" ht="20" customHeight="1" x14ac:dyDescent="0.25">
      <c r="A55" s="4" t="s">
        <v>70</v>
      </c>
      <c r="B55" s="97">
        <v>7.1439215E-2</v>
      </c>
      <c r="C55" s="97"/>
      <c r="D55" s="102">
        <v>0.15</v>
      </c>
      <c r="E55" s="102"/>
      <c r="F55" s="102">
        <v>0.08</v>
      </c>
      <c r="G55" s="102"/>
      <c r="H55" s="102">
        <v>0.04</v>
      </c>
      <c r="I55" s="102"/>
    </row>
    <row r="56" spans="1:17" ht="20" customHeight="1" x14ac:dyDescent="0.25">
      <c r="A56" s="4" t="s">
        <v>114</v>
      </c>
      <c r="B56" s="97">
        <v>0.16484362699999999</v>
      </c>
      <c r="C56" s="97"/>
      <c r="D56" s="102">
        <v>0.15</v>
      </c>
      <c r="E56" s="102"/>
      <c r="F56" s="102">
        <v>0.1</v>
      </c>
      <c r="G56" s="102"/>
      <c r="H56" s="102">
        <v>0.05</v>
      </c>
      <c r="I56" s="102"/>
      <c r="L56" s="11"/>
      <c r="M56" s="11"/>
      <c r="N56" s="19"/>
      <c r="O56" s="20"/>
      <c r="P56" s="20"/>
      <c r="Q56" s="11"/>
    </row>
    <row r="57" spans="1:17" ht="20" customHeight="1" x14ac:dyDescent="0.25">
      <c r="A57" s="4" t="s">
        <v>133</v>
      </c>
      <c r="B57" s="97">
        <v>0.202187846</v>
      </c>
      <c r="C57" s="97"/>
      <c r="D57" s="102">
        <v>0.25</v>
      </c>
      <c r="E57" s="102"/>
      <c r="F57" s="102">
        <v>0.2</v>
      </c>
      <c r="G57" s="102"/>
      <c r="H57" s="102">
        <v>0.15</v>
      </c>
      <c r="I57" s="102"/>
      <c r="L57" s="11"/>
      <c r="M57" s="11"/>
      <c r="N57" s="19"/>
      <c r="O57" s="19"/>
      <c r="P57" s="19"/>
      <c r="Q57" s="11"/>
    </row>
    <row r="58" spans="1:17" ht="20" customHeight="1" x14ac:dyDescent="0.25">
      <c r="A58" s="4" t="s">
        <v>269</v>
      </c>
      <c r="B58" s="97">
        <v>0.50087347699999996</v>
      </c>
      <c r="C58" s="97"/>
      <c r="D58" s="102">
        <v>0.4</v>
      </c>
      <c r="E58" s="102"/>
      <c r="F58" s="102">
        <v>0.3</v>
      </c>
      <c r="G58" s="102"/>
      <c r="H58" s="102">
        <v>0.2</v>
      </c>
      <c r="I58" s="102"/>
      <c r="L58" s="11"/>
      <c r="M58" s="11"/>
      <c r="N58" s="19"/>
      <c r="O58" s="19"/>
      <c r="P58" s="19"/>
      <c r="Q58" s="11"/>
    </row>
    <row r="59" spans="1:17" ht="20" customHeight="1" x14ac:dyDescent="0.25">
      <c r="A59" s="4" t="s">
        <v>459</v>
      </c>
      <c r="B59" s="97">
        <v>0.30523624799999999</v>
      </c>
      <c r="C59" s="97"/>
      <c r="D59" s="102">
        <v>0.35</v>
      </c>
      <c r="E59" s="102"/>
      <c r="F59" s="102">
        <v>0.25</v>
      </c>
      <c r="G59" s="102"/>
      <c r="H59" s="102">
        <v>0.15</v>
      </c>
      <c r="I59" s="102"/>
      <c r="L59" s="11"/>
      <c r="M59" s="11"/>
      <c r="N59" s="19"/>
      <c r="O59" s="19"/>
      <c r="P59" s="19"/>
      <c r="Q59" s="11"/>
    </row>
    <row r="60" spans="1:17" ht="20" customHeight="1" x14ac:dyDescent="0.25">
      <c r="A60" s="4" t="s">
        <v>543</v>
      </c>
      <c r="B60" s="97">
        <v>-0.14903332899999999</v>
      </c>
      <c r="C60" s="97"/>
      <c r="D60" s="102">
        <v>0.5</v>
      </c>
      <c r="E60" s="102"/>
      <c r="F60" s="102">
        <v>0.1</v>
      </c>
      <c r="G60" s="102"/>
      <c r="H60" s="102">
        <v>-0.1</v>
      </c>
      <c r="I60" s="102"/>
      <c r="L60" s="11"/>
      <c r="M60" s="11"/>
      <c r="N60" s="19"/>
      <c r="O60" s="19"/>
      <c r="P60" s="19"/>
      <c r="Q60" s="11"/>
    </row>
    <row r="61" spans="1:17" ht="19" x14ac:dyDescent="0.25">
      <c r="L61" s="11"/>
      <c r="M61" s="11"/>
      <c r="N61" s="19"/>
      <c r="O61" s="19"/>
      <c r="P61" s="19"/>
      <c r="Q61" s="11"/>
    </row>
    <row r="62" spans="1:17" ht="19" x14ac:dyDescent="0.25">
      <c r="J62" s="16"/>
      <c r="K62" s="16"/>
      <c r="L62" s="11"/>
      <c r="M62" s="11"/>
      <c r="N62" s="19"/>
      <c r="O62" s="19"/>
      <c r="P62" s="19"/>
      <c r="Q62" s="11"/>
    </row>
    <row r="63" spans="1:17" ht="21" x14ac:dyDescent="0.25">
      <c r="A63" s="85" t="s">
        <v>603</v>
      </c>
      <c r="B63" s="91"/>
      <c r="C63" s="91"/>
      <c r="D63" s="91"/>
      <c r="E63" s="91"/>
      <c r="F63" s="91"/>
      <c r="G63" s="91"/>
      <c r="H63" s="91"/>
      <c r="I63" s="91"/>
      <c r="L63" s="11"/>
      <c r="M63" s="11"/>
      <c r="N63" s="11"/>
      <c r="O63" s="11"/>
      <c r="P63" s="11"/>
      <c r="Q63" s="11"/>
    </row>
    <row r="64" spans="1:17" ht="19" x14ac:dyDescent="0.25">
      <c r="A64" s="15" t="s">
        <v>601</v>
      </c>
      <c r="B64" s="98" t="s">
        <v>602</v>
      </c>
      <c r="C64" s="98"/>
      <c r="D64" s="98" t="s">
        <v>595</v>
      </c>
      <c r="E64" s="98"/>
      <c r="F64" s="98" t="s">
        <v>596</v>
      </c>
      <c r="G64" s="98"/>
      <c r="H64" s="98" t="s">
        <v>597</v>
      </c>
      <c r="I64" s="98"/>
    </row>
    <row r="65" spans="1:9" ht="19" x14ac:dyDescent="0.25">
      <c r="A65" s="4" t="s">
        <v>64</v>
      </c>
      <c r="B65" s="106">
        <v>0.91</v>
      </c>
      <c r="C65" s="106"/>
      <c r="D65" s="106">
        <f>B65+0.02</f>
        <v>0.93</v>
      </c>
      <c r="E65" s="106"/>
      <c r="F65" s="106">
        <f>B65</f>
        <v>0.91</v>
      </c>
      <c r="G65" s="106"/>
      <c r="H65" s="106">
        <f>B65-0.02</f>
        <v>0.89</v>
      </c>
      <c r="I65" s="106"/>
    </row>
    <row r="66" spans="1:9" ht="19" x14ac:dyDescent="0.25">
      <c r="A66" s="4" t="s">
        <v>70</v>
      </c>
      <c r="B66" s="106">
        <v>0.81</v>
      </c>
      <c r="C66" s="106"/>
      <c r="D66" s="106">
        <v>0.85</v>
      </c>
      <c r="E66" s="106"/>
      <c r="F66" s="106">
        <f t="shared" ref="F66:F71" si="0">B66</f>
        <v>0.81</v>
      </c>
      <c r="G66" s="106"/>
      <c r="H66" s="106">
        <v>0.75</v>
      </c>
      <c r="I66" s="106"/>
    </row>
    <row r="67" spans="1:9" ht="19" x14ac:dyDescent="0.25">
      <c r="A67" s="4" t="s">
        <v>114</v>
      </c>
      <c r="B67" s="106">
        <v>0.88</v>
      </c>
      <c r="C67" s="106"/>
      <c r="D67" s="106">
        <f t="shared" ref="D67:D70" si="1">B67+0.02</f>
        <v>0.9</v>
      </c>
      <c r="E67" s="106"/>
      <c r="F67" s="106">
        <f t="shared" si="0"/>
        <v>0.88</v>
      </c>
      <c r="G67" s="106"/>
      <c r="H67" s="106">
        <f t="shared" ref="H67:H70" si="2">B67-0.02</f>
        <v>0.86</v>
      </c>
      <c r="I67" s="106"/>
    </row>
    <row r="68" spans="1:9" ht="19" x14ac:dyDescent="0.25">
      <c r="A68" s="4" t="s">
        <v>133</v>
      </c>
      <c r="B68" s="106">
        <v>0.95</v>
      </c>
      <c r="C68" s="106"/>
      <c r="D68" s="106">
        <f t="shared" si="1"/>
        <v>0.97</v>
      </c>
      <c r="E68" s="106"/>
      <c r="F68" s="106">
        <f t="shared" si="0"/>
        <v>0.95</v>
      </c>
      <c r="G68" s="106"/>
      <c r="H68" s="106">
        <f t="shared" si="2"/>
        <v>0.92999999999999994</v>
      </c>
      <c r="I68" s="106"/>
    </row>
    <row r="69" spans="1:9" ht="19" x14ac:dyDescent="0.25">
      <c r="A69" s="4" t="s">
        <v>269</v>
      </c>
      <c r="B69" s="106">
        <v>0.8</v>
      </c>
      <c r="C69" s="106"/>
      <c r="D69" s="106">
        <v>0.9</v>
      </c>
      <c r="E69" s="106"/>
      <c r="F69" s="106">
        <v>0.85</v>
      </c>
      <c r="G69" s="106"/>
      <c r="H69" s="106">
        <v>0.8</v>
      </c>
      <c r="I69" s="106"/>
    </row>
    <row r="70" spans="1:9" ht="19" x14ac:dyDescent="0.25">
      <c r="A70" s="4" t="s">
        <v>459</v>
      </c>
      <c r="B70" s="106">
        <v>0.92</v>
      </c>
      <c r="C70" s="106"/>
      <c r="D70" s="106">
        <f t="shared" si="1"/>
        <v>0.94000000000000006</v>
      </c>
      <c r="E70" s="106"/>
      <c r="F70" s="106">
        <f t="shared" si="0"/>
        <v>0.92</v>
      </c>
      <c r="G70" s="106"/>
      <c r="H70" s="106">
        <f t="shared" si="2"/>
        <v>0.9</v>
      </c>
      <c r="I70" s="106"/>
    </row>
    <row r="71" spans="1:9" ht="19" x14ac:dyDescent="0.25">
      <c r="A71" s="4" t="s">
        <v>543</v>
      </c>
      <c r="B71" s="106">
        <v>0.87</v>
      </c>
      <c r="C71" s="106"/>
      <c r="D71" s="106">
        <v>0.9</v>
      </c>
      <c r="E71" s="106"/>
      <c r="F71" s="106">
        <f t="shared" si="0"/>
        <v>0.87</v>
      </c>
      <c r="G71" s="106"/>
      <c r="H71" s="106">
        <v>0.84</v>
      </c>
      <c r="I71" s="106"/>
    </row>
    <row r="72" spans="1:9" ht="19" x14ac:dyDescent="0.25">
      <c r="D72" s="4"/>
      <c r="E72" s="4"/>
      <c r="F72" s="4"/>
      <c r="G72" s="4"/>
      <c r="H72" s="4"/>
      <c r="I72" s="4"/>
    </row>
    <row r="74" spans="1:9" ht="21" x14ac:dyDescent="0.25">
      <c r="A74" s="85" t="s">
        <v>604</v>
      </c>
      <c r="B74" s="91"/>
      <c r="C74" s="91"/>
      <c r="D74" s="91"/>
      <c r="E74" s="91"/>
      <c r="F74" s="91"/>
      <c r="G74" s="91"/>
      <c r="H74" s="91"/>
      <c r="I74" s="91"/>
    </row>
    <row r="75" spans="1:9" ht="19" x14ac:dyDescent="0.25">
      <c r="A75" s="15" t="s">
        <v>601</v>
      </c>
      <c r="B75" s="98" t="s">
        <v>602</v>
      </c>
      <c r="C75" s="98"/>
      <c r="D75" s="98" t="s">
        <v>595</v>
      </c>
      <c r="E75" s="98"/>
      <c r="F75" s="98" t="s">
        <v>596</v>
      </c>
      <c r="G75" s="98"/>
      <c r="H75" s="98" t="s">
        <v>597</v>
      </c>
      <c r="I75" s="98"/>
    </row>
    <row r="76" spans="1:9" ht="19" x14ac:dyDescent="0.25">
      <c r="A76" s="4" t="s">
        <v>64</v>
      </c>
      <c r="B76" s="106">
        <v>0.31</v>
      </c>
      <c r="C76" s="106"/>
      <c r="D76" s="106">
        <v>0.3</v>
      </c>
      <c r="E76" s="106"/>
      <c r="F76" s="106">
        <v>0.25</v>
      </c>
      <c r="G76" s="106"/>
      <c r="H76" s="106">
        <v>0.2</v>
      </c>
      <c r="I76" s="106"/>
    </row>
    <row r="77" spans="1:9" ht="19" x14ac:dyDescent="0.25">
      <c r="A77" s="4" t="s">
        <v>70</v>
      </c>
      <c r="B77" s="106">
        <v>0.36</v>
      </c>
      <c r="C77" s="106"/>
      <c r="D77" s="106">
        <v>0.43</v>
      </c>
      <c r="E77" s="106"/>
      <c r="F77" s="106">
        <v>0.4</v>
      </c>
      <c r="G77" s="106"/>
      <c r="H77" s="106">
        <v>0.36</v>
      </c>
      <c r="I77" s="106"/>
    </row>
    <row r="78" spans="1:9" ht="19" x14ac:dyDescent="0.25">
      <c r="A78" s="4" t="s">
        <v>114</v>
      </c>
      <c r="B78" s="106">
        <v>0.43</v>
      </c>
      <c r="C78" s="106"/>
      <c r="D78" s="106">
        <v>0.5</v>
      </c>
      <c r="E78" s="106"/>
      <c r="F78" s="106">
        <v>0.45</v>
      </c>
      <c r="G78" s="106"/>
      <c r="H78" s="106">
        <v>0.4</v>
      </c>
      <c r="I78" s="106"/>
    </row>
    <row r="79" spans="1:9" ht="19" x14ac:dyDescent="0.25">
      <c r="A79" s="4" t="s">
        <v>133</v>
      </c>
      <c r="B79" s="106">
        <v>0.3</v>
      </c>
      <c r="C79" s="106"/>
      <c r="D79" s="106">
        <f>B79+0.02</f>
        <v>0.32</v>
      </c>
      <c r="E79" s="106"/>
      <c r="F79" s="106">
        <f>B79</f>
        <v>0.3</v>
      </c>
      <c r="G79" s="106"/>
      <c r="H79" s="106">
        <f>B79-0.02</f>
        <v>0.27999999999999997</v>
      </c>
      <c r="I79" s="106"/>
    </row>
    <row r="80" spans="1:9" ht="19" x14ac:dyDescent="0.25">
      <c r="A80" s="4" t="s">
        <v>269</v>
      </c>
      <c r="B80" s="106">
        <v>0.53</v>
      </c>
      <c r="C80" s="106"/>
      <c r="D80" s="106">
        <v>0.6</v>
      </c>
      <c r="E80" s="106"/>
      <c r="F80" s="106">
        <v>0.5</v>
      </c>
      <c r="G80" s="106"/>
      <c r="H80" s="106">
        <v>0.4</v>
      </c>
      <c r="I80" s="106"/>
    </row>
    <row r="81" spans="1:9" ht="19" x14ac:dyDescent="0.25">
      <c r="A81" s="4" t="s">
        <v>459</v>
      </c>
      <c r="B81" s="106">
        <v>0.31</v>
      </c>
      <c r="C81" s="106"/>
      <c r="D81" s="106">
        <v>0.31</v>
      </c>
      <c r="E81" s="106"/>
      <c r="F81" s="106">
        <v>0.28999999999999998</v>
      </c>
      <c r="G81" s="106"/>
      <c r="H81" s="106">
        <v>0.27</v>
      </c>
      <c r="I81" s="106"/>
    </row>
    <row r="82" spans="1:9" ht="19" x14ac:dyDescent="0.25">
      <c r="A82" s="4" t="s">
        <v>543</v>
      </c>
      <c r="B82" s="106">
        <v>-0.41</v>
      </c>
      <c r="C82" s="106"/>
      <c r="D82" s="106">
        <v>0.1</v>
      </c>
      <c r="E82" s="106"/>
      <c r="F82" s="106">
        <v>-0.1</v>
      </c>
      <c r="G82" s="106"/>
      <c r="H82" s="106">
        <v>-0.45</v>
      </c>
      <c r="I82" s="106"/>
    </row>
  </sheetData>
  <mergeCells count="195">
    <mergeCell ref="B82:C82"/>
    <mergeCell ref="D82:E82"/>
    <mergeCell ref="F82:G82"/>
    <mergeCell ref="H82:I82"/>
    <mergeCell ref="B80:C80"/>
    <mergeCell ref="D80:E80"/>
    <mergeCell ref="F80:G80"/>
    <mergeCell ref="H80:I80"/>
    <mergeCell ref="B81:C81"/>
    <mergeCell ref="D81:E81"/>
    <mergeCell ref="F81:G81"/>
    <mergeCell ref="H81:I81"/>
    <mergeCell ref="B78:C78"/>
    <mergeCell ref="D78:E78"/>
    <mergeCell ref="F78:G78"/>
    <mergeCell ref="H78:I78"/>
    <mergeCell ref="B79:C79"/>
    <mergeCell ref="D79:E79"/>
    <mergeCell ref="F79:G79"/>
    <mergeCell ref="H79:I79"/>
    <mergeCell ref="B76:C76"/>
    <mergeCell ref="D76:E76"/>
    <mergeCell ref="F76:G76"/>
    <mergeCell ref="H76:I76"/>
    <mergeCell ref="B77:C77"/>
    <mergeCell ref="D77:E77"/>
    <mergeCell ref="F77:G77"/>
    <mergeCell ref="H77:I77"/>
    <mergeCell ref="A63:I63"/>
    <mergeCell ref="A52:I52"/>
    <mergeCell ref="A74:I74"/>
    <mergeCell ref="B75:C75"/>
    <mergeCell ref="D75:E75"/>
    <mergeCell ref="F75:G75"/>
    <mergeCell ref="H75:I75"/>
    <mergeCell ref="B70:C70"/>
    <mergeCell ref="D70:E70"/>
    <mergeCell ref="F70:G70"/>
    <mergeCell ref="H70:I70"/>
    <mergeCell ref="B71:C71"/>
    <mergeCell ref="D71:E71"/>
    <mergeCell ref="F71:G71"/>
    <mergeCell ref="H71:I71"/>
    <mergeCell ref="B68:C68"/>
    <mergeCell ref="D68:E68"/>
    <mergeCell ref="F68:G68"/>
    <mergeCell ref="H68:I68"/>
    <mergeCell ref="B69:C69"/>
    <mergeCell ref="D69:E69"/>
    <mergeCell ref="F69:G69"/>
    <mergeCell ref="H69:I69"/>
    <mergeCell ref="B66:C66"/>
    <mergeCell ref="D66:E66"/>
    <mergeCell ref="F66:G66"/>
    <mergeCell ref="H66:I66"/>
    <mergeCell ref="B67:C67"/>
    <mergeCell ref="D67:E67"/>
    <mergeCell ref="F67:G67"/>
    <mergeCell ref="H67:I67"/>
    <mergeCell ref="D64:E64"/>
    <mergeCell ref="F64:G64"/>
    <mergeCell ref="H64:I64"/>
    <mergeCell ref="B64:C64"/>
    <mergeCell ref="B65:C65"/>
    <mergeCell ref="D65:E65"/>
    <mergeCell ref="F65:G65"/>
    <mergeCell ref="H65:I65"/>
    <mergeCell ref="F60:G60"/>
    <mergeCell ref="D55:E55"/>
    <mergeCell ref="D56:E56"/>
    <mergeCell ref="D57:E57"/>
    <mergeCell ref="D58:E58"/>
    <mergeCell ref="D59:E59"/>
    <mergeCell ref="D60:E60"/>
    <mergeCell ref="H56:I56"/>
    <mergeCell ref="H57:I57"/>
    <mergeCell ref="H58:I58"/>
    <mergeCell ref="H59:I59"/>
    <mergeCell ref="H60:I60"/>
    <mergeCell ref="F55:G55"/>
    <mergeCell ref="F56:G56"/>
    <mergeCell ref="F57:G57"/>
    <mergeCell ref="F58:G58"/>
    <mergeCell ref="F59:G59"/>
    <mergeCell ref="F53:G53"/>
    <mergeCell ref="H53:I53"/>
    <mergeCell ref="D54:E54"/>
    <mergeCell ref="F54:G54"/>
    <mergeCell ref="H54:I54"/>
    <mergeCell ref="H55:I55"/>
    <mergeCell ref="L20:M20"/>
    <mergeCell ref="N20:O20"/>
    <mergeCell ref="L23:M23"/>
    <mergeCell ref="N23:O23"/>
    <mergeCell ref="N39:O39"/>
    <mergeCell ref="L45:M45"/>
    <mergeCell ref="N45:O45"/>
    <mergeCell ref="L29:M29"/>
    <mergeCell ref="N29:O29"/>
    <mergeCell ref="D28:E28"/>
    <mergeCell ref="D29:E29"/>
    <mergeCell ref="D23:E23"/>
    <mergeCell ref="B59:C59"/>
    <mergeCell ref="B60:C60"/>
    <mergeCell ref="B53:C53"/>
    <mergeCell ref="D53:E53"/>
    <mergeCell ref="L8:M8"/>
    <mergeCell ref="N8:O8"/>
    <mergeCell ref="L13:M13"/>
    <mergeCell ref="N13:O13"/>
    <mergeCell ref="B58:C58"/>
    <mergeCell ref="B54:C54"/>
    <mergeCell ref="B55:C55"/>
    <mergeCell ref="B56:C56"/>
    <mergeCell ref="B57:C57"/>
    <mergeCell ref="D27:E27"/>
    <mergeCell ref="L48:M48"/>
    <mergeCell ref="N48:O48"/>
    <mergeCell ref="N41:O41"/>
    <mergeCell ref="L42:M42"/>
    <mergeCell ref="N42:O42"/>
    <mergeCell ref="L46:M46"/>
    <mergeCell ref="N46:O46"/>
    <mergeCell ref="L47:M47"/>
    <mergeCell ref="N47:O47"/>
    <mergeCell ref="L39:M39"/>
    <mergeCell ref="A33:B33"/>
    <mergeCell ref="A39:B39"/>
    <mergeCell ref="A45:B45"/>
    <mergeCell ref="L40:M40"/>
    <mergeCell ref="N40:O40"/>
    <mergeCell ref="L41:M41"/>
    <mergeCell ref="L34:M34"/>
    <mergeCell ref="N34:O34"/>
    <mergeCell ref="L35:M35"/>
    <mergeCell ref="N35:O35"/>
    <mergeCell ref="L36:M36"/>
    <mergeCell ref="N36:O36"/>
    <mergeCell ref="L4:M4"/>
    <mergeCell ref="N4:O4"/>
    <mergeCell ref="L33:M33"/>
    <mergeCell ref="N33:O33"/>
    <mergeCell ref="L26:O26"/>
    <mergeCell ref="F27:G27"/>
    <mergeCell ref="H27:I27"/>
    <mergeCell ref="J27:K27"/>
    <mergeCell ref="L27:M27"/>
    <mergeCell ref="N27:O27"/>
    <mergeCell ref="L28:M28"/>
    <mergeCell ref="N28:O28"/>
    <mergeCell ref="F28:G28"/>
    <mergeCell ref="H28:I28"/>
    <mergeCell ref="J28:K28"/>
    <mergeCell ref="F29:G29"/>
    <mergeCell ref="H29:I29"/>
    <mergeCell ref="J29:K29"/>
    <mergeCell ref="F23:G23"/>
    <mergeCell ref="H23:I23"/>
    <mergeCell ref="J23:K23"/>
    <mergeCell ref="D26:K26"/>
    <mergeCell ref="F18:G18"/>
    <mergeCell ref="H18:I18"/>
    <mergeCell ref="H20:I20"/>
    <mergeCell ref="J20:K20"/>
    <mergeCell ref="J13:K13"/>
    <mergeCell ref="F16:G16"/>
    <mergeCell ref="H16:I16"/>
    <mergeCell ref="J16:K16"/>
    <mergeCell ref="F17:G17"/>
    <mergeCell ref="H17:I17"/>
    <mergeCell ref="J17:K17"/>
    <mergeCell ref="N6:O6"/>
    <mergeCell ref="A1:O2"/>
    <mergeCell ref="D16:E16"/>
    <mergeCell ref="D17:E17"/>
    <mergeCell ref="D18:E18"/>
    <mergeCell ref="D20:E20"/>
    <mergeCell ref="D6:E6"/>
    <mergeCell ref="F6:G6"/>
    <mergeCell ref="H6:I6"/>
    <mergeCell ref="J6:K6"/>
    <mergeCell ref="L6:M6"/>
    <mergeCell ref="D10:E10"/>
    <mergeCell ref="F8:G8"/>
    <mergeCell ref="H8:I8"/>
    <mergeCell ref="J8:K8"/>
    <mergeCell ref="F10:G10"/>
    <mergeCell ref="H10:I10"/>
    <mergeCell ref="J10:K10"/>
    <mergeCell ref="F13:G13"/>
    <mergeCell ref="H13:I13"/>
    <mergeCell ref="D8:E8"/>
    <mergeCell ref="D13:E13"/>
    <mergeCell ref="J18:K18"/>
    <mergeCell ref="F20:G20"/>
  </mergeCells>
  <phoneticPr fontId="20" type="noConversion"/>
  <conditionalFormatting sqref="D10:K10">
    <cfRule type="cellIs" dxfId="23" priority="3" operator="lessThan">
      <formula>0</formula>
    </cfRule>
  </conditionalFormatting>
  <conditionalFormatting sqref="D20:K20">
    <cfRule type="cellIs" dxfId="22" priority="2" operator="lessThan">
      <formula>0</formula>
    </cfRule>
  </conditionalFormatting>
  <conditionalFormatting sqref="D23:O23">
    <cfRule type="dataBar" priority="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{2DB69921-1DE9-304B-9119-D6B597A1C42D}</x14:id>
        </ext>
      </extLst>
    </cfRule>
  </conditionalFormatting>
  <dataValidations count="1">
    <dataValidation type="list" allowBlank="1" showInputMessage="1" showErrorMessage="1" sqref="N4:O4" xr:uid="{679997BB-4E49-CC44-A3F2-D709A5DC6961}">
      <formula1>"Best Case,Base Case,Worst Case"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DB69921-1DE9-304B-9119-D6B597A1C42D}">
            <x14:dataBar minLength="0" maxLength="100">
              <x14:cfvo type="autoMin"/>
              <x14:cfvo type="autoMax"/>
              <x14:negativeFillColor rgb="FFF99094"/>
              <x14:axisColor rgb="FF000000"/>
            </x14:dataBar>
          </x14:cfRule>
          <xm:sqref>D23:O23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C895B81-2E0D-AA42-99AB-4A718451F4F3}">
          <x14:formula1>
            <xm:f>'Project Data NYSE'!$S$2:$S$8</xm:f>
          </x14:formula1>
          <xm:sqref>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49BD1-A2CB-054A-9789-B1D523A92E85}">
  <dimension ref="A1:J34"/>
  <sheetViews>
    <sheetView workbookViewId="0">
      <selection activeCell="H14" sqref="H14"/>
    </sheetView>
  </sheetViews>
  <sheetFormatPr baseColWidth="10" defaultRowHeight="16" x14ac:dyDescent="0.2"/>
  <cols>
    <col min="1" max="1" width="37.83203125" customWidth="1"/>
    <col min="2" max="5" width="13.83203125" customWidth="1"/>
    <col min="6" max="7" width="16.1640625" customWidth="1"/>
    <col min="8" max="8" width="23.83203125" customWidth="1"/>
  </cols>
  <sheetData>
    <row r="1" spans="1:10" ht="16" customHeight="1" x14ac:dyDescent="0.2">
      <c r="A1" s="73" t="s">
        <v>576</v>
      </c>
      <c r="B1" s="73"/>
      <c r="C1" s="73"/>
      <c r="D1" s="73"/>
      <c r="E1" s="73"/>
      <c r="F1" s="73"/>
      <c r="G1" s="73"/>
      <c r="H1" s="73"/>
      <c r="I1" s="22"/>
      <c r="J1" s="22"/>
    </row>
    <row r="2" spans="1:10" ht="16" customHeight="1" x14ac:dyDescent="0.2">
      <c r="A2" s="73"/>
      <c r="B2" s="73"/>
      <c r="C2" s="73"/>
      <c r="D2" s="73"/>
      <c r="E2" s="73"/>
      <c r="F2" s="73"/>
      <c r="G2" s="73"/>
      <c r="H2" s="73"/>
      <c r="I2" s="22"/>
      <c r="J2" s="22"/>
    </row>
    <row r="3" spans="1:10" ht="22" customHeight="1" x14ac:dyDescent="0.2">
      <c r="A3" s="76" t="s">
        <v>613</v>
      </c>
      <c r="B3" s="76"/>
      <c r="C3" s="76"/>
      <c r="D3" s="76"/>
      <c r="E3" s="76"/>
      <c r="F3" s="76"/>
      <c r="G3" s="76"/>
      <c r="H3" s="76"/>
      <c r="I3" s="22"/>
      <c r="J3" s="22"/>
    </row>
    <row r="4" spans="1:10" ht="19" x14ac:dyDescent="0.2">
      <c r="A4" s="41" t="s">
        <v>614</v>
      </c>
      <c r="B4" s="42" t="s">
        <v>607</v>
      </c>
      <c r="C4" s="42" t="s">
        <v>609</v>
      </c>
      <c r="D4" s="42" t="s">
        <v>608</v>
      </c>
      <c r="E4" s="42" t="s">
        <v>612</v>
      </c>
      <c r="F4" s="42" t="s">
        <v>610</v>
      </c>
      <c r="G4" s="42" t="s">
        <v>611</v>
      </c>
      <c r="H4" s="42" t="s">
        <v>617</v>
      </c>
      <c r="I4" s="22"/>
      <c r="J4" s="22"/>
    </row>
    <row r="5" spans="1:10" ht="26" customHeight="1" x14ac:dyDescent="0.25">
      <c r="A5" s="33" t="s">
        <v>65</v>
      </c>
      <c r="B5" s="34">
        <f>AVERAGEIF('Project Data NYSE'!$M:$M,'Summary Statistics'!$A5,'Project Data NYSE'!$N:$N)</f>
        <v>0.87777464384798509</v>
      </c>
      <c r="C5" s="34" cm="1">
        <f t="array" ref="C5">MIN(IF('Project Data NYSE'!$M:$M='Summary Statistics'!$A5,'Project Data NYSE'!$N:$N))</f>
        <v>0.7447777182645956</v>
      </c>
      <c r="D5" s="34" cm="1">
        <f t="array" ref="D5">MAX(IF('Project Data NYSE'!$M:$M='Summary Statistics'!$A5,'Project Data NYSE'!$N:$N))</f>
        <v>0.96099454992341393</v>
      </c>
      <c r="E5" s="34" cm="1">
        <f t="array" ref="E5">MEDIAN(IF('Project Data NYSE'!$M:$M='Summary Statistics'!$A5,'Project Data NYSE'!$N:$N))</f>
        <v>0.88515450919786598</v>
      </c>
      <c r="F5" s="34" cm="1">
        <f t="array" ref="F5">_xlfn.QUARTILE.INC(IF('Project Data NYSE'!$M:$M='Summary Statistics'!$A5,'Project Data NYSE'!$N:$N),1)</f>
        <v>0.84106766925898235</v>
      </c>
      <c r="G5" s="34" cm="1">
        <f t="array" ref="G5">_xlfn.QUARTILE.INC(IF('Project Data NYSE'!$M:$M='Summary Statistics'!$A5,'Project Data NYSE'!$N:$N),3)</f>
        <v>0.92313165362963723</v>
      </c>
      <c r="H5" s="65"/>
      <c r="I5" s="22"/>
      <c r="J5" s="22"/>
    </row>
    <row r="6" spans="1:10" ht="26" customHeight="1" x14ac:dyDescent="0.25">
      <c r="A6" s="28" t="s">
        <v>27</v>
      </c>
      <c r="B6" s="37">
        <f>AVERAGEIF('Project Data NYSE'!$M:$M,'Summary Statistics'!$A6,'Project Data NYSE'!$N:$N)</f>
        <v>0.2925175839438578</v>
      </c>
      <c r="C6" s="37" cm="1">
        <f t="array" ref="C6">MIN(IF('Project Data NYSE'!$M:$M='Summary Statistics'!$A6,'Project Data NYSE'!$N:$N))</f>
        <v>2.4942609140233999E-2</v>
      </c>
      <c r="D6" s="37" cm="1">
        <f t="array" ref="D6">MAX(IF('Project Data NYSE'!$M:$M='Summary Statistics'!$A6,'Project Data NYSE'!$N:$N))</f>
        <v>0.76394927536231882</v>
      </c>
      <c r="E6" s="37" cm="1">
        <f t="array" ref="E6">MEDIAN(IF('Project Data NYSE'!$M:$M='Summary Statistics'!$A6,'Project Data NYSE'!$N:$N))</f>
        <v>0.17076975602179931</v>
      </c>
      <c r="F6" s="37" cm="1">
        <f t="array" ref="F6">_xlfn.QUARTILE.INC(IF('Project Data NYSE'!$M:$M='Summary Statistics'!$A6,'Project Data NYSE'!$N:$N),1)</f>
        <v>5.5240353100265913E-2</v>
      </c>
      <c r="G6" s="37" cm="1">
        <f t="array" ref="G6">_xlfn.QUARTILE.INC(IF('Project Data NYSE'!$M:$M='Summary Statistics'!$A6,'Project Data NYSE'!$N:$N),3)</f>
        <v>0.5876898928187837</v>
      </c>
      <c r="H6" s="65"/>
      <c r="I6" s="22"/>
      <c r="J6" s="22"/>
    </row>
    <row r="7" spans="1:10" ht="26" customHeight="1" x14ac:dyDescent="0.25">
      <c r="A7" s="28" t="s">
        <v>29</v>
      </c>
      <c r="B7" s="37">
        <f>AVERAGEIF('Project Data NYSE'!$M:$M,'Summary Statistics'!$A7,'Project Data NYSE'!$N:$N)</f>
        <v>0.57038081459311185</v>
      </c>
      <c r="C7" s="37" cm="1">
        <f t="array" ref="C7">MIN(IF('Project Data NYSE'!$M:$M='Summary Statistics'!$A7,'Project Data NYSE'!$N:$N))</f>
        <v>0.41389435642605915</v>
      </c>
      <c r="D7" s="37" cm="1">
        <f t="array" ref="D7">MAX(IF('Project Data NYSE'!$M:$M='Summary Statistics'!$A7,'Project Data NYSE'!$N:$N))</f>
        <v>0.75249629065244417</v>
      </c>
      <c r="E7" s="37" cm="1">
        <f t="array" ref="E7">MEDIAN(IF('Project Data NYSE'!$M:$M='Summary Statistics'!$A7,'Project Data NYSE'!$N:$N))</f>
        <v>0.54917837152186411</v>
      </c>
      <c r="F7" s="37" cm="1">
        <f t="array" ref="F7">_xlfn.QUARTILE.INC(IF('Project Data NYSE'!$M:$M='Summary Statistics'!$A7,'Project Data NYSE'!$N:$N),1)</f>
        <v>0.45671274179597143</v>
      </c>
      <c r="G7" s="37" cm="1">
        <f t="array" ref="G7">_xlfn.QUARTILE.INC(IF('Project Data NYSE'!$M:$M='Summary Statistics'!$A7,'Project Data NYSE'!$N:$N),3)</f>
        <v>0.66940452275265383</v>
      </c>
      <c r="H7" s="66"/>
      <c r="I7" s="24"/>
      <c r="J7" s="24"/>
    </row>
    <row r="8" spans="1:10" ht="26" customHeight="1" x14ac:dyDescent="0.25">
      <c r="A8" s="28" t="s">
        <v>198</v>
      </c>
      <c r="B8" s="37">
        <f>AVERAGEIF('Project Data NYSE'!$M:$M,'Summary Statistics'!$A8,'Project Data NYSE'!$N:$N)</f>
        <v>0.47183128839647825</v>
      </c>
      <c r="C8" s="37" cm="1">
        <f t="array" ref="C8">MIN(IF('Project Data NYSE'!$M:$M='Summary Statistics'!$A8,'Project Data NYSE'!$N:$N))</f>
        <v>0.28711723988609067</v>
      </c>
      <c r="D8" s="37" cm="1">
        <f t="array" ref="D8">MAX(IF('Project Data NYSE'!$M:$M='Summary Statistics'!$A8,'Project Data NYSE'!$N:$N))</f>
        <v>0.83270326125308736</v>
      </c>
      <c r="E8" s="37" cm="1">
        <f t="array" ref="E8">MEDIAN(IF('Project Data NYSE'!$M:$M='Summary Statistics'!$A8,'Project Data NYSE'!$N:$N))</f>
        <v>0.38062459291614281</v>
      </c>
      <c r="F8" s="37" cm="1">
        <f t="array" ref="F8">_xlfn.QUARTILE.INC(IF('Project Data NYSE'!$M:$M='Summary Statistics'!$A8,'Project Data NYSE'!$N:$N),1)</f>
        <v>0.3303428311369957</v>
      </c>
      <c r="G8" s="37" cm="1">
        <f t="array" ref="G8">_xlfn.QUARTILE.INC(IF('Project Data NYSE'!$M:$M='Summary Statistics'!$A8,'Project Data NYSE'!$N:$N),3)</f>
        <v>0.51291935838540592</v>
      </c>
      <c r="H8" s="66"/>
      <c r="I8" s="24"/>
      <c r="J8" s="24"/>
    </row>
    <row r="9" spans="1:10" ht="26" customHeight="1" x14ac:dyDescent="0.25">
      <c r="A9" s="28" t="s">
        <v>165</v>
      </c>
      <c r="B9" s="37">
        <f>AVERAGEIF('Project Data NYSE'!$M:$M,'Summary Statistics'!$A9,'Project Data NYSE'!$N:$N)</f>
        <v>0.48193296486987219</v>
      </c>
      <c r="C9" s="37" cm="1">
        <f t="array" ref="C9">MIN(IF('Project Data NYSE'!$M:$M='Summary Statistics'!$A9,'Project Data NYSE'!$N:$N))</f>
        <v>0.24555799716449933</v>
      </c>
      <c r="D9" s="37" cm="1">
        <f t="array" ref="D9">MAX(IF('Project Data NYSE'!$M:$M='Summary Statistics'!$A9,'Project Data NYSE'!$N:$N))</f>
        <v>0.64671652836605831</v>
      </c>
      <c r="E9" s="37" cm="1">
        <f t="array" ref="E9">MEDIAN(IF('Project Data NYSE'!$M:$M='Summary Statistics'!$A9,'Project Data NYSE'!$N:$N))</f>
        <v>0.5409781040001066</v>
      </c>
      <c r="F9" s="37" cm="1">
        <f t="array" ref="F9">_xlfn.QUARTILE.INC(IF('Project Data NYSE'!$M:$M='Summary Statistics'!$A9,'Project Data NYSE'!$N:$N),1)</f>
        <v>0.31657487055527478</v>
      </c>
      <c r="G9" s="37" cm="1">
        <f t="array" ref="G9">_xlfn.QUARTILE.INC(IF('Project Data NYSE'!$M:$M='Summary Statistics'!$A9,'Project Data NYSE'!$N:$N),3)</f>
        <v>0.59578110569447429</v>
      </c>
      <c r="H9" s="66"/>
      <c r="I9" s="24"/>
      <c r="J9" s="24"/>
    </row>
    <row r="10" spans="1:10" ht="26" customHeight="1" x14ac:dyDescent="0.25">
      <c r="A10" s="28" t="s">
        <v>135</v>
      </c>
      <c r="B10" s="37">
        <f>AVERAGEIF('Project Data NYSE'!$M:$M,'Summary Statistics'!$A10,'Project Data NYSE'!$N:$N)</f>
        <v>0.82836383281599213</v>
      </c>
      <c r="C10" s="37" cm="1">
        <f t="array" ref="C10">MIN(IF('Project Data NYSE'!$M:$M='Summary Statistics'!$A10,'Project Data NYSE'!$N:$N))</f>
        <v>0.82238326412854723</v>
      </c>
      <c r="D10" s="37" cm="1">
        <f t="array" ref="D10">MAX(IF('Project Data NYSE'!$M:$M='Summary Statistics'!$A10,'Project Data NYSE'!$N:$N))</f>
        <v>0.8375648106431538</v>
      </c>
      <c r="E10" s="37" cm="1">
        <f t="array" ref="E10">MEDIAN(IF('Project Data NYSE'!$M:$M='Summary Statistics'!$A10,'Project Data NYSE'!$N:$N))</f>
        <v>0.82675362824613363</v>
      </c>
      <c r="F10" s="37" cm="1">
        <f t="array" ref="F10">_xlfn.QUARTILE.INC(IF('Project Data NYSE'!$M:$M='Summary Statistics'!$A10,'Project Data NYSE'!$N:$N),1)</f>
        <v>0.82296959761680166</v>
      </c>
      <c r="G10" s="37" cm="1">
        <f t="array" ref="G10">_xlfn.QUARTILE.INC(IF('Project Data NYSE'!$M:$M='Summary Statistics'!$A10,'Project Data NYSE'!$N:$N),3)</f>
        <v>0.8321478634453241</v>
      </c>
      <c r="H10" s="66"/>
      <c r="I10" s="24"/>
      <c r="J10" s="24"/>
    </row>
    <row r="11" spans="1:10" ht="26" customHeight="1" x14ac:dyDescent="0.25">
      <c r="A11" s="28" t="s">
        <v>317</v>
      </c>
      <c r="B11" s="37">
        <f>AVERAGEIF('Project Data NYSE'!$M:$M,'Summary Statistics'!$A11,'Project Data NYSE'!$N:$N)</f>
        <v>0.61922163048616918</v>
      </c>
      <c r="C11" s="37" cm="1">
        <f t="array" ref="C11">MIN(IF('Project Data NYSE'!$M:$M='Summary Statistics'!$A11,'Project Data NYSE'!$N:$N))</f>
        <v>0.53885922154611321</v>
      </c>
      <c r="D11" s="37" cm="1">
        <f t="array" ref="D11">MAX(IF('Project Data NYSE'!$M:$M='Summary Statistics'!$A11,'Project Data NYSE'!$N:$N))</f>
        <v>0.69795320399213967</v>
      </c>
      <c r="E11" s="37" cm="1">
        <f t="array" ref="E11">MEDIAN(IF('Project Data NYSE'!$M:$M='Summary Statistics'!$A11,'Project Data NYSE'!$N:$N))</f>
        <v>0.60699305646099067</v>
      </c>
      <c r="F11" s="37" cm="1">
        <f t="array" ref="F11">_xlfn.QUARTILE.INC(IF('Project Data NYSE'!$M:$M='Summary Statistics'!$A11,'Project Data NYSE'!$N:$N),1)</f>
        <v>0.55994196891495807</v>
      </c>
      <c r="G11" s="37" cm="1">
        <f t="array" ref="G11">_xlfn.QUARTILE.INC(IF('Project Data NYSE'!$M:$M='Summary Statistics'!$A11,'Project Data NYSE'!$N:$N),3)</f>
        <v>0.69541440694253098</v>
      </c>
      <c r="H11" s="66"/>
      <c r="I11" s="23"/>
      <c r="J11" s="23"/>
    </row>
    <row r="12" spans="1:10" ht="26" customHeight="1" x14ac:dyDescent="0.25">
      <c r="A12" s="28" t="s">
        <v>80</v>
      </c>
      <c r="B12" s="37">
        <f>AVERAGEIF('Project Data NYSE'!$M:$M,'Summary Statistics'!$A12,'Project Data NYSE'!$N:$N)</f>
        <v>0.26239554646228902</v>
      </c>
      <c r="C12" s="37" cm="1">
        <f t="array" ref="C12">MIN(IF('Project Data NYSE'!$M:$M='Summary Statistics'!$A12,'Project Data NYSE'!$N:$N))</f>
        <v>0.16387176325524044</v>
      </c>
      <c r="D12" s="37" cm="1">
        <f t="array" ref="D12">MAX(IF('Project Data NYSE'!$M:$M='Summary Statistics'!$A12,'Project Data NYSE'!$N:$N))</f>
        <v>0.38895571976857424</v>
      </c>
      <c r="E12" s="37" cm="1">
        <f t="array" ref="E12">MEDIAN(IF('Project Data NYSE'!$M:$M='Summary Statistics'!$A12,'Project Data NYSE'!$N:$N))</f>
        <v>0.23240071916126631</v>
      </c>
      <c r="F12" s="37" cm="1">
        <f t="array" ref="F12">_xlfn.QUARTILE.INC(IF('Project Data NYSE'!$M:$M='Summary Statistics'!$A12,'Project Data NYSE'!$N:$N),1)</f>
        <v>0.21087771203840966</v>
      </c>
      <c r="G12" s="37" cm="1">
        <f t="array" ref="G12">_xlfn.QUARTILE.INC(IF('Project Data NYSE'!$M:$M='Summary Statistics'!$A12,'Project Data NYSE'!$N:$N),3)</f>
        <v>0.34302499208855636</v>
      </c>
      <c r="H12" s="67"/>
      <c r="I12" s="25"/>
      <c r="J12" s="25"/>
    </row>
    <row r="13" spans="1:10" ht="26" customHeight="1" thickBot="1" x14ac:dyDescent="0.3">
      <c r="A13" s="35" t="s">
        <v>25</v>
      </c>
      <c r="B13" s="36">
        <f>AVERAGEIF('Project Data NYSE'!$M:$M,'Summary Statistics'!$A13,'Project Data NYSE'!$N:$N)</f>
        <v>0.6988002997217142</v>
      </c>
      <c r="C13" s="36" cm="1">
        <f t="array" ref="C13">MIN(IF('Project Data NYSE'!$M:$M='Summary Statistics'!$A13,'Project Data NYSE'!$N:$N))</f>
        <v>0.44712757044531409</v>
      </c>
      <c r="D13" s="36" cm="1">
        <f t="array" ref="D13">MAX(IF('Project Data NYSE'!$M:$M='Summary Statistics'!$A13,'Project Data NYSE'!$N:$N))</f>
        <v>0.8203157875477981</v>
      </c>
      <c r="E13" s="36" cm="1">
        <f t="array" ref="E13">MEDIAN(IF('Project Data NYSE'!$M:$M='Summary Statistics'!$A13,'Project Data NYSE'!$N:$N))</f>
        <v>0.74808040484194893</v>
      </c>
      <c r="F13" s="36" cm="1">
        <f t="array" ref="F13">_xlfn.QUARTILE.INC(IF('Project Data NYSE'!$M:$M='Summary Statistics'!$A13,'Project Data NYSE'!$N:$N),1)</f>
        <v>0.63436787738923439</v>
      </c>
      <c r="G13" s="36" cm="1">
        <f t="array" ref="G13">_xlfn.QUARTILE.INC(IF('Project Data NYSE'!$M:$M='Summary Statistics'!$A13,'Project Data NYSE'!$N:$N),3)</f>
        <v>0.78776019899076499</v>
      </c>
      <c r="H13" s="65"/>
      <c r="I13" s="22"/>
      <c r="J13" s="70"/>
    </row>
    <row r="14" spans="1:10" ht="26" customHeight="1" thickTop="1" x14ac:dyDescent="0.25">
      <c r="A14" s="46" t="s">
        <v>24</v>
      </c>
      <c r="B14" s="32">
        <f>AVERAGEIF('Project Data NYSE'!$L:$L,'Summary Statistics'!$A14,'Project Data NYSE'!$N:$N)</f>
        <v>0.55663515658247009</v>
      </c>
      <c r="C14" s="32" cm="1">
        <f t="array" ref="C14">MIN(IF('Project Data NYSE'!$L:$L='Summary Statistics'!$A14,'Project Data NYSE'!$N:$N))</f>
        <v>2.4942609140233999E-2</v>
      </c>
      <c r="D14" s="32" cm="1">
        <f t="array" ref="D14">MAX(IF('Project Data NYSE'!$L:L='Summary Statistics'!$A14,'Project Data NYSE'!$N:$N))</f>
        <v>0.96099454992341393</v>
      </c>
      <c r="E14" s="38" cm="1">
        <f t="array" ref="E14">MEDIAN(IF('Project Data NYSE'!$L:$L='Summary Statistics'!$A14,'Project Data NYSE'!$N:$N))</f>
        <v>0.58636565614494307</v>
      </c>
      <c r="F14" s="38" cm="1">
        <f t="array" ref="F14">_xlfn.QUARTILE.INC(IF('Project Data NYSE'!$L:$L='Summary Statistics'!$A14,'Project Data NYSE'!$N:$N),1)</f>
        <v>0.38619974590423017</v>
      </c>
      <c r="G14" s="38" cm="1">
        <f t="array" ref="G14">_xlfn.QUARTILE.INC(IF('Project Data NYSE'!$L:$L='Summary Statistics'!$A14,'Project Data NYSE'!$N:$N),3)</f>
        <v>0.74849975808355462</v>
      </c>
      <c r="H14" s="69" cm="1">
        <f t="array" ref="H14">_xlfn.STDEV.P(IF('Project Data NYSE'!$L:$L='Summary Statistics'!$A14,'Project Data NYSE'!$N:$N))</f>
        <v>0.24415222151959615</v>
      </c>
      <c r="I14" s="22"/>
      <c r="J14" s="22"/>
    </row>
    <row r="15" spans="1:10" x14ac:dyDescent="0.2">
      <c r="A15" s="23"/>
      <c r="B15" s="26"/>
      <c r="C15" s="26"/>
      <c r="D15" s="23"/>
      <c r="E15" s="23"/>
      <c r="F15" s="26"/>
      <c r="G15" s="26"/>
      <c r="H15" s="23"/>
      <c r="I15" s="24"/>
      <c r="J15" s="24"/>
    </row>
    <row r="16" spans="1:10" x14ac:dyDescent="0.2">
      <c r="A16" s="23"/>
      <c r="B16" s="26"/>
      <c r="C16" s="26"/>
      <c r="D16" s="23"/>
      <c r="E16" s="23"/>
      <c r="F16" s="26"/>
      <c r="G16" s="26"/>
      <c r="H16" s="23"/>
      <c r="I16" s="26"/>
      <c r="J16" s="26"/>
    </row>
    <row r="17" spans="1:10" ht="16" customHeight="1" x14ac:dyDescent="0.2">
      <c r="A17" s="73" t="s">
        <v>576</v>
      </c>
      <c r="B17" s="73"/>
      <c r="C17" s="73"/>
      <c r="D17" s="73"/>
      <c r="E17" s="73"/>
      <c r="F17" s="73"/>
      <c r="G17" s="73"/>
      <c r="H17" s="73"/>
      <c r="I17" s="24"/>
      <c r="J17" s="24"/>
    </row>
    <row r="18" spans="1:10" ht="16" customHeight="1" x14ac:dyDescent="0.2">
      <c r="A18" s="73"/>
      <c r="B18" s="73"/>
      <c r="C18" s="73"/>
      <c r="D18" s="73"/>
      <c r="E18" s="73"/>
      <c r="F18" s="73"/>
      <c r="G18" s="73"/>
      <c r="H18" s="73"/>
      <c r="I18" s="24"/>
      <c r="J18" s="24"/>
    </row>
    <row r="19" spans="1:10" ht="22" customHeight="1" x14ac:dyDescent="0.2">
      <c r="A19" s="76" t="s">
        <v>606</v>
      </c>
      <c r="B19" s="76"/>
      <c r="C19" s="76"/>
      <c r="D19" s="76"/>
      <c r="E19" s="76"/>
      <c r="F19" s="76"/>
      <c r="G19" s="76"/>
      <c r="H19" s="76"/>
      <c r="I19" s="23"/>
      <c r="J19" s="23"/>
    </row>
    <row r="20" spans="1:10" ht="19" x14ac:dyDescent="0.2">
      <c r="A20" s="41" t="s">
        <v>614</v>
      </c>
      <c r="B20" s="42" t="s">
        <v>607</v>
      </c>
      <c r="C20" s="42" t="s">
        <v>609</v>
      </c>
      <c r="D20" s="42" t="s">
        <v>608</v>
      </c>
      <c r="E20" s="42" t="s">
        <v>612</v>
      </c>
      <c r="F20" s="42" t="s">
        <v>610</v>
      </c>
      <c r="G20" s="42" t="s">
        <v>611</v>
      </c>
      <c r="H20" s="42" t="s">
        <v>617</v>
      </c>
      <c r="I20" s="25"/>
      <c r="J20" s="25"/>
    </row>
    <row r="21" spans="1:10" ht="27" customHeight="1" x14ac:dyDescent="0.25">
      <c r="A21" s="33" t="s">
        <v>65</v>
      </c>
      <c r="B21" s="34">
        <f>AVERAGEIF('Project Data NYSE'!$M:$M,'Summary Statistics'!$A21,'Project Data NYSE'!$O:$O)</f>
        <v>0.2604094389296514</v>
      </c>
      <c r="C21" s="34" cm="1">
        <f t="array" ref="C21">MIN(IF('Project Data NYSE'!$M:$M='Summary Statistics'!$A21,'Project Data NYSE'!$O:$O))</f>
        <v>-1.1052212640955179</v>
      </c>
      <c r="D21" s="34" cm="1">
        <f t="array" ref="D21">MAX(IF('Project Data NYSE'!$M:$M='Summary Statistics'!$A21,'Project Data NYSE'!$O:$O))</f>
        <v>0.67995342994577035</v>
      </c>
      <c r="E21" s="34" cm="1">
        <f t="array" ref="E21">MEDIAN(IF('Project Data NYSE'!$M:$M='Summary Statistics'!$A21,'Project Data NYSE'!$O:$O))</f>
        <v>0.32445043932753809</v>
      </c>
      <c r="F21" s="34" cm="1">
        <f t="array" ref="F21">_xlfn.QUARTILE.INC(IF('Project Data NYSE'!$M:$M='Summary Statistics'!$A21,'Project Data NYSE'!$O:$O),1)</f>
        <v>0.27541079231379684</v>
      </c>
      <c r="G21" s="34" cm="1">
        <f t="array" ref="G21">_xlfn.QUARTILE.INC(IF('Project Data NYSE'!$M:$M='Summary Statistics'!$A21,'Project Data NYSE'!$O:$O),3)</f>
        <v>0.40480869900576788</v>
      </c>
      <c r="H21" s="65"/>
      <c r="I21" s="22"/>
      <c r="J21" s="22"/>
    </row>
    <row r="22" spans="1:10" ht="27" customHeight="1" x14ac:dyDescent="0.25">
      <c r="A22" s="28" t="s">
        <v>27</v>
      </c>
      <c r="B22" s="37">
        <f>AVERAGEIF('Project Data NYSE'!$M:$M,'Summary Statistics'!$A22,'Project Data NYSE'!$O:$O)</f>
        <v>9.4585917426842303E-2</v>
      </c>
      <c r="C22" s="37" cm="1">
        <f t="array" ref="C22">MIN(IF('Project Data NYSE'!$M:$M='Summary Statistics'!$A22,'Project Data NYSE'!$O:$O))</f>
        <v>3.1054310157978709E-3</v>
      </c>
      <c r="D22" s="37" cm="1">
        <f t="array" ref="D22">MAX(IF('Project Data NYSE'!$M:$M='Summary Statistics'!$A22,'Project Data NYSE'!$O:$O))</f>
        <v>0.28166086610795893</v>
      </c>
      <c r="E22" s="37" cm="1">
        <f t="array" ref="E22">MEDIAN(IF('Project Data NYSE'!$M:$M='Summary Statistics'!$A22,'Project Data NYSE'!$O:$O))</f>
        <v>4.5161244364828323E-2</v>
      </c>
      <c r="F22" s="37" cm="1">
        <f t="array" ref="F22">_xlfn.QUARTILE.INC(IF('Project Data NYSE'!$M:$M='Summary Statistics'!$A22,'Project Data NYSE'!$O:$O),1)</f>
        <v>1.856866941058926E-2</v>
      </c>
      <c r="G22" s="37" cm="1">
        <f t="array" ref="G22">_xlfn.QUARTILE.INC(IF('Project Data NYSE'!$M:$M='Summary Statistics'!$A22,'Project Data NYSE'!$O:$O),3)</f>
        <v>0.16961694100158542</v>
      </c>
      <c r="H22" s="65"/>
      <c r="I22" s="22"/>
      <c r="J22" s="22"/>
    </row>
    <row r="23" spans="1:10" ht="27" customHeight="1" x14ac:dyDescent="0.25">
      <c r="A23" s="28" t="s">
        <v>29</v>
      </c>
      <c r="B23" s="37">
        <f>AVERAGEIF('Project Data NYSE'!$M:$M,'Summary Statistics'!$A23,'Project Data NYSE'!$O:$O)</f>
        <v>0.17763347491260298</v>
      </c>
      <c r="C23" s="37" cm="1">
        <f t="array" ref="C23">MIN(IF('Project Data NYSE'!$M:$M='Summary Statistics'!$A23,'Project Data NYSE'!$O:$O))</f>
        <v>4.5044141252006419E-2</v>
      </c>
      <c r="D23" s="37" cm="1">
        <f t="array" ref="D23">MAX(IF('Project Data NYSE'!$M:$M='Summary Statistics'!$A23,'Project Data NYSE'!$O:$O))</f>
        <v>0.37636307447794798</v>
      </c>
      <c r="E23" s="37" cm="1">
        <f t="array" ref="E23">MEDIAN(IF('Project Data NYSE'!$M:$M='Summary Statistics'!$A23,'Project Data NYSE'!$O:$O))</f>
        <v>0.1761544541155739</v>
      </c>
      <c r="F23" s="37" cm="1">
        <f t="array" ref="F23">_xlfn.QUARTILE.INC(IF('Project Data NYSE'!$M:$M='Summary Statistics'!$A23,'Project Data NYSE'!$O:$O),1)</f>
        <v>0.12886910956277248</v>
      </c>
      <c r="G23" s="37" cm="1">
        <f t="array" ref="G23">_xlfn.QUARTILE.INC(IF('Project Data NYSE'!$M:$M='Summary Statistics'!$A23,'Project Data NYSE'!$O:$O),3)</f>
        <v>0.21133052647259398</v>
      </c>
      <c r="H23" s="68"/>
      <c r="I23" s="24"/>
      <c r="J23" s="24"/>
    </row>
    <row r="24" spans="1:10" ht="27" customHeight="1" x14ac:dyDescent="0.25">
      <c r="A24" s="28" t="s">
        <v>198</v>
      </c>
      <c r="B24" s="37">
        <f>AVERAGEIF('Project Data NYSE'!$M:$M,'Summary Statistics'!$A24,'Project Data NYSE'!$O:$O)</f>
        <v>0.14928641996396411</v>
      </c>
      <c r="C24" s="37" cm="1">
        <f t="array" ref="C24">MIN(IF('Project Data NYSE'!$M:$M='Summary Statistics'!$A24,'Project Data NYSE'!$O:$O))</f>
        <v>9.9539996010691467E-2</v>
      </c>
      <c r="D24" s="37" cm="1">
        <f t="array" ref="D24">MAX(IF('Project Data NYSE'!$M:$M='Summary Statistics'!$A24,'Project Data NYSE'!$O:$O))</f>
        <v>0.18670759375417056</v>
      </c>
      <c r="E24" s="37" cm="1">
        <f t="array" ref="E24">MEDIAN(IF('Project Data NYSE'!$M:$M='Summary Statistics'!$A24,'Project Data NYSE'!$O:$O))</f>
        <v>0.14810856182442228</v>
      </c>
      <c r="F24" s="37" cm="1">
        <f t="array" ref="F24">_xlfn.QUARTILE.INC(IF('Project Data NYSE'!$M:$M='Summary Statistics'!$A24,'Project Data NYSE'!$O:$O),1)</f>
        <v>0.13811190124092543</v>
      </c>
      <c r="G24" s="37" cm="1">
        <f t="array" ref="G24">_xlfn.QUARTILE.INC(IF('Project Data NYSE'!$M:$M='Summary Statistics'!$A24,'Project Data NYSE'!$O:$O),3)</f>
        <v>0.16386851185534904</v>
      </c>
      <c r="H24" s="68"/>
      <c r="I24" s="24"/>
      <c r="J24" s="24"/>
    </row>
    <row r="25" spans="1:10" ht="27" customHeight="1" x14ac:dyDescent="0.25">
      <c r="A25" s="28" t="s">
        <v>165</v>
      </c>
      <c r="B25" s="37">
        <f>AVERAGEIF('Project Data NYSE'!$M:$M,'Summary Statistics'!$A25,'Project Data NYSE'!$O:$O)</f>
        <v>0.20130729596527178</v>
      </c>
      <c r="C25" s="37" cm="1">
        <f t="array" ref="C25">MIN(IF('Project Data NYSE'!$M:$M='Summary Statistics'!$A25,'Project Data NYSE'!$O:$O))</f>
        <v>0.13169899725106562</v>
      </c>
      <c r="D25" s="37" cm="1">
        <f t="array" ref="D25">MAX(IF('Project Data NYSE'!$M:$M='Summary Statistics'!$A25,'Project Data NYSE'!$O:$O))</f>
        <v>0.32738509605708987</v>
      </c>
      <c r="E25" s="37" cm="1">
        <f t="array" ref="E25">MEDIAN(IF('Project Data NYSE'!$M:$M='Summary Statistics'!$A25,'Project Data NYSE'!$O:$O))</f>
        <v>0.17159716649166051</v>
      </c>
      <c r="F25" s="37" cm="1">
        <f t="array" ref="F25">_xlfn.QUARTILE.INC(IF('Project Data NYSE'!$M:$M='Summary Statistics'!$A25,'Project Data NYSE'!$O:$O),1)</f>
        <v>0.15384980483459842</v>
      </c>
      <c r="G25" s="37" cm="1">
        <f t="array" ref="G25">_xlfn.QUARTILE.INC(IF('Project Data NYSE'!$M:$M='Summary Statistics'!$A25,'Project Data NYSE'!$O:$O),3)</f>
        <v>0.25196353810104793</v>
      </c>
      <c r="H25" s="68"/>
      <c r="I25" s="24"/>
      <c r="J25" s="24"/>
    </row>
    <row r="26" spans="1:10" ht="27" customHeight="1" x14ac:dyDescent="0.25">
      <c r="A26" s="29" t="s">
        <v>135</v>
      </c>
      <c r="B26" s="37">
        <f>AVERAGEIF('Project Data NYSE'!$M:$M,'Summary Statistics'!$A26,'Project Data NYSE'!$O:$O)</f>
        <v>0.19715019551205218</v>
      </c>
      <c r="C26" s="37" cm="1">
        <f t="array" ref="C26">MIN(IF('Project Data NYSE'!$M:$M='Summary Statistics'!$A26,'Project Data NYSE'!$O:$O))</f>
        <v>0.17651725873263693</v>
      </c>
      <c r="D26" s="37" cm="1">
        <f t="array" ref="D26">MAX(IF('Project Data NYSE'!$M:$M='Summary Statistics'!$A26,'Project Data NYSE'!$O:$O))</f>
        <v>0.22425818533089723</v>
      </c>
      <c r="E26" s="37" cm="1">
        <f t="array" ref="E26">MEDIAN(IF('Project Data NYSE'!$M:$M='Summary Statistics'!$A26,'Project Data NYSE'!$O:$O))</f>
        <v>0.19391266899233728</v>
      </c>
      <c r="F26" s="37" cm="1">
        <f t="array" ref="F26">_xlfn.QUARTILE.INC(IF('Project Data NYSE'!$M:$M='Summary Statistics'!$A26,'Project Data NYSE'!$O:$O),1)</f>
        <v>0.18657976733868342</v>
      </c>
      <c r="G26" s="37" cm="1">
        <f t="array" ref="G26">_xlfn.QUARTILE.INC(IF('Project Data NYSE'!$M:$M='Summary Statistics'!$A26,'Project Data NYSE'!$O:$O),3)</f>
        <v>0.20448309716570606</v>
      </c>
      <c r="H26" s="68"/>
      <c r="I26" s="24"/>
      <c r="J26" s="24"/>
    </row>
    <row r="27" spans="1:10" ht="27" customHeight="1" x14ac:dyDescent="0.25">
      <c r="A27" s="28" t="s">
        <v>317</v>
      </c>
      <c r="B27" s="37">
        <f>AVERAGEIF('Project Data NYSE'!$M:$M,'Summary Statistics'!$A27,'Project Data NYSE'!$O:$O)</f>
        <v>0.2166391989003135</v>
      </c>
      <c r="C27" s="37" cm="1">
        <f t="array" ref="C27">MIN(IF('Project Data NYSE'!$M:$M='Summary Statistics'!$A27,'Project Data NYSE'!$O:$O))</f>
        <v>0.16736749372703488</v>
      </c>
      <c r="D27" s="37" cm="1">
        <f t="array" ref="D27">MAX(IF('Project Data NYSE'!$M:$M='Summary Statistics'!$A27,'Project Data NYSE'!$O:$O))</f>
        <v>0.28188472457858094</v>
      </c>
      <c r="E27" s="37" cm="1">
        <f t="array" ref="E27">MEDIAN(IF('Project Data NYSE'!$M:$M='Summary Statistics'!$A27,'Project Data NYSE'!$O:$O))</f>
        <v>0.21363484554832085</v>
      </c>
      <c r="F27" s="37" cm="1">
        <f t="array" ref="F27">_xlfn.QUARTILE.INC(IF('Project Data NYSE'!$M:$M='Summary Statistics'!$A27,'Project Data NYSE'!$O:$O),1)</f>
        <v>0.19123007176689716</v>
      </c>
      <c r="G27" s="37" cm="1">
        <f t="array" ref="G27">_xlfn.QUARTILE.INC(IF('Project Data NYSE'!$M:$M='Summary Statistics'!$A27,'Project Data NYSE'!$O:$O),3)</f>
        <v>0.23657830763734627</v>
      </c>
      <c r="H27" s="68"/>
      <c r="I27" s="23"/>
      <c r="J27" s="23"/>
    </row>
    <row r="28" spans="1:10" ht="27" customHeight="1" x14ac:dyDescent="0.25">
      <c r="A28" s="28" t="s">
        <v>80</v>
      </c>
      <c r="B28" s="37">
        <f>AVERAGEIF('Project Data NYSE'!$M:$M,'Summary Statistics'!$A28,'Project Data NYSE'!$O:$O)</f>
        <v>5.8895173090930876E-2</v>
      </c>
      <c r="C28" s="37" cm="1">
        <f t="array" ref="C28">MIN(IF('Project Data NYSE'!$M:$M='Summary Statistics'!$A28,'Project Data NYSE'!$O:$O))</f>
        <v>1.6769420468557335E-2</v>
      </c>
      <c r="D28" s="37" cm="1">
        <f t="array" ref="D28">MAX(IF('Project Data NYSE'!$M:$M='Summary Statistics'!$A28,'Project Data NYSE'!$O:$O))</f>
        <v>9.4632525634415987E-2</v>
      </c>
      <c r="E28" s="37" cm="1">
        <f t="array" ref="E28">MEDIAN(IF('Project Data NYSE'!$M:$M='Summary Statistics'!$A28,'Project Data NYSE'!$O:$O))</f>
        <v>6.6919161756114398E-2</v>
      </c>
      <c r="F28" s="37" cm="1">
        <f t="array" ref="F28">_xlfn.QUARTILE.INC(IF('Project Data NYSE'!$M:$M='Summary Statistics'!$A28,'Project Data NYSE'!$O:$O),1)</f>
        <v>4.04277043084042E-2</v>
      </c>
      <c r="G28" s="37" cm="1">
        <f t="array" ref="G28">_xlfn.QUARTILE.INC(IF('Project Data NYSE'!$M:$M='Summary Statistics'!$A28,'Project Data NYSE'!$O:$O),3)</f>
        <v>7.2936868089007637E-2</v>
      </c>
      <c r="H28" s="68"/>
      <c r="I28" s="23"/>
      <c r="J28" s="23"/>
    </row>
    <row r="29" spans="1:10" ht="27" customHeight="1" thickBot="1" x14ac:dyDescent="0.3">
      <c r="A29" s="35" t="s">
        <v>25</v>
      </c>
      <c r="B29" s="36">
        <f>AVERAGEIF('Project Data NYSE'!$M:$M,'Summary Statistics'!$A29,'Project Data NYSE'!$O:$O)</f>
        <v>0.2355029976951358</v>
      </c>
      <c r="C29" s="36" cm="1">
        <f t="array" ref="C29">MIN(IF('Project Data NYSE'!$M:$M='Summary Statistics'!$A29,'Project Data NYSE'!$O:$O))</f>
        <v>0.14460246253698578</v>
      </c>
      <c r="D29" s="36" cm="1">
        <f t="array" ref="D29">MAX(IF('Project Data NYSE'!$M:$M='Summary Statistics'!$A29,'Project Data NYSE'!$O:$O))</f>
        <v>0.33627892733715387</v>
      </c>
      <c r="E29" s="36" cm="1">
        <f t="array" ref="E29">MEDIAN(IF('Project Data NYSE'!$M:$M='Summary Statistics'!$A29,'Project Data NYSE'!$O:$O))</f>
        <v>0.21675794743402615</v>
      </c>
      <c r="F29" s="36" cm="1">
        <f t="array" ref="F29">_xlfn.QUARTILE.INC(IF('Project Data NYSE'!$M:$M='Summary Statistics'!$A29,'Project Data NYSE'!$O:$O),1)</f>
        <v>0.18552659541265507</v>
      </c>
      <c r="G29" s="36" cm="1">
        <f t="array" ref="G29">_xlfn.QUARTILE.INC(IF('Project Data NYSE'!$M:$M='Summary Statistics'!$A29,'Project Data NYSE'!$O:$O),3)</f>
        <v>0.28238392940069429</v>
      </c>
      <c r="H29" s="68"/>
      <c r="I29" s="23"/>
      <c r="J29" s="23"/>
    </row>
    <row r="30" spans="1:10" ht="27" customHeight="1" thickTop="1" x14ac:dyDescent="0.25">
      <c r="A30" s="47" t="s">
        <v>24</v>
      </c>
      <c r="B30" s="32">
        <f>AVERAGEIF('Project Data NYSE'!$L:$L,'Summary Statistics'!$A30,'Project Data NYSE'!$O:$O)</f>
        <v>0.17470502609868024</v>
      </c>
      <c r="C30" s="32" cm="1">
        <f t="array" ref="C30">MIN(IF('Project Data NYSE'!$L:$L='Summary Statistics'!$A30,'Project Data NYSE'!$O:$O))</f>
        <v>-1.1052212640955179</v>
      </c>
      <c r="D30" s="32" cm="1">
        <f t="array" ref="D30">MAX(IF('Project Data NYSE'!$L:$L='Summary Statistics'!$A30,'Project Data NYSE'!$O:$O))</f>
        <v>0.67995342994577035</v>
      </c>
      <c r="E30" s="38" cm="1">
        <f t="array" ref="E30">MEDIAN(IF('Project Data NYSE'!$L:$L='Summary Statistics'!$A30,'Project Data NYSE'!$O:$O))</f>
        <v>0.1768327315250097</v>
      </c>
      <c r="F30" s="38" cm="1">
        <f t="array" ref="F30">_xlfn.QUARTILE.INC(IF('Project Data NYSE'!$L:$L='Summary Statistics'!$A30,'Project Data NYSE'!$O:$O),1)</f>
        <v>0.1022652217068451</v>
      </c>
      <c r="G30" s="38" cm="1">
        <f t="array" ref="G30">_xlfn.QUARTILE.INC(IF('Project Data NYSE'!$L:$L='Summary Statistics'!$A30,'Project Data NYSE'!$O:$O),3)</f>
        <v>0.2542822953437045</v>
      </c>
      <c r="H30" s="69" cm="1">
        <f t="array" ref="H30">_xlfn.STDEV.P(IF('Project Data NYSE'!$L:$L='Summary Statistics'!$A30,'Project Data NYSE'!$O:$O))</f>
        <v>0.15499545084628738</v>
      </c>
      <c r="I30" s="23"/>
      <c r="J30" s="23"/>
    </row>
    <row r="31" spans="1:10" x14ac:dyDescent="0.2">
      <c r="A31" s="23"/>
      <c r="B31" s="24"/>
      <c r="C31" s="24"/>
      <c r="D31" s="23"/>
      <c r="E31" s="23"/>
      <c r="F31" s="23"/>
      <c r="G31" s="23"/>
      <c r="H31" s="23"/>
      <c r="I31" s="23"/>
      <c r="J31" s="23"/>
    </row>
    <row r="32" spans="1:10" x14ac:dyDescent="0.2">
      <c r="B32" s="14"/>
      <c r="C32" s="14"/>
    </row>
    <row r="33" spans="2:3" x14ac:dyDescent="0.2">
      <c r="B33" s="21"/>
      <c r="C33" s="21"/>
    </row>
    <row r="34" spans="2:3" x14ac:dyDescent="0.2">
      <c r="B34" s="14"/>
      <c r="C34" s="14"/>
    </row>
  </sheetData>
  <mergeCells count="4">
    <mergeCell ref="A1:H2"/>
    <mergeCell ref="A3:H3"/>
    <mergeCell ref="A17:H18"/>
    <mergeCell ref="A19:H1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1711"/>
  <sheetViews>
    <sheetView workbookViewId="0">
      <selection activeCell="H12" sqref="H12"/>
    </sheetView>
  </sheetViews>
  <sheetFormatPr baseColWidth="10" defaultRowHeight="16" x14ac:dyDescent="0.2"/>
  <cols>
    <col min="1" max="1" width="12.5" customWidth="1"/>
    <col min="2" max="2" width="15.1640625" customWidth="1"/>
    <col min="3" max="4" width="15" customWidth="1"/>
    <col min="5" max="7" width="21.6640625" style="3" customWidth="1"/>
    <col min="8" max="8" width="26.1640625" style="3" customWidth="1"/>
    <col min="9" max="9" width="27.1640625" style="3" customWidth="1"/>
    <col min="10" max="11" width="23" style="3" customWidth="1"/>
    <col min="12" max="12" width="31.5" customWidth="1"/>
    <col min="13" max="13" width="34.83203125" customWidth="1"/>
    <col min="14" max="15" width="23.33203125" style="30" customWidth="1"/>
    <col min="16" max="16" width="191.5" customWidth="1"/>
    <col min="17" max="17" width="12.83203125" customWidth="1"/>
    <col min="18" max="18" width="10.83203125" customWidth="1"/>
    <col min="19" max="19" width="24" customWidth="1"/>
    <col min="20" max="21" width="10.83203125" customWidth="1"/>
  </cols>
  <sheetData>
    <row r="1" spans="1:19" ht="17" thickBot="1" x14ac:dyDescent="0.25">
      <c r="A1" t="s">
        <v>575</v>
      </c>
      <c r="B1" t="s">
        <v>0</v>
      </c>
      <c r="C1" t="s">
        <v>1</v>
      </c>
      <c r="D1" t="s">
        <v>2</v>
      </c>
      <c r="E1" s="3" t="s">
        <v>3</v>
      </c>
      <c r="F1" s="3" t="s">
        <v>4</v>
      </c>
      <c r="G1" s="3" t="s">
        <v>577</v>
      </c>
      <c r="H1" s="3" t="s">
        <v>5</v>
      </c>
      <c r="I1" s="3" t="s">
        <v>6</v>
      </c>
      <c r="J1" s="3" t="s">
        <v>7</v>
      </c>
      <c r="K1" s="3" t="s">
        <v>578</v>
      </c>
      <c r="L1" t="s">
        <v>8</v>
      </c>
      <c r="M1" t="s">
        <v>9</v>
      </c>
      <c r="N1" s="30" t="s">
        <v>592</v>
      </c>
      <c r="O1" s="30" t="s">
        <v>593</v>
      </c>
      <c r="Q1" s="1" t="s">
        <v>0</v>
      </c>
      <c r="R1" s="1" t="s">
        <v>1</v>
      </c>
      <c r="S1" s="1" t="s">
        <v>65</v>
      </c>
    </row>
    <row r="2" spans="1:19" ht="17" thickTop="1" x14ac:dyDescent="0.2">
      <c r="A2">
        <v>0</v>
      </c>
      <c r="B2" t="s">
        <v>10</v>
      </c>
      <c r="C2" t="s">
        <v>11</v>
      </c>
      <c r="D2" s="48">
        <v>41274</v>
      </c>
      <c r="E2" s="3">
        <v>24855000000</v>
      </c>
      <c r="F2" s="3">
        <v>10499000000</v>
      </c>
      <c r="G2" s="3">
        <f>Project_Data_NYSE[[#This Row],[ Total Revenue ]]-Project_Data_NYSE[[#This Row],[ Cost of Goods Sold ]]</f>
        <v>14356000000</v>
      </c>
      <c r="H2" s="3">
        <v>12977000000</v>
      </c>
      <c r="I2" s="3">
        <v>0</v>
      </c>
      <c r="J2" s="3">
        <v>845000000</v>
      </c>
      <c r="K2" s="3">
        <f>Project_Data_NYSE[[#This Row],[Gross Profit]]-Project_Data_NYSE[[#This Row],[ Sales, General and Admin. ]]-Project_Data_NYSE[[#This Row],[ Research and Development ]]-Project_Data_NYSE[[#This Row],[ Other Operating Items ]]</f>
        <v>534000000</v>
      </c>
      <c r="L2" t="s">
        <v>12</v>
      </c>
      <c r="M2" t="s">
        <v>13</v>
      </c>
      <c r="N2" s="31">
        <f>Project_Data_NYSE[[#This Row],[Gross Profit]]/Project_Data_NYSE[[#This Row],[ Total Revenue ]]</f>
        <v>0.57759002212834443</v>
      </c>
      <c r="O2" s="31">
        <f>Project_Data_NYSE[[#This Row],[Operating Profit]]/Project_Data_NYSE[[#This Row],[ Total Revenue ]]</f>
        <v>2.1484610742305371E-2</v>
      </c>
      <c r="Q2" t="s">
        <v>10</v>
      </c>
      <c r="R2" t="s">
        <v>11</v>
      </c>
      <c r="S2" t="s">
        <v>64</v>
      </c>
    </row>
    <row r="3" spans="1:19" x14ac:dyDescent="0.2">
      <c r="A3">
        <v>1</v>
      </c>
      <c r="B3" t="s">
        <v>10</v>
      </c>
      <c r="C3" t="s">
        <v>14</v>
      </c>
      <c r="D3" s="48">
        <v>41639</v>
      </c>
      <c r="E3" s="3">
        <v>26743000000</v>
      </c>
      <c r="F3" s="3">
        <v>11019000000</v>
      </c>
      <c r="G3" s="3">
        <f>Project_Data_NYSE[[#This Row],[ Total Revenue ]]-Project_Data_NYSE[[#This Row],[ Cost of Goods Sold ]]</f>
        <v>15724000000</v>
      </c>
      <c r="H3" s="3">
        <v>12913000000</v>
      </c>
      <c r="I3" s="3">
        <v>0</v>
      </c>
      <c r="J3" s="3">
        <v>853000000</v>
      </c>
      <c r="K3" s="3">
        <f>Project_Data_NYSE[[#This Row],[Gross Profit]]-Project_Data_NYSE[[#This Row],[ Sales, General and Admin. ]]-Project_Data_NYSE[[#This Row],[ Research and Development ]]-Project_Data_NYSE[[#This Row],[ Other Operating Items ]]</f>
        <v>1958000000</v>
      </c>
      <c r="L3" t="s">
        <v>12</v>
      </c>
      <c r="M3" t="s">
        <v>13</v>
      </c>
      <c r="N3" s="31">
        <f>Project_Data_NYSE[[#This Row],[Gross Profit]]/Project_Data_NYSE[[#This Row],[ Total Revenue ]]</f>
        <v>0.58796694462102228</v>
      </c>
      <c r="O3" s="31">
        <f>Project_Data_NYSE[[#This Row],[Operating Profit]]/Project_Data_NYSE[[#This Row],[ Total Revenue ]]</f>
        <v>7.3215420857794561E-2</v>
      </c>
      <c r="Q3" t="s">
        <v>17</v>
      </c>
      <c r="R3" t="s">
        <v>14</v>
      </c>
      <c r="S3" t="s">
        <v>70</v>
      </c>
    </row>
    <row r="4" spans="1:19" x14ac:dyDescent="0.2">
      <c r="A4">
        <v>2</v>
      </c>
      <c r="B4" t="s">
        <v>10</v>
      </c>
      <c r="C4" t="s">
        <v>15</v>
      </c>
      <c r="D4" s="48">
        <v>42004</v>
      </c>
      <c r="E4" s="3">
        <v>42650000000</v>
      </c>
      <c r="F4" s="3">
        <v>15620000000</v>
      </c>
      <c r="G4" s="3">
        <f>Project_Data_NYSE[[#This Row],[ Total Revenue ]]-Project_Data_NYSE[[#This Row],[ Cost of Goods Sold ]]</f>
        <v>27030000000</v>
      </c>
      <c r="H4" s="3">
        <v>20686000000</v>
      </c>
      <c r="I4" s="3">
        <v>0</v>
      </c>
      <c r="J4" s="3">
        <v>1295000000</v>
      </c>
      <c r="K4" s="3">
        <f>Project_Data_NYSE[[#This Row],[Gross Profit]]-Project_Data_NYSE[[#This Row],[ Sales, General and Admin. ]]-Project_Data_NYSE[[#This Row],[ Research and Development ]]-Project_Data_NYSE[[#This Row],[ Other Operating Items ]]</f>
        <v>5049000000</v>
      </c>
      <c r="L4" t="s">
        <v>12</v>
      </c>
      <c r="M4" t="s">
        <v>13</v>
      </c>
      <c r="N4" s="31">
        <f>Project_Data_NYSE[[#This Row],[Gross Profit]]/Project_Data_NYSE[[#This Row],[ Total Revenue ]]</f>
        <v>0.63376318874560378</v>
      </c>
      <c r="O4" s="31">
        <f>Project_Data_NYSE[[#This Row],[Operating Profit]]/Project_Data_NYSE[[#This Row],[ Total Revenue ]]</f>
        <v>0.11838218053927316</v>
      </c>
      <c r="Q4" t="s">
        <v>20</v>
      </c>
      <c r="R4" t="s">
        <v>15</v>
      </c>
      <c r="S4" t="s">
        <v>114</v>
      </c>
    </row>
    <row r="5" spans="1:19" x14ac:dyDescent="0.2">
      <c r="A5">
        <v>3</v>
      </c>
      <c r="B5" t="s">
        <v>10</v>
      </c>
      <c r="C5" t="s">
        <v>16</v>
      </c>
      <c r="D5" s="48">
        <v>42369</v>
      </c>
      <c r="E5" s="3">
        <v>40990000000</v>
      </c>
      <c r="F5" s="3">
        <v>11096000000</v>
      </c>
      <c r="G5" s="3">
        <f>Project_Data_NYSE[[#This Row],[ Total Revenue ]]-Project_Data_NYSE[[#This Row],[ Cost of Goods Sold ]]</f>
        <v>29894000000</v>
      </c>
      <c r="H5" s="3">
        <v>21275000000</v>
      </c>
      <c r="I5" s="3">
        <v>0</v>
      </c>
      <c r="J5" s="3">
        <v>1364000000</v>
      </c>
      <c r="K5" s="3">
        <f>Project_Data_NYSE[[#This Row],[Gross Profit]]-Project_Data_NYSE[[#This Row],[ Sales, General and Admin. ]]-Project_Data_NYSE[[#This Row],[ Research and Development ]]-Project_Data_NYSE[[#This Row],[ Other Operating Items ]]</f>
        <v>7255000000</v>
      </c>
      <c r="L5" t="s">
        <v>12</v>
      </c>
      <c r="M5" t="s">
        <v>13</v>
      </c>
      <c r="N5" s="31">
        <f>Project_Data_NYSE[[#This Row],[Gross Profit]]/Project_Data_NYSE[[#This Row],[ Total Revenue ]]</f>
        <v>0.72929982922664061</v>
      </c>
      <c r="O5" s="31">
        <f>Project_Data_NYSE[[#This Row],[Operating Profit]]/Project_Data_NYSE[[#This Row],[ Total Revenue ]]</f>
        <v>0.17699438887533545</v>
      </c>
      <c r="Q5" t="s">
        <v>23</v>
      </c>
      <c r="R5" t="s">
        <v>16</v>
      </c>
      <c r="S5" t="s">
        <v>133</v>
      </c>
    </row>
    <row r="6" spans="1:19" x14ac:dyDescent="0.2">
      <c r="A6">
        <v>4</v>
      </c>
      <c r="B6" t="s">
        <v>17</v>
      </c>
      <c r="C6" t="s">
        <v>11</v>
      </c>
      <c r="D6" s="48">
        <v>41272</v>
      </c>
      <c r="E6" s="3">
        <v>6205003000</v>
      </c>
      <c r="F6" s="3">
        <v>3106967000</v>
      </c>
      <c r="G6" s="3">
        <f>Project_Data_NYSE[[#This Row],[ Total Revenue ]]-Project_Data_NYSE[[#This Row],[ Cost of Goods Sold ]]</f>
        <v>3098036000</v>
      </c>
      <c r="H6" s="3">
        <v>2440721000</v>
      </c>
      <c r="I6" s="3">
        <v>0</v>
      </c>
      <c r="J6" s="3">
        <v>0</v>
      </c>
      <c r="K6" s="3">
        <f>Project_Data_NYSE[[#This Row],[Gross Profit]]-Project_Data_NYSE[[#This Row],[ Sales, General and Admin. ]]-Project_Data_NYSE[[#This Row],[ Research and Development ]]-Project_Data_NYSE[[#This Row],[ Other Operating Items ]]</f>
        <v>657315000</v>
      </c>
      <c r="L6" t="s">
        <v>18</v>
      </c>
      <c r="M6" t="s">
        <v>19</v>
      </c>
      <c r="N6" s="31">
        <f>Project_Data_NYSE[[#This Row],[Gross Profit]]/Project_Data_NYSE[[#This Row],[ Total Revenue ]]</f>
        <v>0.49928033878468714</v>
      </c>
      <c r="O6" s="31">
        <f>Project_Data_NYSE[[#This Row],[Operating Profit]]/Project_Data_NYSE[[#This Row],[ Total Revenue ]]</f>
        <v>0.10593306723622857</v>
      </c>
      <c r="Q6" t="s">
        <v>26</v>
      </c>
      <c r="S6" t="s">
        <v>269</v>
      </c>
    </row>
    <row r="7" spans="1:19" x14ac:dyDescent="0.2">
      <c r="A7">
        <v>5</v>
      </c>
      <c r="B7" t="s">
        <v>17</v>
      </c>
      <c r="C7" t="s">
        <v>14</v>
      </c>
      <c r="D7" s="48">
        <v>41636</v>
      </c>
      <c r="E7" s="3">
        <v>6493814000</v>
      </c>
      <c r="F7" s="3">
        <v>3241668000</v>
      </c>
      <c r="G7" s="3">
        <f>Project_Data_NYSE[[#This Row],[ Total Revenue ]]-Project_Data_NYSE[[#This Row],[ Cost of Goods Sold ]]</f>
        <v>3252146000</v>
      </c>
      <c r="H7" s="3">
        <v>2591828000</v>
      </c>
      <c r="I7" s="3">
        <v>0</v>
      </c>
      <c r="J7" s="3">
        <v>0</v>
      </c>
      <c r="K7" s="3">
        <f>Project_Data_NYSE[[#This Row],[Gross Profit]]-Project_Data_NYSE[[#This Row],[ Sales, General and Admin. ]]-Project_Data_NYSE[[#This Row],[ Research and Development ]]-Project_Data_NYSE[[#This Row],[ Other Operating Items ]]</f>
        <v>660318000</v>
      </c>
      <c r="L7" t="s">
        <v>18</v>
      </c>
      <c r="M7" t="s">
        <v>19</v>
      </c>
      <c r="N7" s="31">
        <f>Project_Data_NYSE[[#This Row],[Gross Profit]]/Project_Data_NYSE[[#This Row],[ Total Revenue ]]</f>
        <v>0.50080676779470434</v>
      </c>
      <c r="O7" s="31">
        <f>Project_Data_NYSE[[#This Row],[Operating Profit]]/Project_Data_NYSE[[#This Row],[ Total Revenue ]]</f>
        <v>0.10168415664507792</v>
      </c>
      <c r="Q7" t="s">
        <v>28</v>
      </c>
      <c r="S7" t="s">
        <v>459</v>
      </c>
    </row>
    <row r="8" spans="1:19" x14ac:dyDescent="0.2">
      <c r="A8">
        <v>6</v>
      </c>
      <c r="B8" t="s">
        <v>17</v>
      </c>
      <c r="C8" t="s">
        <v>15</v>
      </c>
      <c r="D8" s="48">
        <v>42007</v>
      </c>
      <c r="E8" s="3">
        <v>9843861000</v>
      </c>
      <c r="F8" s="3">
        <v>5390248000</v>
      </c>
      <c r="G8" s="3">
        <f>Project_Data_NYSE[[#This Row],[ Total Revenue ]]-Project_Data_NYSE[[#This Row],[ Cost of Goods Sold ]]</f>
        <v>4453613000</v>
      </c>
      <c r="H8" s="3">
        <v>3601903000</v>
      </c>
      <c r="I8" s="3">
        <v>0</v>
      </c>
      <c r="J8" s="3">
        <v>0</v>
      </c>
      <c r="K8" s="3">
        <f>Project_Data_NYSE[[#This Row],[Gross Profit]]-Project_Data_NYSE[[#This Row],[ Sales, General and Admin. ]]-Project_Data_NYSE[[#This Row],[ Research and Development ]]-Project_Data_NYSE[[#This Row],[ Other Operating Items ]]</f>
        <v>851710000</v>
      </c>
      <c r="L8" t="s">
        <v>18</v>
      </c>
      <c r="M8" t="s">
        <v>19</v>
      </c>
      <c r="N8" s="31">
        <f>Project_Data_NYSE[[#This Row],[Gross Profit]]/Project_Data_NYSE[[#This Row],[ Total Revenue ]]</f>
        <v>0.45242542534885449</v>
      </c>
      <c r="O8" s="31">
        <f>Project_Data_NYSE[[#This Row],[Operating Profit]]/Project_Data_NYSE[[#This Row],[ Total Revenue ]]</f>
        <v>8.6521944996988481E-2</v>
      </c>
      <c r="Q8" t="s">
        <v>30</v>
      </c>
      <c r="S8" t="s">
        <v>543</v>
      </c>
    </row>
    <row r="9" spans="1:19" x14ac:dyDescent="0.2">
      <c r="A9">
        <v>7</v>
      </c>
      <c r="B9" t="s">
        <v>17</v>
      </c>
      <c r="C9" t="s">
        <v>16</v>
      </c>
      <c r="D9" s="48">
        <v>42371</v>
      </c>
      <c r="E9" s="3">
        <v>9737018000</v>
      </c>
      <c r="F9" s="3">
        <v>5314246000</v>
      </c>
      <c r="G9" s="3">
        <f>Project_Data_NYSE[[#This Row],[ Total Revenue ]]-Project_Data_NYSE[[#This Row],[ Cost of Goods Sold ]]</f>
        <v>4422772000</v>
      </c>
      <c r="H9" s="3">
        <v>3596992000</v>
      </c>
      <c r="I9" s="3">
        <v>0</v>
      </c>
      <c r="J9" s="3">
        <v>0</v>
      </c>
      <c r="K9" s="3">
        <f>Project_Data_NYSE[[#This Row],[Gross Profit]]-Project_Data_NYSE[[#This Row],[ Sales, General and Admin. ]]-Project_Data_NYSE[[#This Row],[ Research and Development ]]-Project_Data_NYSE[[#This Row],[ Other Operating Items ]]</f>
        <v>825780000</v>
      </c>
      <c r="L9" t="s">
        <v>18</v>
      </c>
      <c r="M9" t="s">
        <v>19</v>
      </c>
      <c r="N9" s="31">
        <f>Project_Data_NYSE[[#This Row],[Gross Profit]]/Project_Data_NYSE[[#This Row],[ Total Revenue ]]</f>
        <v>0.45422243237097848</v>
      </c>
      <c r="O9" s="31">
        <f>Project_Data_NYSE[[#This Row],[Operating Profit]]/Project_Data_NYSE[[#This Row],[ Total Revenue ]]</f>
        <v>8.4808305787254373E-2</v>
      </c>
      <c r="Q9" t="s">
        <v>32</v>
      </c>
    </row>
    <row r="10" spans="1:19" x14ac:dyDescent="0.2">
      <c r="A10">
        <v>8</v>
      </c>
      <c r="B10" t="s">
        <v>20</v>
      </c>
      <c r="C10" t="s">
        <v>11</v>
      </c>
      <c r="D10" s="48">
        <v>41545</v>
      </c>
      <c r="E10" s="3">
        <v>170910000000</v>
      </c>
      <c r="F10" s="3">
        <v>106606000000</v>
      </c>
      <c r="G10" s="3">
        <f>Project_Data_NYSE[[#This Row],[ Total Revenue ]]-Project_Data_NYSE[[#This Row],[ Cost of Goods Sold ]]</f>
        <v>64304000000</v>
      </c>
      <c r="H10" s="3">
        <v>10830000000</v>
      </c>
      <c r="I10" s="3">
        <v>4475000000</v>
      </c>
      <c r="J10" s="3">
        <v>0</v>
      </c>
      <c r="K10" s="3">
        <f>Project_Data_NYSE[[#This Row],[Gross Profit]]-Project_Data_NYSE[[#This Row],[ Sales, General and Admin. ]]-Project_Data_NYSE[[#This Row],[ Research and Development ]]-Project_Data_NYSE[[#This Row],[ Other Operating Items ]]</f>
        <v>48999000000</v>
      </c>
      <c r="L10" t="s">
        <v>21</v>
      </c>
      <c r="M10" t="s">
        <v>22</v>
      </c>
      <c r="N10" s="31">
        <f>Project_Data_NYSE[[#This Row],[Gross Profit]]/Project_Data_NYSE[[#This Row],[ Total Revenue ]]</f>
        <v>0.37624480720847231</v>
      </c>
      <c r="O10" s="31">
        <f>Project_Data_NYSE[[#This Row],[Operating Profit]]/Project_Data_NYSE[[#This Row],[ Total Revenue ]]</f>
        <v>0.28669475162366159</v>
      </c>
      <c r="Q10" t="s">
        <v>34</v>
      </c>
    </row>
    <row r="11" spans="1:19" x14ac:dyDescent="0.2">
      <c r="A11">
        <v>9</v>
      </c>
      <c r="B11" t="s">
        <v>20</v>
      </c>
      <c r="C11" t="s">
        <v>14</v>
      </c>
      <c r="D11" s="48">
        <v>41909</v>
      </c>
      <c r="E11" s="3">
        <v>182795000000</v>
      </c>
      <c r="F11" s="3">
        <v>112258000000</v>
      </c>
      <c r="G11" s="3">
        <f>Project_Data_NYSE[[#This Row],[ Total Revenue ]]-Project_Data_NYSE[[#This Row],[ Cost of Goods Sold ]]</f>
        <v>70537000000</v>
      </c>
      <c r="H11" s="3">
        <v>11993000000</v>
      </c>
      <c r="I11" s="3">
        <v>6041000000</v>
      </c>
      <c r="J11" s="3">
        <v>0</v>
      </c>
      <c r="K11" s="3">
        <f>Project_Data_NYSE[[#This Row],[Gross Profit]]-Project_Data_NYSE[[#This Row],[ Sales, General and Admin. ]]-Project_Data_NYSE[[#This Row],[ Research and Development ]]-Project_Data_NYSE[[#This Row],[ Other Operating Items ]]</f>
        <v>52503000000</v>
      </c>
      <c r="L11" t="s">
        <v>21</v>
      </c>
      <c r="M11" t="s">
        <v>22</v>
      </c>
      <c r="N11" s="31">
        <f>Project_Data_NYSE[[#This Row],[Gross Profit]]/Project_Data_NYSE[[#This Row],[ Total Revenue ]]</f>
        <v>0.38588035777783858</v>
      </c>
      <c r="O11" s="31">
        <f>Project_Data_NYSE[[#This Row],[Operating Profit]]/Project_Data_NYSE[[#This Row],[ Total Revenue ]]</f>
        <v>0.28722339232473537</v>
      </c>
      <c r="Q11" t="s">
        <v>37</v>
      </c>
    </row>
    <row r="12" spans="1:19" x14ac:dyDescent="0.2">
      <c r="A12">
        <v>10</v>
      </c>
      <c r="B12" t="s">
        <v>20</v>
      </c>
      <c r="C12" t="s">
        <v>15</v>
      </c>
      <c r="D12" s="48">
        <v>42273</v>
      </c>
      <c r="E12" s="3">
        <v>233715000000</v>
      </c>
      <c r="F12" s="3">
        <v>140089000000</v>
      </c>
      <c r="G12" s="3">
        <f>Project_Data_NYSE[[#This Row],[ Total Revenue ]]-Project_Data_NYSE[[#This Row],[ Cost of Goods Sold ]]</f>
        <v>93626000000</v>
      </c>
      <c r="H12" s="3">
        <v>14329000000</v>
      </c>
      <c r="I12" s="3">
        <v>8067000000</v>
      </c>
      <c r="J12" s="3">
        <v>0</v>
      </c>
      <c r="K12" s="3">
        <f>Project_Data_NYSE[[#This Row],[Gross Profit]]-Project_Data_NYSE[[#This Row],[ Sales, General and Admin. ]]-Project_Data_NYSE[[#This Row],[ Research and Development ]]-Project_Data_NYSE[[#This Row],[ Other Operating Items ]]</f>
        <v>71230000000</v>
      </c>
      <c r="L12" t="s">
        <v>21</v>
      </c>
      <c r="M12" t="s">
        <v>22</v>
      </c>
      <c r="N12" s="31">
        <f>Project_Data_NYSE[[#This Row],[Gross Profit]]/Project_Data_NYSE[[#This Row],[ Total Revenue ]]</f>
        <v>0.40059902017414373</v>
      </c>
      <c r="O12" s="31">
        <f>Project_Data_NYSE[[#This Row],[Operating Profit]]/Project_Data_NYSE[[#This Row],[ Total Revenue ]]</f>
        <v>0.30477290717326661</v>
      </c>
      <c r="Q12" t="s">
        <v>39</v>
      </c>
    </row>
    <row r="13" spans="1:19" x14ac:dyDescent="0.2">
      <c r="A13">
        <v>11</v>
      </c>
      <c r="B13" t="s">
        <v>20</v>
      </c>
      <c r="C13" t="s">
        <v>16</v>
      </c>
      <c r="D13" s="48">
        <v>42637</v>
      </c>
      <c r="E13" s="3">
        <v>215639000000</v>
      </c>
      <c r="F13" s="3">
        <v>131376000000</v>
      </c>
      <c r="G13" s="3">
        <f>Project_Data_NYSE[[#This Row],[ Total Revenue ]]-Project_Data_NYSE[[#This Row],[ Cost of Goods Sold ]]</f>
        <v>84263000000</v>
      </c>
      <c r="H13" s="3">
        <v>14194000000</v>
      </c>
      <c r="I13" s="3">
        <v>10045000000</v>
      </c>
      <c r="J13" s="3">
        <v>0</v>
      </c>
      <c r="K13" s="3">
        <f>Project_Data_NYSE[[#This Row],[Gross Profit]]-Project_Data_NYSE[[#This Row],[ Sales, General and Admin. ]]-Project_Data_NYSE[[#This Row],[ Research and Development ]]-Project_Data_NYSE[[#This Row],[ Other Operating Items ]]</f>
        <v>60024000000</v>
      </c>
      <c r="L13" t="s">
        <v>21</v>
      </c>
      <c r="M13" t="s">
        <v>22</v>
      </c>
      <c r="N13" s="31">
        <f>Project_Data_NYSE[[#This Row],[Gross Profit]]/Project_Data_NYSE[[#This Row],[ Total Revenue ]]</f>
        <v>0.39075955648097049</v>
      </c>
      <c r="O13" s="31">
        <f>Project_Data_NYSE[[#This Row],[Operating Profit]]/Project_Data_NYSE[[#This Row],[ Total Revenue ]]</f>
        <v>0.27835410106706115</v>
      </c>
      <c r="Q13" t="s">
        <v>40</v>
      </c>
    </row>
    <row r="14" spans="1:19" x14ac:dyDescent="0.2">
      <c r="A14">
        <v>1660</v>
      </c>
      <c r="B14" t="s">
        <v>543</v>
      </c>
      <c r="C14" t="s">
        <v>15</v>
      </c>
      <c r="D14" s="48">
        <v>42004</v>
      </c>
      <c r="E14" s="3">
        <v>580415000</v>
      </c>
      <c r="F14" s="3">
        <v>60987000</v>
      </c>
      <c r="G14" s="3">
        <f>Project_Data_NYSE[[#This Row],[ Total Revenue ]]-Project_Data_NYSE[[#This Row],[ Cost of Goods Sold ]]</f>
        <v>519428000</v>
      </c>
      <c r="H14" s="3">
        <v>305409000</v>
      </c>
      <c r="I14" s="3">
        <v>855506000</v>
      </c>
      <c r="J14" s="3">
        <v>0</v>
      </c>
      <c r="K14" s="3">
        <f>Project_Data_NYSE[[#This Row],[Gross Profit]]-Project_Data_NYSE[[#This Row],[ Sales, General and Admin. ]]-Project_Data_NYSE[[#This Row],[ Research and Development ]]-Project_Data_NYSE[[#This Row],[ Other Operating Items ]]</f>
        <v>-641487000</v>
      </c>
      <c r="L14" t="s">
        <v>24</v>
      </c>
      <c r="M14" t="s">
        <v>65</v>
      </c>
      <c r="N14" s="31">
        <f>Project_Data_NYSE[[#This Row],[Gross Profit]]/Project_Data_NYSE[[#This Row],[ Total Revenue ]]</f>
        <v>0.89492518284331035</v>
      </c>
      <c r="O14" s="31">
        <f>Project_Data_NYSE[[#This Row],[Operating Profit]]/Project_Data_NYSE[[#This Row],[ Total Revenue ]]</f>
        <v>-1.1052212640955179</v>
      </c>
      <c r="Q14" t="s">
        <v>43</v>
      </c>
    </row>
    <row r="15" spans="1:19" x14ac:dyDescent="0.2">
      <c r="A15">
        <v>1661</v>
      </c>
      <c r="B15" t="s">
        <v>543</v>
      </c>
      <c r="C15" t="s">
        <v>16</v>
      </c>
      <c r="D15" s="48">
        <v>42369</v>
      </c>
      <c r="E15" s="3">
        <v>1032336000</v>
      </c>
      <c r="F15" s="3">
        <v>124512000</v>
      </c>
      <c r="G15" s="3">
        <f>Project_Data_NYSE[[#This Row],[ Total Revenue ]]-Project_Data_NYSE[[#This Row],[ Cost of Goods Sold ]]</f>
        <v>907824000</v>
      </c>
      <c r="H15" s="3">
        <v>376575000</v>
      </c>
      <c r="I15" s="3">
        <v>995922000</v>
      </c>
      <c r="J15" s="3">
        <v>0</v>
      </c>
      <c r="K15" s="3">
        <f>Project_Data_NYSE[[#This Row],[Gross Profit]]-Project_Data_NYSE[[#This Row],[ Sales, General and Admin. ]]-Project_Data_NYSE[[#This Row],[ Research and Development ]]-Project_Data_NYSE[[#This Row],[ Other Operating Items ]]</f>
        <v>-464673000</v>
      </c>
      <c r="L15" t="s">
        <v>24</v>
      </c>
      <c r="M15" t="s">
        <v>65</v>
      </c>
      <c r="N15" s="31">
        <f>Project_Data_NYSE[[#This Row],[Gross Profit]]/Project_Data_NYSE[[#This Row],[ Total Revenue ]]</f>
        <v>0.87938810619798202</v>
      </c>
      <c r="O15" s="31">
        <f>Project_Data_NYSE[[#This Row],[Operating Profit]]/Project_Data_NYSE[[#This Row],[ Total Revenue ]]</f>
        <v>-0.45011798484214444</v>
      </c>
      <c r="Q15" t="s">
        <v>45</v>
      </c>
    </row>
    <row r="16" spans="1:19" x14ac:dyDescent="0.2">
      <c r="A16">
        <v>1659</v>
      </c>
      <c r="B16" t="s">
        <v>543</v>
      </c>
      <c r="C16" t="s">
        <v>14</v>
      </c>
      <c r="D16" s="48">
        <v>41639</v>
      </c>
      <c r="E16" s="3">
        <v>1211975000</v>
      </c>
      <c r="F16" s="3">
        <v>130277000</v>
      </c>
      <c r="G16" s="3">
        <f>Project_Data_NYSE[[#This Row],[ Total Revenue ]]-Project_Data_NYSE[[#This Row],[ Cost of Goods Sold ]]</f>
        <v>1081698000</v>
      </c>
      <c r="H16" s="3">
        <v>356188000</v>
      </c>
      <c r="I16" s="3">
        <v>882097000</v>
      </c>
      <c r="J16" s="3">
        <v>0</v>
      </c>
      <c r="K16" s="3">
        <f>Project_Data_NYSE[[#This Row],[Gross Profit]]-Project_Data_NYSE[[#This Row],[ Sales, General and Admin. ]]-Project_Data_NYSE[[#This Row],[ Research and Development ]]-Project_Data_NYSE[[#This Row],[ Other Operating Items ]]</f>
        <v>-156587000</v>
      </c>
      <c r="L16" t="s">
        <v>24</v>
      </c>
      <c r="M16" t="s">
        <v>65</v>
      </c>
      <c r="N16" s="31">
        <f>Project_Data_NYSE[[#This Row],[Gross Profit]]/Project_Data_NYSE[[#This Row],[ Total Revenue ]]</f>
        <v>0.89250850883887867</v>
      </c>
      <c r="O16" s="31">
        <f>Project_Data_NYSE[[#This Row],[Operating Profit]]/Project_Data_NYSE[[#This Row],[ Total Revenue ]]</f>
        <v>-0.12919985973308029</v>
      </c>
      <c r="Q16" t="s">
        <v>48</v>
      </c>
    </row>
    <row r="17" spans="1:17" x14ac:dyDescent="0.2">
      <c r="A17">
        <v>18</v>
      </c>
      <c r="B17" t="s">
        <v>26</v>
      </c>
      <c r="C17" t="s">
        <v>15</v>
      </c>
      <c r="D17" s="48">
        <v>42277</v>
      </c>
      <c r="E17" s="3">
        <v>135961803000</v>
      </c>
      <c r="F17" s="3">
        <v>132432490000</v>
      </c>
      <c r="G17" s="3">
        <f>Project_Data_NYSE[[#This Row],[ Total Revenue ]]-Project_Data_NYSE[[#This Row],[ Cost of Goods Sold ]]</f>
        <v>3529313000</v>
      </c>
      <c r="H17" s="3">
        <v>2858458000</v>
      </c>
      <c r="I17" s="3">
        <v>0</v>
      </c>
      <c r="J17" s="3">
        <v>248635000</v>
      </c>
      <c r="K17" s="3">
        <f>Project_Data_NYSE[[#This Row],[Gross Profit]]-Project_Data_NYSE[[#This Row],[ Sales, General and Admin. ]]-Project_Data_NYSE[[#This Row],[ Research and Development ]]-Project_Data_NYSE[[#This Row],[ Other Operating Items ]]</f>
        <v>422220000</v>
      </c>
      <c r="L17" t="s">
        <v>24</v>
      </c>
      <c r="M17" t="s">
        <v>27</v>
      </c>
      <c r="N17" s="31">
        <f>Project_Data_NYSE[[#This Row],[Gross Profit]]/Project_Data_NYSE[[#This Row],[ Total Revenue ]]</f>
        <v>2.5958121487988799E-2</v>
      </c>
      <c r="O17" s="31">
        <f>Project_Data_NYSE[[#This Row],[Operating Profit]]/Project_Data_NYSE[[#This Row],[ Total Revenue ]]</f>
        <v>3.1054310157978709E-3</v>
      </c>
      <c r="Q17" t="s">
        <v>50</v>
      </c>
    </row>
    <row r="18" spans="1:17" x14ac:dyDescent="0.2">
      <c r="A18">
        <v>17</v>
      </c>
      <c r="B18" t="s">
        <v>26</v>
      </c>
      <c r="C18" t="s">
        <v>14</v>
      </c>
      <c r="D18" s="48">
        <v>41912</v>
      </c>
      <c r="E18" s="3">
        <v>119569127000</v>
      </c>
      <c r="F18" s="3">
        <v>116586761000</v>
      </c>
      <c r="G18" s="3">
        <f>Project_Data_NYSE[[#This Row],[ Total Revenue ]]-Project_Data_NYSE[[#This Row],[ Cost of Goods Sold ]]</f>
        <v>2982366000</v>
      </c>
      <c r="H18" s="3">
        <v>2011595000</v>
      </c>
      <c r="I18" s="3">
        <v>0</v>
      </c>
      <c r="J18" s="3">
        <v>188680000</v>
      </c>
      <c r="K18" s="3">
        <f>Project_Data_NYSE[[#This Row],[Gross Profit]]-Project_Data_NYSE[[#This Row],[ Sales, General and Admin. ]]-Project_Data_NYSE[[#This Row],[ Research and Development ]]-Project_Data_NYSE[[#This Row],[ Other Operating Items ]]</f>
        <v>782091000</v>
      </c>
      <c r="L18" t="s">
        <v>24</v>
      </c>
      <c r="M18" t="s">
        <v>27</v>
      </c>
      <c r="N18" s="31">
        <f>Project_Data_NYSE[[#This Row],[Gross Profit]]/Project_Data_NYSE[[#This Row],[ Total Revenue ]]</f>
        <v>2.4942609140233999E-2</v>
      </c>
      <c r="O18" s="31">
        <f>Project_Data_NYSE[[#This Row],[Operating Profit]]/Project_Data_NYSE[[#This Row],[ Total Revenue ]]</f>
        <v>6.5409108490020167E-3</v>
      </c>
      <c r="Q18" t="s">
        <v>53</v>
      </c>
    </row>
    <row r="19" spans="1:17" x14ac:dyDescent="0.2">
      <c r="A19">
        <v>16</v>
      </c>
      <c r="B19" t="s">
        <v>26</v>
      </c>
      <c r="C19" t="s">
        <v>11</v>
      </c>
      <c r="D19" s="48">
        <v>41547</v>
      </c>
      <c r="E19" s="3">
        <v>87959167000</v>
      </c>
      <c r="F19" s="3">
        <v>85451348000</v>
      </c>
      <c r="G19" s="3">
        <f>Project_Data_NYSE[[#This Row],[ Total Revenue ]]-Project_Data_NYSE[[#This Row],[ Cost of Goods Sold ]]</f>
        <v>2507819000</v>
      </c>
      <c r="H19" s="3">
        <v>1447234000</v>
      </c>
      <c r="I19" s="3">
        <v>0</v>
      </c>
      <c r="J19" s="3">
        <v>162186000</v>
      </c>
      <c r="K19" s="3">
        <f>Project_Data_NYSE[[#This Row],[Gross Profit]]-Project_Data_NYSE[[#This Row],[ Sales, General and Admin. ]]-Project_Data_NYSE[[#This Row],[ Research and Development ]]-Project_Data_NYSE[[#This Row],[ Other Operating Items ]]</f>
        <v>898399000</v>
      </c>
      <c r="L19" t="s">
        <v>24</v>
      </c>
      <c r="M19" t="s">
        <v>27</v>
      </c>
      <c r="N19" s="31">
        <f>Project_Data_NYSE[[#This Row],[Gross Profit]]/Project_Data_NYSE[[#This Row],[ Total Revenue ]]</f>
        <v>2.8511172689936911E-2</v>
      </c>
      <c r="O19" s="31">
        <f>Project_Data_NYSE[[#This Row],[Operating Profit]]/Project_Data_NYSE[[#This Row],[ Total Revenue ]]</f>
        <v>1.0213818873477963E-2</v>
      </c>
      <c r="Q19" t="s">
        <v>55</v>
      </c>
    </row>
    <row r="20" spans="1:17" x14ac:dyDescent="0.2">
      <c r="A20">
        <v>19</v>
      </c>
      <c r="B20" t="s">
        <v>26</v>
      </c>
      <c r="C20" t="s">
        <v>16</v>
      </c>
      <c r="D20" s="48">
        <v>42643</v>
      </c>
      <c r="E20" s="3">
        <v>146849686000</v>
      </c>
      <c r="F20" s="3">
        <v>142577080000</v>
      </c>
      <c r="G20" s="3">
        <f>Project_Data_NYSE[[#This Row],[ Total Revenue ]]-Project_Data_NYSE[[#This Row],[ Cost of Goods Sold ]]</f>
        <v>4272606000</v>
      </c>
      <c r="H20" s="3">
        <v>2382097000</v>
      </c>
      <c r="I20" s="3">
        <v>0</v>
      </c>
      <c r="J20" s="3">
        <v>364735000</v>
      </c>
      <c r="K20" s="3">
        <f>Project_Data_NYSE[[#This Row],[Gross Profit]]-Project_Data_NYSE[[#This Row],[ Sales, General and Admin. ]]-Project_Data_NYSE[[#This Row],[ Research and Development ]]-Project_Data_NYSE[[#This Row],[ Other Operating Items ]]</f>
        <v>1525774000</v>
      </c>
      <c r="L20" t="s">
        <v>24</v>
      </c>
      <c r="M20" t="s">
        <v>27</v>
      </c>
      <c r="N20" s="31">
        <f>Project_Data_NYSE[[#This Row],[Gross Profit]]/Project_Data_NYSE[[#This Row],[ Total Revenue ]]</f>
        <v>2.9095097962960576E-2</v>
      </c>
      <c r="O20" s="31">
        <f>Project_Data_NYSE[[#This Row],[Operating Profit]]/Project_Data_NYSE[[#This Row],[ Total Revenue ]]</f>
        <v>1.0390039240533343E-2</v>
      </c>
      <c r="Q20" t="s">
        <v>57</v>
      </c>
    </row>
    <row r="21" spans="1:17" x14ac:dyDescent="0.2">
      <c r="A21">
        <v>350</v>
      </c>
      <c r="B21" t="s">
        <v>158</v>
      </c>
      <c r="C21" t="s">
        <v>11</v>
      </c>
      <c r="D21" s="48">
        <v>41274</v>
      </c>
      <c r="E21" s="3">
        <v>8110000000</v>
      </c>
      <c r="F21" s="3">
        <v>6781000000</v>
      </c>
      <c r="G21" s="3">
        <f>Project_Data_NYSE[[#This Row],[ Total Revenue ]]-Project_Data_NYSE[[#This Row],[ Cost of Goods Sold ]]</f>
        <v>1329000000</v>
      </c>
      <c r="H21" s="3">
        <v>1105000000</v>
      </c>
      <c r="I21" s="3">
        <v>0</v>
      </c>
      <c r="J21" s="3">
        <v>88000000</v>
      </c>
      <c r="K21" s="3">
        <f>Project_Data_NYSE[[#This Row],[Gross Profit]]-Project_Data_NYSE[[#This Row],[ Sales, General and Admin. ]]-Project_Data_NYSE[[#This Row],[ Research and Development ]]-Project_Data_NYSE[[#This Row],[ Other Operating Items ]]</f>
        <v>136000000</v>
      </c>
      <c r="L21" t="s">
        <v>24</v>
      </c>
      <c r="M21" t="s">
        <v>80</v>
      </c>
      <c r="N21" s="31">
        <f>Project_Data_NYSE[[#This Row],[Gross Profit]]/Project_Data_NYSE[[#This Row],[ Total Revenue ]]</f>
        <v>0.16387176325524044</v>
      </c>
      <c r="O21" s="31">
        <f>Project_Data_NYSE[[#This Row],[Operating Profit]]/Project_Data_NYSE[[#This Row],[ Total Revenue ]]</f>
        <v>1.6769420468557335E-2</v>
      </c>
      <c r="Q21" t="s">
        <v>60</v>
      </c>
    </row>
    <row r="22" spans="1:17" x14ac:dyDescent="0.2">
      <c r="A22">
        <v>1041</v>
      </c>
      <c r="B22" t="s">
        <v>376</v>
      </c>
      <c r="C22" t="s">
        <v>15</v>
      </c>
      <c r="D22" s="48">
        <v>42094</v>
      </c>
      <c r="E22" s="3">
        <v>179045000000</v>
      </c>
      <c r="F22" s="3">
        <v>167634000000</v>
      </c>
      <c r="G22" s="3">
        <f>Project_Data_NYSE[[#This Row],[ Total Revenue ]]-Project_Data_NYSE[[#This Row],[ Cost of Goods Sold ]]</f>
        <v>11411000000</v>
      </c>
      <c r="H22" s="3">
        <v>7901000000</v>
      </c>
      <c r="I22" s="3">
        <v>392000000</v>
      </c>
      <c r="J22" s="3">
        <v>0</v>
      </c>
      <c r="K22" s="3">
        <f>Project_Data_NYSE[[#This Row],[Gross Profit]]-Project_Data_NYSE[[#This Row],[ Sales, General and Admin. ]]-Project_Data_NYSE[[#This Row],[ Research and Development ]]-Project_Data_NYSE[[#This Row],[ Other Operating Items ]]</f>
        <v>3118000000</v>
      </c>
      <c r="L22" t="s">
        <v>24</v>
      </c>
      <c r="M22" t="s">
        <v>27</v>
      </c>
      <c r="N22" s="31">
        <f>Project_Data_NYSE[[#This Row],[Gross Profit]]/Project_Data_NYSE[[#This Row],[ Total Revenue ]]</f>
        <v>6.3732581194671734E-2</v>
      </c>
      <c r="O22" s="31">
        <f>Project_Data_NYSE[[#This Row],[Operating Profit]]/Project_Data_NYSE[[#This Row],[ Total Revenue ]]</f>
        <v>1.7414616437208524E-2</v>
      </c>
      <c r="Q22" t="s">
        <v>61</v>
      </c>
    </row>
    <row r="23" spans="1:17" x14ac:dyDescent="0.2">
      <c r="A23">
        <v>1040</v>
      </c>
      <c r="B23" t="s">
        <v>376</v>
      </c>
      <c r="C23" t="s">
        <v>14</v>
      </c>
      <c r="D23" s="48">
        <v>41729</v>
      </c>
      <c r="E23" s="3">
        <v>137392000000</v>
      </c>
      <c r="F23" s="3">
        <v>129040000000</v>
      </c>
      <c r="G23" s="3">
        <f>Project_Data_NYSE[[#This Row],[ Total Revenue ]]-Project_Data_NYSE[[#This Row],[ Cost of Goods Sold ]]</f>
        <v>8352000000</v>
      </c>
      <c r="H23" s="3">
        <v>5388000000</v>
      </c>
      <c r="I23" s="3">
        <v>457000000</v>
      </c>
      <c r="J23" s="3">
        <v>0</v>
      </c>
      <c r="K23" s="3">
        <f>Project_Data_NYSE[[#This Row],[Gross Profit]]-Project_Data_NYSE[[#This Row],[ Sales, General and Admin. ]]-Project_Data_NYSE[[#This Row],[ Research and Development ]]-Project_Data_NYSE[[#This Row],[ Other Operating Items ]]</f>
        <v>2507000000</v>
      </c>
      <c r="L23" t="s">
        <v>24</v>
      </c>
      <c r="M23" t="s">
        <v>27</v>
      </c>
      <c r="N23" s="31">
        <f>Project_Data_NYSE[[#This Row],[Gross Profit]]/Project_Data_NYSE[[#This Row],[ Total Revenue ]]</f>
        <v>6.0789565622452545E-2</v>
      </c>
      <c r="O23" s="31">
        <f>Project_Data_NYSE[[#This Row],[Operating Profit]]/Project_Data_NYSE[[#This Row],[ Total Revenue ]]</f>
        <v>1.8247059508559451E-2</v>
      </c>
      <c r="Q23" t="s">
        <v>62</v>
      </c>
    </row>
    <row r="24" spans="1:17" x14ac:dyDescent="0.2">
      <c r="A24">
        <v>258</v>
      </c>
      <c r="B24" t="s">
        <v>124</v>
      </c>
      <c r="C24" t="s">
        <v>11</v>
      </c>
      <c r="D24" s="48">
        <v>41455</v>
      </c>
      <c r="E24" s="3">
        <v>101093000000</v>
      </c>
      <c r="F24" s="3">
        <v>96172000000</v>
      </c>
      <c r="G24" s="3">
        <f>Project_Data_NYSE[[#This Row],[ Total Revenue ]]-Project_Data_NYSE[[#This Row],[ Cost of Goods Sold ]]</f>
        <v>4921000000</v>
      </c>
      <c r="H24" s="3">
        <v>2875000000</v>
      </c>
      <c r="I24" s="3">
        <v>0</v>
      </c>
      <c r="J24" s="3">
        <v>158000000</v>
      </c>
      <c r="K24" s="3">
        <f>Project_Data_NYSE[[#This Row],[Gross Profit]]-Project_Data_NYSE[[#This Row],[ Sales, General and Admin. ]]-Project_Data_NYSE[[#This Row],[ Research and Development ]]-Project_Data_NYSE[[#This Row],[ Other Operating Items ]]</f>
        <v>1888000000</v>
      </c>
      <c r="L24" t="s">
        <v>24</v>
      </c>
      <c r="M24" t="s">
        <v>27</v>
      </c>
      <c r="N24" s="31">
        <f>Project_Data_NYSE[[#This Row],[Gross Profit]]/Project_Data_NYSE[[#This Row],[ Total Revenue ]]</f>
        <v>4.8677950006429722E-2</v>
      </c>
      <c r="O24" s="31">
        <f>Project_Data_NYSE[[#This Row],[Operating Profit]]/Project_Data_NYSE[[#This Row],[ Total Revenue ]]</f>
        <v>1.8675872711265865E-2</v>
      </c>
      <c r="Q24" t="s">
        <v>64</v>
      </c>
    </row>
    <row r="25" spans="1:17" x14ac:dyDescent="0.2">
      <c r="A25">
        <v>1039</v>
      </c>
      <c r="B25" t="s">
        <v>376</v>
      </c>
      <c r="C25" t="s">
        <v>11</v>
      </c>
      <c r="D25" s="48">
        <v>41364</v>
      </c>
      <c r="E25" s="3">
        <v>122196000000</v>
      </c>
      <c r="F25" s="3">
        <v>115315000000</v>
      </c>
      <c r="G25" s="3">
        <f>Project_Data_NYSE[[#This Row],[ Total Revenue ]]-Project_Data_NYSE[[#This Row],[ Cost of Goods Sold ]]</f>
        <v>6881000000</v>
      </c>
      <c r="H25" s="3">
        <v>4110000000</v>
      </c>
      <c r="I25" s="3">
        <v>433000000</v>
      </c>
      <c r="J25" s="3">
        <v>0</v>
      </c>
      <c r="K25" s="3">
        <f>Project_Data_NYSE[[#This Row],[Gross Profit]]-Project_Data_NYSE[[#This Row],[ Sales, General and Admin. ]]-Project_Data_NYSE[[#This Row],[ Research and Development ]]-Project_Data_NYSE[[#This Row],[ Other Operating Items ]]</f>
        <v>2338000000</v>
      </c>
      <c r="L25" t="s">
        <v>24</v>
      </c>
      <c r="M25" t="s">
        <v>27</v>
      </c>
      <c r="N25" s="31">
        <f>Project_Data_NYSE[[#This Row],[Gross Profit]]/Project_Data_NYSE[[#This Row],[ Total Revenue ]]</f>
        <v>5.6311172215129789E-2</v>
      </c>
      <c r="O25" s="31">
        <f>Project_Data_NYSE[[#This Row],[Operating Profit]]/Project_Data_NYSE[[#This Row],[ Total Revenue ]]</f>
        <v>1.9133195849291303E-2</v>
      </c>
      <c r="Q25" t="s">
        <v>66</v>
      </c>
    </row>
    <row r="26" spans="1:17" x14ac:dyDescent="0.2">
      <c r="A26">
        <v>24</v>
      </c>
      <c r="B26" t="s">
        <v>30</v>
      </c>
      <c r="C26" t="s">
        <v>11</v>
      </c>
      <c r="D26" s="48">
        <v>41607</v>
      </c>
      <c r="E26" s="3">
        <v>4055240000</v>
      </c>
      <c r="F26" s="3">
        <v>586557000</v>
      </c>
      <c r="G26" s="3">
        <f>Project_Data_NYSE[[#This Row],[ Total Revenue ]]-Project_Data_NYSE[[#This Row],[ Cost of Goods Sold ]]</f>
        <v>3468683000</v>
      </c>
      <c r="H26" s="3">
        <v>2140578000</v>
      </c>
      <c r="I26" s="3">
        <v>826631000</v>
      </c>
      <c r="J26" s="3">
        <v>52254000</v>
      </c>
      <c r="K26" s="3">
        <f>Project_Data_NYSE[[#This Row],[Gross Profit]]-Project_Data_NYSE[[#This Row],[ Sales, General and Admin. ]]-Project_Data_NYSE[[#This Row],[ Research and Development ]]-Project_Data_NYSE[[#This Row],[ Other Operating Items ]]</f>
        <v>449220000</v>
      </c>
      <c r="L26" t="s">
        <v>21</v>
      </c>
      <c r="M26" t="s">
        <v>31</v>
      </c>
      <c r="N26" s="31">
        <f>Project_Data_NYSE[[#This Row],[Gross Profit]]/Project_Data_NYSE[[#This Row],[ Total Revenue ]]</f>
        <v>0.85535825253252584</v>
      </c>
      <c r="O26" s="31">
        <f>Project_Data_NYSE[[#This Row],[Operating Profit]]/Project_Data_NYSE[[#This Row],[ Total Revenue ]]</f>
        <v>0.11077519456308381</v>
      </c>
      <c r="Q26" t="s">
        <v>68</v>
      </c>
    </row>
    <row r="27" spans="1:17" x14ac:dyDescent="0.2">
      <c r="A27">
        <v>25</v>
      </c>
      <c r="B27" t="s">
        <v>30</v>
      </c>
      <c r="C27" t="s">
        <v>14</v>
      </c>
      <c r="D27" s="48">
        <v>41971</v>
      </c>
      <c r="E27" s="3">
        <v>4147065000</v>
      </c>
      <c r="F27" s="3">
        <v>622080000</v>
      </c>
      <c r="G27" s="3">
        <f>Project_Data_NYSE[[#This Row],[ Total Revenue ]]-Project_Data_NYSE[[#This Row],[ Cost of Goods Sold ]]</f>
        <v>3524985000</v>
      </c>
      <c r="H27" s="3">
        <v>2195640000</v>
      </c>
      <c r="I27" s="3">
        <v>844353000</v>
      </c>
      <c r="J27" s="3">
        <v>52424000</v>
      </c>
      <c r="K27" s="3">
        <f>Project_Data_NYSE[[#This Row],[Gross Profit]]-Project_Data_NYSE[[#This Row],[ Sales, General and Admin. ]]-Project_Data_NYSE[[#This Row],[ Research and Development ]]-Project_Data_NYSE[[#This Row],[ Other Operating Items ]]</f>
        <v>432568000</v>
      </c>
      <c r="L27" t="s">
        <v>21</v>
      </c>
      <c r="M27" t="s">
        <v>31</v>
      </c>
      <c r="N27" s="31">
        <f>Project_Data_NYSE[[#This Row],[Gross Profit]]/Project_Data_NYSE[[#This Row],[ Total Revenue ]]</f>
        <v>0.84999511702854913</v>
      </c>
      <c r="O27" s="31">
        <f>Project_Data_NYSE[[#This Row],[Operating Profit]]/Project_Data_NYSE[[#This Row],[ Total Revenue ]]</f>
        <v>0.10430702195408077</v>
      </c>
      <c r="Q27" t="s">
        <v>70</v>
      </c>
    </row>
    <row r="28" spans="1:17" x14ac:dyDescent="0.2">
      <c r="A28">
        <v>26</v>
      </c>
      <c r="B28" t="s">
        <v>30</v>
      </c>
      <c r="C28" t="s">
        <v>15</v>
      </c>
      <c r="D28" s="48">
        <v>42335</v>
      </c>
      <c r="E28" s="3">
        <v>4795511000</v>
      </c>
      <c r="F28" s="3">
        <v>744317000</v>
      </c>
      <c r="G28" s="3">
        <f>Project_Data_NYSE[[#This Row],[ Total Revenue ]]-Project_Data_NYSE[[#This Row],[ Cost of Goods Sold ]]</f>
        <v>4051194000</v>
      </c>
      <c r="H28" s="3">
        <v>2215161000</v>
      </c>
      <c r="I28" s="3">
        <v>862730000</v>
      </c>
      <c r="J28" s="3">
        <v>68649000</v>
      </c>
      <c r="K28" s="3">
        <f>Project_Data_NYSE[[#This Row],[Gross Profit]]-Project_Data_NYSE[[#This Row],[ Sales, General and Admin. ]]-Project_Data_NYSE[[#This Row],[ Research and Development ]]-Project_Data_NYSE[[#This Row],[ Other Operating Items ]]</f>
        <v>904654000</v>
      </c>
      <c r="L28" t="s">
        <v>21</v>
      </c>
      <c r="M28" t="s">
        <v>31</v>
      </c>
      <c r="N28" s="31">
        <f>Project_Data_NYSE[[#This Row],[Gross Profit]]/Project_Data_NYSE[[#This Row],[ Total Revenue ]]</f>
        <v>0.84478880352896701</v>
      </c>
      <c r="O28" s="31">
        <f>Project_Data_NYSE[[#This Row],[Operating Profit]]/Project_Data_NYSE[[#This Row],[ Total Revenue ]]</f>
        <v>0.18864600665080322</v>
      </c>
      <c r="Q28" t="s">
        <v>71</v>
      </c>
    </row>
    <row r="29" spans="1:17" x14ac:dyDescent="0.2">
      <c r="A29">
        <v>27</v>
      </c>
      <c r="B29" t="s">
        <v>30</v>
      </c>
      <c r="C29" t="s">
        <v>16</v>
      </c>
      <c r="D29" s="48">
        <v>42706</v>
      </c>
      <c r="E29" s="3">
        <v>5854430000</v>
      </c>
      <c r="F29" s="3">
        <v>819908000</v>
      </c>
      <c r="G29" s="3">
        <f>Project_Data_NYSE[[#This Row],[ Total Revenue ]]-Project_Data_NYSE[[#This Row],[ Cost of Goods Sold ]]</f>
        <v>5034522000</v>
      </c>
      <c r="H29" s="3">
        <v>2487907000</v>
      </c>
      <c r="I29" s="3">
        <v>975987000</v>
      </c>
      <c r="J29" s="3">
        <v>78534000</v>
      </c>
      <c r="K29" s="3">
        <f>Project_Data_NYSE[[#This Row],[Gross Profit]]-Project_Data_NYSE[[#This Row],[ Sales, General and Admin. ]]-Project_Data_NYSE[[#This Row],[ Research and Development ]]-Project_Data_NYSE[[#This Row],[ Other Operating Items ]]</f>
        <v>1492094000</v>
      </c>
      <c r="L29" t="s">
        <v>21</v>
      </c>
      <c r="M29" t="s">
        <v>31</v>
      </c>
      <c r="N29" s="31">
        <f>Project_Data_NYSE[[#This Row],[Gross Profit]]/Project_Data_NYSE[[#This Row],[ Total Revenue ]]</f>
        <v>0.8599508406454599</v>
      </c>
      <c r="O29" s="31">
        <f>Project_Data_NYSE[[#This Row],[Operating Profit]]/Project_Data_NYSE[[#This Row],[ Total Revenue ]]</f>
        <v>0.25486580247778179</v>
      </c>
      <c r="Q29" t="s">
        <v>73</v>
      </c>
    </row>
    <row r="30" spans="1:17" x14ac:dyDescent="0.2">
      <c r="A30">
        <v>28</v>
      </c>
      <c r="B30" t="s">
        <v>32</v>
      </c>
      <c r="C30" t="s">
        <v>11</v>
      </c>
      <c r="D30" s="48">
        <v>41580</v>
      </c>
      <c r="E30" s="3">
        <v>2633689000</v>
      </c>
      <c r="F30" s="3">
        <v>941278000</v>
      </c>
      <c r="G30" s="3">
        <f>Project_Data_NYSE[[#This Row],[ Total Revenue ]]-Project_Data_NYSE[[#This Row],[ Cost of Goods Sold ]]</f>
        <v>1692411000</v>
      </c>
      <c r="H30" s="3">
        <v>396233000</v>
      </c>
      <c r="I30" s="3">
        <v>513035000</v>
      </c>
      <c r="J30" s="3">
        <v>220000</v>
      </c>
      <c r="K30" s="3">
        <f>Project_Data_NYSE[[#This Row],[Gross Profit]]-Project_Data_NYSE[[#This Row],[ Sales, General and Admin. ]]-Project_Data_NYSE[[#This Row],[ Research and Development ]]-Project_Data_NYSE[[#This Row],[ Other Operating Items ]]</f>
        <v>782923000</v>
      </c>
      <c r="L30" t="s">
        <v>21</v>
      </c>
      <c r="M30" t="s">
        <v>33</v>
      </c>
      <c r="N30" s="31">
        <f>Project_Data_NYSE[[#This Row],[Gross Profit]]/Project_Data_NYSE[[#This Row],[ Total Revenue ]]</f>
        <v>0.64260092972252991</v>
      </c>
      <c r="O30" s="31">
        <f>Project_Data_NYSE[[#This Row],[Operating Profit]]/Project_Data_NYSE[[#This Row],[ Total Revenue ]]</f>
        <v>0.29727238105941894</v>
      </c>
      <c r="Q30" t="s">
        <v>75</v>
      </c>
    </row>
    <row r="31" spans="1:17" x14ac:dyDescent="0.2">
      <c r="A31">
        <v>29</v>
      </c>
      <c r="B31" t="s">
        <v>32</v>
      </c>
      <c r="C31" t="s">
        <v>14</v>
      </c>
      <c r="D31" s="48">
        <v>41944</v>
      </c>
      <c r="E31" s="3">
        <v>2864773000</v>
      </c>
      <c r="F31" s="3">
        <v>1034585000</v>
      </c>
      <c r="G31" s="3">
        <f>Project_Data_NYSE[[#This Row],[ Total Revenue ]]-Project_Data_NYSE[[#This Row],[ Cost of Goods Sold ]]</f>
        <v>1830188000</v>
      </c>
      <c r="H31" s="3">
        <v>454676000</v>
      </c>
      <c r="I31" s="3">
        <v>559686000</v>
      </c>
      <c r="J31" s="3">
        <v>26020000</v>
      </c>
      <c r="K31" s="3">
        <f>Project_Data_NYSE[[#This Row],[Gross Profit]]-Project_Data_NYSE[[#This Row],[ Sales, General and Admin. ]]-Project_Data_NYSE[[#This Row],[ Research and Development ]]-Project_Data_NYSE[[#This Row],[ Other Operating Items ]]</f>
        <v>789806000</v>
      </c>
      <c r="L31" t="s">
        <v>21</v>
      </c>
      <c r="M31" t="s">
        <v>33</v>
      </c>
      <c r="N31" s="31">
        <f>Project_Data_NYSE[[#This Row],[Gross Profit]]/Project_Data_NYSE[[#This Row],[ Total Revenue ]]</f>
        <v>0.6388596932462014</v>
      </c>
      <c r="O31" s="31">
        <f>Project_Data_NYSE[[#This Row],[Operating Profit]]/Project_Data_NYSE[[#This Row],[ Total Revenue ]]</f>
        <v>0.27569584047322421</v>
      </c>
      <c r="Q31" t="s">
        <v>77</v>
      </c>
    </row>
    <row r="32" spans="1:17" x14ac:dyDescent="0.2">
      <c r="A32">
        <v>30</v>
      </c>
      <c r="B32" t="s">
        <v>32</v>
      </c>
      <c r="C32" t="s">
        <v>15</v>
      </c>
      <c r="D32" s="48">
        <v>42308</v>
      </c>
      <c r="E32" s="3">
        <v>3435092000</v>
      </c>
      <c r="F32" s="3">
        <v>1175830000</v>
      </c>
      <c r="G32" s="3">
        <f>Project_Data_NYSE[[#This Row],[ Total Revenue ]]-Project_Data_NYSE[[#This Row],[ Cost of Goods Sold ]]</f>
        <v>2259262000</v>
      </c>
      <c r="H32" s="3">
        <v>702644000</v>
      </c>
      <c r="I32" s="3">
        <v>637459000</v>
      </c>
      <c r="J32" s="3">
        <v>88318000</v>
      </c>
      <c r="K32" s="3">
        <f>Project_Data_NYSE[[#This Row],[Gross Profit]]-Project_Data_NYSE[[#This Row],[ Sales, General and Admin. ]]-Project_Data_NYSE[[#This Row],[ Research and Development ]]-Project_Data_NYSE[[#This Row],[ Other Operating Items ]]</f>
        <v>830841000</v>
      </c>
      <c r="L32" t="s">
        <v>21</v>
      </c>
      <c r="M32" t="s">
        <v>33</v>
      </c>
      <c r="N32" s="31">
        <f>Project_Data_NYSE[[#This Row],[Gross Profit]]/Project_Data_NYSE[[#This Row],[ Total Revenue ]]</f>
        <v>0.65770057978068708</v>
      </c>
      <c r="O32" s="31">
        <f>Project_Data_NYSE[[#This Row],[Operating Profit]]/Project_Data_NYSE[[#This Row],[ Total Revenue ]]</f>
        <v>0.24186863117494378</v>
      </c>
      <c r="Q32" t="s">
        <v>79</v>
      </c>
    </row>
    <row r="33" spans="1:17" x14ac:dyDescent="0.2">
      <c r="A33">
        <v>31</v>
      </c>
      <c r="B33" t="s">
        <v>32</v>
      </c>
      <c r="C33" t="s">
        <v>16</v>
      </c>
      <c r="D33" s="48">
        <v>42672</v>
      </c>
      <c r="E33" s="3">
        <v>3421409000</v>
      </c>
      <c r="F33" s="3">
        <v>1194236000</v>
      </c>
      <c r="G33" s="3">
        <f>Project_Data_NYSE[[#This Row],[ Total Revenue ]]-Project_Data_NYSE[[#This Row],[ Cost of Goods Sold ]]</f>
        <v>2227173000</v>
      </c>
      <c r="H33" s="3">
        <v>461438000</v>
      </c>
      <c r="I33" s="3">
        <v>653816000</v>
      </c>
      <c r="J33" s="3">
        <v>70123000</v>
      </c>
      <c r="K33" s="3">
        <f>Project_Data_NYSE[[#This Row],[Gross Profit]]-Project_Data_NYSE[[#This Row],[ Sales, General and Admin. ]]-Project_Data_NYSE[[#This Row],[ Research and Development ]]-Project_Data_NYSE[[#This Row],[ Other Operating Items ]]</f>
        <v>1041796000</v>
      </c>
      <c r="L33" t="s">
        <v>21</v>
      </c>
      <c r="M33" t="s">
        <v>33</v>
      </c>
      <c r="N33" s="31">
        <f>Project_Data_NYSE[[#This Row],[Gross Profit]]/Project_Data_NYSE[[#This Row],[ Total Revenue ]]</f>
        <v>0.65095199083184729</v>
      </c>
      <c r="O33" s="31">
        <f>Project_Data_NYSE[[#This Row],[Operating Profit]]/Project_Data_NYSE[[#This Row],[ Total Revenue ]]</f>
        <v>0.30449326578611324</v>
      </c>
      <c r="Q33" t="s">
        <v>81</v>
      </c>
    </row>
    <row r="34" spans="1:17" x14ac:dyDescent="0.2">
      <c r="A34">
        <v>32</v>
      </c>
      <c r="B34" t="s">
        <v>34</v>
      </c>
      <c r="C34" t="s">
        <v>11</v>
      </c>
      <c r="D34" s="48">
        <v>41274</v>
      </c>
      <c r="E34" s="3">
        <v>90559000000</v>
      </c>
      <c r="F34" s="3">
        <v>86936000000</v>
      </c>
      <c r="G34" s="3">
        <f>Project_Data_NYSE[[#This Row],[ Total Revenue ]]-Project_Data_NYSE[[#This Row],[ Cost of Goods Sold ]]</f>
        <v>3623000000</v>
      </c>
      <c r="H34" s="3">
        <v>1665000000</v>
      </c>
      <c r="I34" s="3">
        <v>0</v>
      </c>
      <c r="J34" s="3">
        <v>0</v>
      </c>
      <c r="K34" s="3">
        <f>Project_Data_NYSE[[#This Row],[Gross Profit]]-Project_Data_NYSE[[#This Row],[ Sales, General and Admin. ]]-Project_Data_NYSE[[#This Row],[ Research and Development ]]-Project_Data_NYSE[[#This Row],[ Other Operating Items ]]</f>
        <v>1958000000</v>
      </c>
      <c r="L34" t="s">
        <v>35</v>
      </c>
      <c r="M34" t="s">
        <v>36</v>
      </c>
      <c r="N34" s="31">
        <f>Project_Data_NYSE[[#This Row],[Gross Profit]]/Project_Data_NYSE[[#This Row],[ Total Revenue ]]</f>
        <v>4.0007067215848229E-2</v>
      </c>
      <c r="O34" s="31">
        <f>Project_Data_NYSE[[#This Row],[Operating Profit]]/Project_Data_NYSE[[#This Row],[ Total Revenue ]]</f>
        <v>2.1621263485683367E-2</v>
      </c>
      <c r="Q34" t="s">
        <v>84</v>
      </c>
    </row>
    <row r="35" spans="1:17" x14ac:dyDescent="0.2">
      <c r="A35">
        <v>33</v>
      </c>
      <c r="B35" t="s">
        <v>34</v>
      </c>
      <c r="C35" t="s">
        <v>14</v>
      </c>
      <c r="D35" s="48">
        <v>41639</v>
      </c>
      <c r="E35" s="3">
        <v>89804000000</v>
      </c>
      <c r="F35" s="3">
        <v>85915000000</v>
      </c>
      <c r="G35" s="3">
        <f>Project_Data_NYSE[[#This Row],[ Total Revenue ]]-Project_Data_NYSE[[#This Row],[ Cost of Goods Sold ]]</f>
        <v>3889000000</v>
      </c>
      <c r="H35" s="3">
        <v>1759000000</v>
      </c>
      <c r="I35" s="3">
        <v>0</v>
      </c>
      <c r="J35" s="3">
        <v>0</v>
      </c>
      <c r="K35" s="3">
        <f>Project_Data_NYSE[[#This Row],[Gross Profit]]-Project_Data_NYSE[[#This Row],[ Sales, General and Admin. ]]-Project_Data_NYSE[[#This Row],[ Research and Development ]]-Project_Data_NYSE[[#This Row],[ Other Operating Items ]]</f>
        <v>2130000000</v>
      </c>
      <c r="L35" t="s">
        <v>35</v>
      </c>
      <c r="M35" t="s">
        <v>36</v>
      </c>
      <c r="N35" s="31">
        <f>Project_Data_NYSE[[#This Row],[Gross Profit]]/Project_Data_NYSE[[#This Row],[ Total Revenue ]]</f>
        <v>4.3305420693955723E-2</v>
      </c>
      <c r="O35" s="31">
        <f>Project_Data_NYSE[[#This Row],[Operating Profit]]/Project_Data_NYSE[[#This Row],[ Total Revenue ]]</f>
        <v>2.3718319896663845E-2</v>
      </c>
      <c r="Q35" t="s">
        <v>85</v>
      </c>
    </row>
    <row r="36" spans="1:17" x14ac:dyDescent="0.2">
      <c r="A36">
        <v>34</v>
      </c>
      <c r="B36" t="s">
        <v>34</v>
      </c>
      <c r="C36" t="s">
        <v>15</v>
      </c>
      <c r="D36" s="48">
        <v>42004</v>
      </c>
      <c r="E36" s="3">
        <v>81201000000</v>
      </c>
      <c r="F36" s="3">
        <v>76433000000</v>
      </c>
      <c r="G36" s="3">
        <f>Project_Data_NYSE[[#This Row],[ Total Revenue ]]-Project_Data_NYSE[[#This Row],[ Cost of Goods Sold ]]</f>
        <v>4768000000</v>
      </c>
      <c r="H36" s="3">
        <v>1907000000</v>
      </c>
      <c r="I36" s="3">
        <v>0</v>
      </c>
      <c r="J36" s="3">
        <v>0</v>
      </c>
      <c r="K36" s="3">
        <f>Project_Data_NYSE[[#This Row],[Gross Profit]]-Project_Data_NYSE[[#This Row],[ Sales, General and Admin. ]]-Project_Data_NYSE[[#This Row],[ Research and Development ]]-Project_Data_NYSE[[#This Row],[ Other Operating Items ]]</f>
        <v>2861000000</v>
      </c>
      <c r="L36" t="s">
        <v>35</v>
      </c>
      <c r="M36" t="s">
        <v>36</v>
      </c>
      <c r="N36" s="31">
        <f>Project_Data_NYSE[[#This Row],[Gross Profit]]/Project_Data_NYSE[[#This Row],[ Total Revenue ]]</f>
        <v>5.8718488688562949E-2</v>
      </c>
      <c r="O36" s="31">
        <f>Project_Data_NYSE[[#This Row],[Operating Profit]]/Project_Data_NYSE[[#This Row],[ Total Revenue ]]</f>
        <v>3.5233556236992154E-2</v>
      </c>
      <c r="Q36" t="s">
        <v>87</v>
      </c>
    </row>
    <row r="37" spans="1:17" x14ac:dyDescent="0.2">
      <c r="A37">
        <v>35</v>
      </c>
      <c r="B37" t="s">
        <v>34</v>
      </c>
      <c r="C37" t="s">
        <v>16</v>
      </c>
      <c r="D37" s="48">
        <v>42369</v>
      </c>
      <c r="E37" s="3">
        <v>67702000000</v>
      </c>
      <c r="F37" s="3">
        <v>63682000000</v>
      </c>
      <c r="G37" s="3">
        <f>Project_Data_NYSE[[#This Row],[ Total Revenue ]]-Project_Data_NYSE[[#This Row],[ Cost of Goods Sold ]]</f>
        <v>4020000000</v>
      </c>
      <c r="H37" s="3">
        <v>2010000000</v>
      </c>
      <c r="I37" s="3">
        <v>0</v>
      </c>
      <c r="J37" s="3">
        <v>0</v>
      </c>
      <c r="K37" s="3">
        <f>Project_Data_NYSE[[#This Row],[Gross Profit]]-Project_Data_NYSE[[#This Row],[ Sales, General and Admin. ]]-Project_Data_NYSE[[#This Row],[ Research and Development ]]-Project_Data_NYSE[[#This Row],[ Other Operating Items ]]</f>
        <v>2010000000</v>
      </c>
      <c r="L37" t="s">
        <v>35</v>
      </c>
      <c r="M37" t="s">
        <v>36</v>
      </c>
      <c r="N37" s="31">
        <f>Project_Data_NYSE[[#This Row],[Gross Profit]]/Project_Data_NYSE[[#This Row],[ Total Revenue ]]</f>
        <v>5.9377861806150484E-2</v>
      </c>
      <c r="O37" s="31">
        <f>Project_Data_NYSE[[#This Row],[Operating Profit]]/Project_Data_NYSE[[#This Row],[ Total Revenue ]]</f>
        <v>2.9688930903075242E-2</v>
      </c>
      <c r="Q37" t="s">
        <v>89</v>
      </c>
    </row>
    <row r="38" spans="1:17" x14ac:dyDescent="0.2">
      <c r="A38">
        <v>36</v>
      </c>
      <c r="B38" t="s">
        <v>37</v>
      </c>
      <c r="C38" t="s">
        <v>11</v>
      </c>
      <c r="D38" s="48">
        <v>41274</v>
      </c>
      <c r="E38" s="3">
        <v>3641390000</v>
      </c>
      <c r="F38" s="3">
        <v>2392091000</v>
      </c>
      <c r="G38" s="3">
        <f>Project_Data_NYSE[[#This Row],[ Total Revenue ]]-Project_Data_NYSE[[#This Row],[ Cost of Goods Sold ]]</f>
        <v>1249299000</v>
      </c>
      <c r="H38" s="3">
        <v>108059000</v>
      </c>
      <c r="I38" s="3">
        <v>0</v>
      </c>
      <c r="J38" s="3">
        <v>166876000</v>
      </c>
      <c r="K38" s="3">
        <f>Project_Data_NYSE[[#This Row],[Gross Profit]]-Project_Data_NYSE[[#This Row],[ Sales, General and Admin. ]]-Project_Data_NYSE[[#This Row],[ Research and Development ]]-Project_Data_NYSE[[#This Row],[ Other Operating Items ]]</f>
        <v>974364000</v>
      </c>
      <c r="L38" t="s">
        <v>21</v>
      </c>
      <c r="M38" t="s">
        <v>38</v>
      </c>
      <c r="N38" s="31">
        <f>Project_Data_NYSE[[#This Row],[Gross Profit]]/Project_Data_NYSE[[#This Row],[ Total Revenue ]]</f>
        <v>0.3430829985252884</v>
      </c>
      <c r="O38" s="31">
        <f>Project_Data_NYSE[[#This Row],[Operating Profit]]/Project_Data_NYSE[[#This Row],[ Total Revenue ]]</f>
        <v>0.26758023721710666</v>
      </c>
      <c r="Q38" t="s">
        <v>91</v>
      </c>
    </row>
    <row r="39" spans="1:17" x14ac:dyDescent="0.2">
      <c r="A39">
        <v>37</v>
      </c>
      <c r="B39" t="s">
        <v>37</v>
      </c>
      <c r="C39" t="s">
        <v>14</v>
      </c>
      <c r="D39" s="48">
        <v>41639</v>
      </c>
      <c r="E39" s="3">
        <v>4319063000</v>
      </c>
      <c r="F39" s="3">
        <v>2894917000</v>
      </c>
      <c r="G39" s="3">
        <f>Project_Data_NYSE[[#This Row],[ Total Revenue ]]-Project_Data_NYSE[[#This Row],[ Cost of Goods Sold ]]</f>
        <v>1424146000</v>
      </c>
      <c r="H39" s="3">
        <v>109115000</v>
      </c>
      <c r="I39" s="3">
        <v>0</v>
      </c>
      <c r="J39" s="3">
        <v>216119000</v>
      </c>
      <c r="K39" s="3">
        <f>Project_Data_NYSE[[#This Row],[Gross Profit]]-Project_Data_NYSE[[#This Row],[ Sales, General and Admin. ]]-Project_Data_NYSE[[#This Row],[ Research and Development ]]-Project_Data_NYSE[[#This Row],[ Other Operating Items ]]</f>
        <v>1098912000</v>
      </c>
      <c r="L39" t="s">
        <v>21</v>
      </c>
      <c r="M39" t="s">
        <v>38</v>
      </c>
      <c r="N39" s="31">
        <f>Project_Data_NYSE[[#This Row],[Gross Profit]]/Project_Data_NYSE[[#This Row],[ Total Revenue ]]</f>
        <v>0.32973494482483817</v>
      </c>
      <c r="O39" s="31">
        <f>Project_Data_NYSE[[#This Row],[Operating Profit]]/Project_Data_NYSE[[#This Row],[ Total Revenue ]]</f>
        <v>0.25443296381645741</v>
      </c>
      <c r="Q39" t="s">
        <v>93</v>
      </c>
    </row>
    <row r="40" spans="1:17" x14ac:dyDescent="0.2">
      <c r="A40">
        <v>38</v>
      </c>
      <c r="B40" t="s">
        <v>37</v>
      </c>
      <c r="C40" t="s">
        <v>15</v>
      </c>
      <c r="D40" s="48">
        <v>42004</v>
      </c>
      <c r="E40" s="3">
        <v>5302940000</v>
      </c>
      <c r="F40" s="3">
        <v>3643979000</v>
      </c>
      <c r="G40" s="3">
        <f>Project_Data_NYSE[[#This Row],[ Total Revenue ]]-Project_Data_NYSE[[#This Row],[ Cost of Goods Sold ]]</f>
        <v>1658961000</v>
      </c>
      <c r="H40" s="3">
        <v>247412000</v>
      </c>
      <c r="I40" s="3">
        <v>0</v>
      </c>
      <c r="J40" s="3">
        <v>313082000</v>
      </c>
      <c r="K40" s="3">
        <f>Project_Data_NYSE[[#This Row],[Gross Profit]]-Project_Data_NYSE[[#This Row],[ Sales, General and Admin. ]]-Project_Data_NYSE[[#This Row],[ Research and Development ]]-Project_Data_NYSE[[#This Row],[ Other Operating Items ]]</f>
        <v>1098467000</v>
      </c>
      <c r="L40" t="s">
        <v>21</v>
      </c>
      <c r="M40" t="s">
        <v>38</v>
      </c>
      <c r="N40" s="31">
        <f>Project_Data_NYSE[[#This Row],[Gross Profit]]/Project_Data_NYSE[[#This Row],[ Total Revenue ]]</f>
        <v>0.31283797289805276</v>
      </c>
      <c r="O40" s="31">
        <f>Project_Data_NYSE[[#This Row],[Operating Profit]]/Project_Data_NYSE[[#This Row],[ Total Revenue ]]</f>
        <v>0.20714301877826263</v>
      </c>
      <c r="Q40" t="s">
        <v>94</v>
      </c>
    </row>
    <row r="41" spans="1:17" x14ac:dyDescent="0.2">
      <c r="A41">
        <v>39</v>
      </c>
      <c r="B41" t="s">
        <v>37</v>
      </c>
      <c r="C41" t="s">
        <v>16</v>
      </c>
      <c r="D41" s="48">
        <v>42369</v>
      </c>
      <c r="E41" s="3">
        <v>6439746000</v>
      </c>
      <c r="F41" s="3">
        <v>4482700000</v>
      </c>
      <c r="G41" s="3">
        <f>Project_Data_NYSE[[#This Row],[ Total Revenue ]]-Project_Data_NYSE[[#This Row],[ Cost of Goods Sold ]]</f>
        <v>1957046000</v>
      </c>
      <c r="H41" s="3">
        <v>203046000</v>
      </c>
      <c r="I41" s="3">
        <v>0</v>
      </c>
      <c r="J41" s="3">
        <v>492140000</v>
      </c>
      <c r="K41" s="3">
        <f>Project_Data_NYSE[[#This Row],[Gross Profit]]-Project_Data_NYSE[[#This Row],[ Sales, General and Admin. ]]-Project_Data_NYSE[[#This Row],[ Research and Development ]]-Project_Data_NYSE[[#This Row],[ Other Operating Items ]]</f>
        <v>1261860000</v>
      </c>
      <c r="L41" t="s">
        <v>21</v>
      </c>
      <c r="M41" t="s">
        <v>38</v>
      </c>
      <c r="N41" s="31">
        <f>Project_Data_NYSE[[#This Row],[Gross Profit]]/Project_Data_NYSE[[#This Row],[ Total Revenue ]]</f>
        <v>0.30390111659683472</v>
      </c>
      <c r="O41" s="31">
        <f>Project_Data_NYSE[[#This Row],[Operating Profit]]/Project_Data_NYSE[[#This Row],[ Total Revenue ]]</f>
        <v>0.19594872220115514</v>
      </c>
      <c r="Q41" t="s">
        <v>96</v>
      </c>
    </row>
    <row r="42" spans="1:17" x14ac:dyDescent="0.2">
      <c r="A42">
        <v>40</v>
      </c>
      <c r="B42" t="s">
        <v>39</v>
      </c>
      <c r="C42" t="s">
        <v>11</v>
      </c>
      <c r="D42" s="48">
        <v>41305</v>
      </c>
      <c r="E42" s="3">
        <v>2312200000</v>
      </c>
      <c r="F42" s="3">
        <v>238500000</v>
      </c>
      <c r="G42" s="3">
        <f>Project_Data_NYSE[[#This Row],[ Total Revenue ]]-Project_Data_NYSE[[#This Row],[ Cost of Goods Sold ]]</f>
        <v>2073700000</v>
      </c>
      <c r="H42" s="3">
        <v>1081800000</v>
      </c>
      <c r="I42" s="3">
        <v>600000000</v>
      </c>
      <c r="J42" s="3">
        <v>42100000</v>
      </c>
      <c r="K42" s="3">
        <f>Project_Data_NYSE[[#This Row],[Gross Profit]]-Project_Data_NYSE[[#This Row],[ Sales, General and Admin. ]]-Project_Data_NYSE[[#This Row],[ Research and Development ]]-Project_Data_NYSE[[#This Row],[ Other Operating Items ]]</f>
        <v>349800000</v>
      </c>
      <c r="L42" t="s">
        <v>21</v>
      </c>
      <c r="M42" t="s">
        <v>31</v>
      </c>
      <c r="N42" s="31">
        <f>Project_Data_NYSE[[#This Row],[Gross Profit]]/Project_Data_NYSE[[#This Row],[ Total Revenue ]]</f>
        <v>0.89685148343568899</v>
      </c>
      <c r="O42" s="31">
        <f>Project_Data_NYSE[[#This Row],[Operating Profit]]/Project_Data_NYSE[[#This Row],[ Total Revenue ]]</f>
        <v>0.15128449096098953</v>
      </c>
      <c r="Q42" t="s">
        <v>98</v>
      </c>
    </row>
    <row r="43" spans="1:17" x14ac:dyDescent="0.2">
      <c r="A43">
        <v>41</v>
      </c>
      <c r="B43" t="s">
        <v>39</v>
      </c>
      <c r="C43" t="s">
        <v>14</v>
      </c>
      <c r="D43" s="48">
        <v>41670</v>
      </c>
      <c r="E43" s="3">
        <v>2273900000</v>
      </c>
      <c r="F43" s="3">
        <v>274300000</v>
      </c>
      <c r="G43" s="3">
        <f>Project_Data_NYSE[[#This Row],[ Total Revenue ]]-Project_Data_NYSE[[#This Row],[ Cost of Goods Sold ]]</f>
        <v>1999600000</v>
      </c>
      <c r="H43" s="3">
        <v>1054400000</v>
      </c>
      <c r="I43" s="3">
        <v>611100000</v>
      </c>
      <c r="J43" s="3">
        <v>36500000</v>
      </c>
      <c r="K43" s="3">
        <f>Project_Data_NYSE[[#This Row],[Gross Profit]]-Project_Data_NYSE[[#This Row],[ Sales, General and Admin. ]]-Project_Data_NYSE[[#This Row],[ Research and Development ]]-Project_Data_NYSE[[#This Row],[ Other Operating Items ]]</f>
        <v>297600000</v>
      </c>
      <c r="L43" t="s">
        <v>21</v>
      </c>
      <c r="M43" t="s">
        <v>31</v>
      </c>
      <c r="N43" s="31">
        <f>Project_Data_NYSE[[#This Row],[Gross Profit]]/Project_Data_NYSE[[#This Row],[ Total Revenue ]]</f>
        <v>0.87937024495360394</v>
      </c>
      <c r="O43" s="31">
        <f>Project_Data_NYSE[[#This Row],[Operating Profit]]/Project_Data_NYSE[[#This Row],[ Total Revenue ]]</f>
        <v>0.1308764677426448</v>
      </c>
      <c r="Q43" t="s">
        <v>100</v>
      </c>
    </row>
    <row r="44" spans="1:17" x14ac:dyDescent="0.2">
      <c r="A44">
        <v>42</v>
      </c>
      <c r="B44" t="s">
        <v>39</v>
      </c>
      <c r="C44" t="s">
        <v>15</v>
      </c>
      <c r="D44" s="48">
        <v>42035</v>
      </c>
      <c r="E44" s="3">
        <v>2512200000</v>
      </c>
      <c r="F44" s="3">
        <v>342100000</v>
      </c>
      <c r="G44" s="3">
        <f>Project_Data_NYSE[[#This Row],[ Total Revenue ]]-Project_Data_NYSE[[#This Row],[ Cost of Goods Sold ]]</f>
        <v>2170100000</v>
      </c>
      <c r="H44" s="3">
        <v>1281300000</v>
      </c>
      <c r="I44" s="3">
        <v>725200000</v>
      </c>
      <c r="J44" s="3">
        <v>39800000</v>
      </c>
      <c r="K44" s="3">
        <f>Project_Data_NYSE[[#This Row],[Gross Profit]]-Project_Data_NYSE[[#This Row],[ Sales, General and Admin. ]]-Project_Data_NYSE[[#This Row],[ Research and Development ]]-Project_Data_NYSE[[#This Row],[ Other Operating Items ]]</f>
        <v>123800000</v>
      </c>
      <c r="L44" t="s">
        <v>21</v>
      </c>
      <c r="M44" t="s">
        <v>31</v>
      </c>
      <c r="N44" s="31">
        <f>Project_Data_NYSE[[#This Row],[Gross Profit]]/Project_Data_NYSE[[#This Row],[ Total Revenue ]]</f>
        <v>0.86382453626303635</v>
      </c>
      <c r="O44" s="31">
        <f>Project_Data_NYSE[[#This Row],[Operating Profit]]/Project_Data_NYSE[[#This Row],[ Total Revenue ]]</f>
        <v>4.9279515962104926E-2</v>
      </c>
      <c r="Q44" t="s">
        <v>101</v>
      </c>
    </row>
    <row r="45" spans="1:17" x14ac:dyDescent="0.2">
      <c r="A45">
        <v>43</v>
      </c>
      <c r="B45" t="s">
        <v>39</v>
      </c>
      <c r="C45" t="s">
        <v>16</v>
      </c>
      <c r="D45" s="48">
        <v>42400</v>
      </c>
      <c r="E45" s="3">
        <v>2504100000</v>
      </c>
      <c r="F45" s="3">
        <v>370700000</v>
      </c>
      <c r="G45" s="3">
        <f>Project_Data_NYSE[[#This Row],[ Total Revenue ]]-Project_Data_NYSE[[#This Row],[ Cost of Goods Sold ]]</f>
        <v>2133400000</v>
      </c>
      <c r="H45" s="3">
        <v>1308900000</v>
      </c>
      <c r="I45" s="3">
        <v>790000000</v>
      </c>
      <c r="J45" s="3">
        <v>33200000</v>
      </c>
      <c r="K45" s="3">
        <f>Project_Data_NYSE[[#This Row],[Gross Profit]]-Project_Data_NYSE[[#This Row],[ Sales, General and Admin. ]]-Project_Data_NYSE[[#This Row],[ Research and Development ]]-Project_Data_NYSE[[#This Row],[ Other Operating Items ]]</f>
        <v>1300000</v>
      </c>
      <c r="L45" t="s">
        <v>21</v>
      </c>
      <c r="M45" t="s">
        <v>31</v>
      </c>
      <c r="N45" s="31">
        <f>Project_Data_NYSE[[#This Row],[Gross Profit]]/Project_Data_NYSE[[#This Row],[ Total Revenue ]]</f>
        <v>0.85196278103909584</v>
      </c>
      <c r="O45" s="31">
        <f>Project_Data_NYSE[[#This Row],[Operating Profit]]/Project_Data_NYSE[[#This Row],[ Total Revenue ]]</f>
        <v>5.1914859630206457E-4</v>
      </c>
      <c r="Q45" t="s">
        <v>102</v>
      </c>
    </row>
    <row r="46" spans="1:17" x14ac:dyDescent="0.2">
      <c r="A46">
        <v>44</v>
      </c>
      <c r="B46" t="s">
        <v>40</v>
      </c>
      <c r="C46" t="s">
        <v>11</v>
      </c>
      <c r="D46" s="48">
        <v>41274</v>
      </c>
      <c r="E46" s="3">
        <v>5781000000</v>
      </c>
      <c r="F46" s="3">
        <v>3477000000</v>
      </c>
      <c r="G46" s="3">
        <f>Project_Data_NYSE[[#This Row],[ Total Revenue ]]-Project_Data_NYSE[[#This Row],[ Cost of Goods Sold ]]</f>
        <v>2304000000</v>
      </c>
      <c r="H46" s="3">
        <v>443000000</v>
      </c>
      <c r="I46" s="3">
        <v>0</v>
      </c>
      <c r="J46" s="3">
        <v>673000000</v>
      </c>
      <c r="K46" s="3">
        <f>Project_Data_NYSE[[#This Row],[Gross Profit]]-Project_Data_NYSE[[#This Row],[ Sales, General and Admin. ]]-Project_Data_NYSE[[#This Row],[ Research and Development ]]-Project_Data_NYSE[[#This Row],[ Other Operating Items ]]</f>
        <v>1188000000</v>
      </c>
      <c r="L46" t="s">
        <v>41</v>
      </c>
      <c r="M46" t="s">
        <v>42</v>
      </c>
      <c r="N46" s="31">
        <f>Project_Data_NYSE[[#This Row],[Gross Profit]]/Project_Data_NYSE[[#This Row],[ Total Revenue ]]</f>
        <v>0.39854696419304619</v>
      </c>
      <c r="O46" s="31">
        <f>Project_Data_NYSE[[#This Row],[Operating Profit]]/Project_Data_NYSE[[#This Row],[ Total Revenue ]]</f>
        <v>0.20550077841203945</v>
      </c>
      <c r="Q46" t="s">
        <v>103</v>
      </c>
    </row>
    <row r="47" spans="1:17" x14ac:dyDescent="0.2">
      <c r="A47">
        <v>45</v>
      </c>
      <c r="B47" t="s">
        <v>40</v>
      </c>
      <c r="C47" t="s">
        <v>14</v>
      </c>
      <c r="D47" s="48">
        <v>41639</v>
      </c>
      <c r="E47" s="3">
        <v>5838000000</v>
      </c>
      <c r="F47" s="3">
        <v>3490000000</v>
      </c>
      <c r="G47" s="3">
        <f>Project_Data_NYSE[[#This Row],[ Total Revenue ]]-Project_Data_NYSE[[#This Row],[ Cost of Goods Sold ]]</f>
        <v>2348000000</v>
      </c>
      <c r="H47" s="3">
        <v>458000000</v>
      </c>
      <c r="I47" s="3">
        <v>0</v>
      </c>
      <c r="J47" s="3">
        <v>706000000</v>
      </c>
      <c r="K47" s="3">
        <f>Project_Data_NYSE[[#This Row],[Gross Profit]]-Project_Data_NYSE[[#This Row],[ Sales, General and Admin. ]]-Project_Data_NYSE[[#This Row],[ Research and Development ]]-Project_Data_NYSE[[#This Row],[ Other Operating Items ]]</f>
        <v>1184000000</v>
      </c>
      <c r="L47" t="s">
        <v>41</v>
      </c>
      <c r="M47" t="s">
        <v>42</v>
      </c>
      <c r="N47" s="31">
        <f>Project_Data_NYSE[[#This Row],[Gross Profit]]/Project_Data_NYSE[[#This Row],[ Total Revenue ]]</f>
        <v>0.40219253168893454</v>
      </c>
      <c r="O47" s="31">
        <f>Project_Data_NYSE[[#This Row],[Operating Profit]]/Project_Data_NYSE[[#This Row],[ Total Revenue ]]</f>
        <v>0.20280918122644742</v>
      </c>
      <c r="Q47" t="s">
        <v>105</v>
      </c>
    </row>
    <row r="48" spans="1:17" x14ac:dyDescent="0.2">
      <c r="A48">
        <v>46</v>
      </c>
      <c r="B48" t="s">
        <v>40</v>
      </c>
      <c r="C48" t="s">
        <v>15</v>
      </c>
      <c r="D48" s="48">
        <v>42004</v>
      </c>
      <c r="E48" s="3">
        <v>6053000000</v>
      </c>
      <c r="F48" s="3">
        <v>3586000000</v>
      </c>
      <c r="G48" s="3">
        <f>Project_Data_NYSE[[#This Row],[ Total Revenue ]]-Project_Data_NYSE[[#This Row],[ Cost of Goods Sold ]]</f>
        <v>2467000000</v>
      </c>
      <c r="H48" s="3">
        <v>468000000</v>
      </c>
      <c r="I48" s="3">
        <v>0</v>
      </c>
      <c r="J48" s="3">
        <v>745000000</v>
      </c>
      <c r="K48" s="3">
        <f>Project_Data_NYSE[[#This Row],[Gross Profit]]-Project_Data_NYSE[[#This Row],[ Sales, General and Admin. ]]-Project_Data_NYSE[[#This Row],[ Research and Development ]]-Project_Data_NYSE[[#This Row],[ Other Operating Items ]]</f>
        <v>1254000000</v>
      </c>
      <c r="L48" t="s">
        <v>41</v>
      </c>
      <c r="M48" t="s">
        <v>42</v>
      </c>
      <c r="N48" s="31">
        <f>Project_Data_NYSE[[#This Row],[Gross Profit]]/Project_Data_NYSE[[#This Row],[ Total Revenue ]]</f>
        <v>0.40756649595242028</v>
      </c>
      <c r="O48" s="31">
        <f>Project_Data_NYSE[[#This Row],[Operating Profit]]/Project_Data_NYSE[[#This Row],[ Total Revenue ]]</f>
        <v>0.20716999834792665</v>
      </c>
      <c r="Q48" t="s">
        <v>106</v>
      </c>
    </row>
    <row r="49" spans="1:17" x14ac:dyDescent="0.2">
      <c r="A49">
        <v>47</v>
      </c>
      <c r="B49" t="s">
        <v>40</v>
      </c>
      <c r="C49" t="s">
        <v>16</v>
      </c>
      <c r="D49" s="48">
        <v>42369</v>
      </c>
      <c r="E49" s="3">
        <v>6098000000</v>
      </c>
      <c r="F49" s="3">
        <v>3501000000</v>
      </c>
      <c r="G49" s="3">
        <f>Project_Data_NYSE[[#This Row],[ Total Revenue ]]-Project_Data_NYSE[[#This Row],[ Cost of Goods Sold ]]</f>
        <v>2597000000</v>
      </c>
      <c r="H49" s="3">
        <v>542000000</v>
      </c>
      <c r="I49" s="3">
        <v>0</v>
      </c>
      <c r="J49" s="3">
        <v>796000000</v>
      </c>
      <c r="K49" s="3">
        <f>Project_Data_NYSE[[#This Row],[Gross Profit]]-Project_Data_NYSE[[#This Row],[ Sales, General and Admin. ]]-Project_Data_NYSE[[#This Row],[ Research and Development ]]-Project_Data_NYSE[[#This Row],[ Other Operating Items ]]</f>
        <v>1259000000</v>
      </c>
      <c r="L49" t="s">
        <v>41</v>
      </c>
      <c r="M49" t="s">
        <v>42</v>
      </c>
      <c r="N49" s="31">
        <f>Project_Data_NYSE[[#This Row],[Gross Profit]]/Project_Data_NYSE[[#This Row],[ Total Revenue ]]</f>
        <v>0.42587733683174811</v>
      </c>
      <c r="O49" s="31">
        <f>Project_Data_NYSE[[#This Row],[Operating Profit]]/Project_Data_NYSE[[#This Row],[ Total Revenue ]]</f>
        <v>0.20646113479829453</v>
      </c>
      <c r="Q49" t="s">
        <v>107</v>
      </c>
    </row>
    <row r="50" spans="1:17" x14ac:dyDescent="0.2">
      <c r="A50">
        <v>48</v>
      </c>
      <c r="B50" t="s">
        <v>43</v>
      </c>
      <c r="C50" t="s">
        <v>11</v>
      </c>
      <c r="D50" s="48">
        <v>41274</v>
      </c>
      <c r="E50" s="3">
        <v>14945000000</v>
      </c>
      <c r="F50" s="3">
        <v>6395000000</v>
      </c>
      <c r="G50" s="3">
        <f>Project_Data_NYSE[[#This Row],[ Total Revenue ]]-Project_Data_NYSE[[#This Row],[ Cost of Goods Sold ]]</f>
        <v>8550000000</v>
      </c>
      <c r="H50" s="3">
        <v>3812000000</v>
      </c>
      <c r="I50" s="3">
        <v>0</v>
      </c>
      <c r="J50" s="3">
        <v>1782000000</v>
      </c>
      <c r="K50" s="3">
        <f>Project_Data_NYSE[[#This Row],[Gross Profit]]-Project_Data_NYSE[[#This Row],[ Sales, General and Admin. ]]-Project_Data_NYSE[[#This Row],[ Research and Development ]]-Project_Data_NYSE[[#This Row],[ Other Operating Items ]]</f>
        <v>2956000000</v>
      </c>
      <c r="L50" t="s">
        <v>41</v>
      </c>
      <c r="M50" t="s">
        <v>44</v>
      </c>
      <c r="N50" s="31">
        <f>Project_Data_NYSE[[#This Row],[Gross Profit]]/Project_Data_NYSE[[#This Row],[ Total Revenue ]]</f>
        <v>0.57209769153563061</v>
      </c>
      <c r="O50" s="31">
        <f>Project_Data_NYSE[[#This Row],[Operating Profit]]/Project_Data_NYSE[[#This Row],[ Total Revenue ]]</f>
        <v>0.19779190364670457</v>
      </c>
      <c r="Q50" t="s">
        <v>108</v>
      </c>
    </row>
    <row r="51" spans="1:17" x14ac:dyDescent="0.2">
      <c r="A51">
        <v>49</v>
      </c>
      <c r="B51" t="s">
        <v>43</v>
      </c>
      <c r="C51" t="s">
        <v>14</v>
      </c>
      <c r="D51" s="48">
        <v>41639</v>
      </c>
      <c r="E51" s="3">
        <v>14813500000</v>
      </c>
      <c r="F51" s="3">
        <v>6722300000</v>
      </c>
      <c r="G51" s="3">
        <f>Project_Data_NYSE[[#This Row],[ Total Revenue ]]-Project_Data_NYSE[[#This Row],[ Cost of Goods Sold ]]</f>
        <v>8091200000</v>
      </c>
      <c r="H51" s="3">
        <v>3329800000</v>
      </c>
      <c r="I51" s="3">
        <v>0</v>
      </c>
      <c r="J51" s="3">
        <v>1712500000</v>
      </c>
      <c r="K51" s="3">
        <f>Project_Data_NYSE[[#This Row],[Gross Profit]]-Project_Data_NYSE[[#This Row],[ Sales, General and Admin. ]]-Project_Data_NYSE[[#This Row],[ Research and Development ]]-Project_Data_NYSE[[#This Row],[ Other Operating Items ]]</f>
        <v>3048900000</v>
      </c>
      <c r="L51" t="s">
        <v>41</v>
      </c>
      <c r="M51" t="s">
        <v>44</v>
      </c>
      <c r="N51" s="31">
        <f>Project_Data_NYSE[[#This Row],[Gross Profit]]/Project_Data_NYSE[[#This Row],[ Total Revenue ]]</f>
        <v>0.54620447564721364</v>
      </c>
      <c r="O51" s="31">
        <f>Project_Data_NYSE[[#This Row],[Operating Profit]]/Project_Data_NYSE[[#This Row],[ Total Revenue ]]</f>
        <v>0.20581901643770883</v>
      </c>
      <c r="Q51" t="s">
        <v>110</v>
      </c>
    </row>
    <row r="52" spans="1:17" x14ac:dyDescent="0.2">
      <c r="A52">
        <v>50</v>
      </c>
      <c r="B52" t="s">
        <v>43</v>
      </c>
      <c r="C52" t="s">
        <v>15</v>
      </c>
      <c r="D52" s="48">
        <v>42004</v>
      </c>
      <c r="E52" s="3">
        <v>16378600000</v>
      </c>
      <c r="F52" s="3">
        <v>7685700000</v>
      </c>
      <c r="G52" s="3">
        <f>Project_Data_NYSE[[#This Row],[ Total Revenue ]]-Project_Data_NYSE[[#This Row],[ Cost of Goods Sold ]]</f>
        <v>8692900000</v>
      </c>
      <c r="H52" s="3">
        <v>3667900000</v>
      </c>
      <c r="I52" s="3">
        <v>0</v>
      </c>
      <c r="J52" s="3">
        <v>1897600000</v>
      </c>
      <c r="K52" s="3">
        <f>Project_Data_NYSE[[#This Row],[Gross Profit]]-Project_Data_NYSE[[#This Row],[ Sales, General and Admin. ]]-Project_Data_NYSE[[#This Row],[ Research and Development ]]-Project_Data_NYSE[[#This Row],[ Other Operating Items ]]</f>
        <v>3127400000</v>
      </c>
      <c r="L52" t="s">
        <v>41</v>
      </c>
      <c r="M52" t="s">
        <v>44</v>
      </c>
      <c r="N52" s="31">
        <f>Project_Data_NYSE[[#This Row],[Gross Profit]]/Project_Data_NYSE[[#This Row],[ Total Revenue ]]</f>
        <v>0.53074743873102703</v>
      </c>
      <c r="O52" s="31">
        <f>Project_Data_NYSE[[#This Row],[Operating Profit]]/Project_Data_NYSE[[#This Row],[ Total Revenue ]]</f>
        <v>0.19094428095197391</v>
      </c>
      <c r="Q52" t="s">
        <v>111</v>
      </c>
    </row>
    <row r="53" spans="1:17" x14ac:dyDescent="0.2">
      <c r="A53">
        <v>51</v>
      </c>
      <c r="B53" t="s">
        <v>43</v>
      </c>
      <c r="C53" t="s">
        <v>16</v>
      </c>
      <c r="D53" s="48">
        <v>42369</v>
      </c>
      <c r="E53" s="3">
        <v>16453200000</v>
      </c>
      <c r="F53" s="3">
        <v>7433500000</v>
      </c>
      <c r="G53" s="3">
        <f>Project_Data_NYSE[[#This Row],[ Total Revenue ]]-Project_Data_NYSE[[#This Row],[ Cost of Goods Sold ]]</f>
        <v>9019700000</v>
      </c>
      <c r="H53" s="3">
        <v>3676500000</v>
      </c>
      <c r="I53" s="3">
        <v>0</v>
      </c>
      <c r="J53" s="3">
        <v>2009700000</v>
      </c>
      <c r="K53" s="3">
        <f>Project_Data_NYSE[[#This Row],[Gross Profit]]-Project_Data_NYSE[[#This Row],[ Sales, General and Admin. ]]-Project_Data_NYSE[[#This Row],[ Research and Development ]]-Project_Data_NYSE[[#This Row],[ Other Operating Items ]]</f>
        <v>3333500000</v>
      </c>
      <c r="L53" t="s">
        <v>41</v>
      </c>
      <c r="M53" t="s">
        <v>44</v>
      </c>
      <c r="N53" s="31">
        <f>Project_Data_NYSE[[#This Row],[Gross Profit]]/Project_Data_NYSE[[#This Row],[ Total Revenue ]]</f>
        <v>0.54820338900639387</v>
      </c>
      <c r="O53" s="31">
        <f>Project_Data_NYSE[[#This Row],[Operating Profit]]/Project_Data_NYSE[[#This Row],[ Total Revenue ]]</f>
        <v>0.20260496438382808</v>
      </c>
      <c r="Q53" t="s">
        <v>112</v>
      </c>
    </row>
    <row r="54" spans="1:17" x14ac:dyDescent="0.2">
      <c r="A54">
        <v>52</v>
      </c>
      <c r="B54" t="s">
        <v>45</v>
      </c>
      <c r="C54" t="s">
        <v>11</v>
      </c>
      <c r="D54" s="48">
        <v>41274</v>
      </c>
      <c r="E54" s="3">
        <v>25364000000</v>
      </c>
      <c r="F54" s="3">
        <v>17074000000</v>
      </c>
      <c r="G54" s="3">
        <f>Project_Data_NYSE[[#This Row],[ Total Revenue ]]-Project_Data_NYSE[[#This Row],[ Cost of Goods Sold ]]</f>
        <v>8290000000</v>
      </c>
      <c r="H54" s="3">
        <v>0</v>
      </c>
      <c r="I54" s="3">
        <v>0</v>
      </c>
      <c r="J54" s="3">
        <v>3727000000</v>
      </c>
      <c r="K54" s="3">
        <f>Project_Data_NYSE[[#This Row],[Gross Profit]]-Project_Data_NYSE[[#This Row],[ Sales, General and Admin. ]]-Project_Data_NYSE[[#This Row],[ Research and Development ]]-Project_Data_NYSE[[#This Row],[ Other Operating Items ]]</f>
        <v>4563000000</v>
      </c>
      <c r="L54" t="s">
        <v>46</v>
      </c>
      <c r="M54" t="s">
        <v>47</v>
      </c>
      <c r="N54" s="31">
        <f>Project_Data_NYSE[[#This Row],[Gross Profit]]/Project_Data_NYSE[[#This Row],[ Total Revenue ]]</f>
        <v>0.32684119224097147</v>
      </c>
      <c r="O54" s="31">
        <f>Project_Data_NYSE[[#This Row],[Operating Profit]]/Project_Data_NYSE[[#This Row],[ Total Revenue ]]</f>
        <v>0.17990064658571203</v>
      </c>
      <c r="Q54" t="s">
        <v>114</v>
      </c>
    </row>
    <row r="55" spans="1:17" x14ac:dyDescent="0.2">
      <c r="A55">
        <v>53</v>
      </c>
      <c r="B55" t="s">
        <v>45</v>
      </c>
      <c r="C55" t="s">
        <v>14</v>
      </c>
      <c r="D55" s="48">
        <v>41639</v>
      </c>
      <c r="E55" s="3">
        <v>23939000000</v>
      </c>
      <c r="F55" s="3">
        <v>15341000000</v>
      </c>
      <c r="G55" s="3">
        <f>Project_Data_NYSE[[#This Row],[ Total Revenue ]]-Project_Data_NYSE[[#This Row],[ Cost of Goods Sold ]]</f>
        <v>8598000000</v>
      </c>
      <c r="H55" s="3">
        <v>0</v>
      </c>
      <c r="I55" s="3">
        <v>0</v>
      </c>
      <c r="J55" s="3">
        <v>3489000000</v>
      </c>
      <c r="K55" s="3">
        <f>Project_Data_NYSE[[#This Row],[Gross Profit]]-Project_Data_NYSE[[#This Row],[ Sales, General and Admin. ]]-Project_Data_NYSE[[#This Row],[ Research and Development ]]-Project_Data_NYSE[[#This Row],[ Other Operating Items ]]</f>
        <v>5109000000</v>
      </c>
      <c r="L55" t="s">
        <v>46</v>
      </c>
      <c r="M55" t="s">
        <v>47</v>
      </c>
      <c r="N55" s="31">
        <f>Project_Data_NYSE[[#This Row],[Gross Profit]]/Project_Data_NYSE[[#This Row],[ Total Revenue ]]</f>
        <v>0.35916287230043026</v>
      </c>
      <c r="O55" s="31">
        <f>Project_Data_NYSE[[#This Row],[Operating Profit]]/Project_Data_NYSE[[#This Row],[ Total Revenue ]]</f>
        <v>0.21341743598312377</v>
      </c>
      <c r="Q55" t="s">
        <v>115</v>
      </c>
    </row>
    <row r="56" spans="1:17" x14ac:dyDescent="0.2">
      <c r="A56">
        <v>54</v>
      </c>
      <c r="B56" t="s">
        <v>45</v>
      </c>
      <c r="C56" t="s">
        <v>15</v>
      </c>
      <c r="D56" s="48">
        <v>42004</v>
      </c>
      <c r="E56" s="3">
        <v>22728000000</v>
      </c>
      <c r="F56" s="3">
        <v>14373000000</v>
      </c>
      <c r="G56" s="3">
        <f>Project_Data_NYSE[[#This Row],[ Total Revenue ]]-Project_Data_NYSE[[#This Row],[ Cost of Goods Sold ]]</f>
        <v>8355000000</v>
      </c>
      <c r="H56" s="3">
        <v>0</v>
      </c>
      <c r="I56" s="3">
        <v>0</v>
      </c>
      <c r="J56" s="3">
        <v>3547000000</v>
      </c>
      <c r="K56" s="3">
        <f>Project_Data_NYSE[[#This Row],[Gross Profit]]-Project_Data_NYSE[[#This Row],[ Sales, General and Admin. ]]-Project_Data_NYSE[[#This Row],[ Research and Development ]]-Project_Data_NYSE[[#This Row],[ Other Operating Items ]]</f>
        <v>4808000000</v>
      </c>
      <c r="L56" t="s">
        <v>46</v>
      </c>
      <c r="M56" t="s">
        <v>47</v>
      </c>
      <c r="N56" s="31">
        <f>Project_Data_NYSE[[#This Row],[Gross Profit]]/Project_Data_NYSE[[#This Row],[ Total Revenue ]]</f>
        <v>0.36760823653643082</v>
      </c>
      <c r="O56" s="31">
        <f>Project_Data_NYSE[[#This Row],[Operating Profit]]/Project_Data_NYSE[[#This Row],[ Total Revenue ]]</f>
        <v>0.21154523055262231</v>
      </c>
      <c r="Q56" t="s">
        <v>117</v>
      </c>
    </row>
    <row r="57" spans="1:17" x14ac:dyDescent="0.2">
      <c r="A57">
        <v>55</v>
      </c>
      <c r="B57" t="s">
        <v>45</v>
      </c>
      <c r="C57" t="s">
        <v>16</v>
      </c>
      <c r="D57" s="48">
        <v>42369</v>
      </c>
      <c r="E57" s="3">
        <v>20872000000</v>
      </c>
      <c r="F57" s="3">
        <v>13049000000</v>
      </c>
      <c r="G57" s="3">
        <f>Project_Data_NYSE[[#This Row],[ Total Revenue ]]-Project_Data_NYSE[[#This Row],[ Cost of Goods Sold ]]</f>
        <v>7823000000</v>
      </c>
      <c r="H57" s="3">
        <v>0</v>
      </c>
      <c r="I57" s="3">
        <v>0</v>
      </c>
      <c r="J57" s="3">
        <v>3672000000</v>
      </c>
      <c r="K57" s="3">
        <f>Project_Data_NYSE[[#This Row],[Gross Profit]]-Project_Data_NYSE[[#This Row],[ Sales, General and Admin. ]]-Project_Data_NYSE[[#This Row],[ Research and Development ]]-Project_Data_NYSE[[#This Row],[ Other Operating Items ]]</f>
        <v>4151000000</v>
      </c>
      <c r="L57" t="s">
        <v>46</v>
      </c>
      <c r="M57" t="s">
        <v>47</v>
      </c>
      <c r="N57" s="31">
        <f>Project_Data_NYSE[[#This Row],[Gross Profit]]/Project_Data_NYSE[[#This Row],[ Total Revenue ]]</f>
        <v>0.37480835569183596</v>
      </c>
      <c r="O57" s="31">
        <f>Project_Data_NYSE[[#This Row],[Operating Profit]]/Project_Data_NYSE[[#This Row],[ Total Revenue ]]</f>
        <v>0.19887888079724031</v>
      </c>
      <c r="Q57" t="s">
        <v>118</v>
      </c>
    </row>
    <row r="58" spans="1:17" x14ac:dyDescent="0.2">
      <c r="A58">
        <v>56</v>
      </c>
      <c r="B58" t="s">
        <v>48</v>
      </c>
      <c r="C58" t="s">
        <v>11</v>
      </c>
      <c r="D58" s="48">
        <v>41274</v>
      </c>
      <c r="E58" s="3">
        <v>71214000000</v>
      </c>
      <c r="F58" s="3">
        <v>37745000000</v>
      </c>
      <c r="G58" s="3">
        <f>Project_Data_NYSE[[#This Row],[ Total Revenue ]]-Project_Data_NYSE[[#This Row],[ Cost of Goods Sold ]]</f>
        <v>33469000000</v>
      </c>
      <c r="H58" s="3">
        <v>21491000000</v>
      </c>
      <c r="I58" s="3">
        <v>0</v>
      </c>
      <c r="J58" s="3">
        <v>0</v>
      </c>
      <c r="K58" s="3">
        <f>Project_Data_NYSE[[#This Row],[Gross Profit]]-Project_Data_NYSE[[#This Row],[ Sales, General and Admin. ]]-Project_Data_NYSE[[#This Row],[ Research and Development ]]-Project_Data_NYSE[[#This Row],[ Other Operating Items ]]</f>
        <v>11978000000</v>
      </c>
      <c r="L58" t="s">
        <v>46</v>
      </c>
      <c r="M58" t="s">
        <v>49</v>
      </c>
      <c r="N58" s="31">
        <f>Project_Data_NYSE[[#This Row],[Gross Profit]]/Project_Data_NYSE[[#This Row],[ Total Revenue ]]</f>
        <v>0.46997781335130734</v>
      </c>
      <c r="O58" s="31">
        <f>Project_Data_NYSE[[#This Row],[Operating Profit]]/Project_Data_NYSE[[#This Row],[ Total Revenue ]]</f>
        <v>0.16819726458280676</v>
      </c>
      <c r="Q58" t="s">
        <v>119</v>
      </c>
    </row>
    <row r="59" spans="1:17" x14ac:dyDescent="0.2">
      <c r="A59">
        <v>57</v>
      </c>
      <c r="B59" t="s">
        <v>48</v>
      </c>
      <c r="C59" t="s">
        <v>14</v>
      </c>
      <c r="D59" s="48">
        <v>41639</v>
      </c>
      <c r="E59" s="3">
        <v>68874000000</v>
      </c>
      <c r="F59" s="3">
        <v>34660000000</v>
      </c>
      <c r="G59" s="3">
        <f>Project_Data_NYSE[[#This Row],[ Total Revenue ]]-Project_Data_NYSE[[#This Row],[ Cost of Goods Sold ]]</f>
        <v>34214000000</v>
      </c>
      <c r="H59" s="3">
        <v>22005000000</v>
      </c>
      <c r="I59" s="3">
        <v>0</v>
      </c>
      <c r="J59" s="3">
        <v>0</v>
      </c>
      <c r="K59" s="3">
        <f>Project_Data_NYSE[[#This Row],[Gross Profit]]-Project_Data_NYSE[[#This Row],[ Sales, General and Admin. ]]-Project_Data_NYSE[[#This Row],[ Research and Development ]]-Project_Data_NYSE[[#This Row],[ Other Operating Items ]]</f>
        <v>12209000000</v>
      </c>
      <c r="L59" t="s">
        <v>46</v>
      </c>
      <c r="M59" t="s">
        <v>49</v>
      </c>
      <c r="N59" s="31">
        <f>Project_Data_NYSE[[#This Row],[Gross Profit]]/Project_Data_NYSE[[#This Row],[ Total Revenue ]]</f>
        <v>0.49676220344397015</v>
      </c>
      <c r="O59" s="31">
        <f>Project_Data_NYSE[[#This Row],[Operating Profit]]/Project_Data_NYSE[[#This Row],[ Total Revenue ]]</f>
        <v>0.17726573162586753</v>
      </c>
      <c r="Q59" t="s">
        <v>121</v>
      </c>
    </row>
    <row r="60" spans="1:17" x14ac:dyDescent="0.2">
      <c r="A60">
        <v>58</v>
      </c>
      <c r="B60" t="s">
        <v>48</v>
      </c>
      <c r="C60" t="s">
        <v>15</v>
      </c>
      <c r="D60" s="48">
        <v>42004</v>
      </c>
      <c r="E60" s="3">
        <v>64406000000</v>
      </c>
      <c r="F60" s="3">
        <v>33611000000</v>
      </c>
      <c r="G60" s="3">
        <f>Project_Data_NYSE[[#This Row],[ Total Revenue ]]-Project_Data_NYSE[[#This Row],[ Cost of Goods Sold ]]</f>
        <v>30795000000</v>
      </c>
      <c r="H60" s="3">
        <v>18491000000</v>
      </c>
      <c r="I60" s="3">
        <v>0</v>
      </c>
      <c r="J60" s="3">
        <v>0</v>
      </c>
      <c r="K60" s="3">
        <f>Project_Data_NYSE[[#This Row],[Gross Profit]]-Project_Data_NYSE[[#This Row],[ Sales, General and Admin. ]]-Project_Data_NYSE[[#This Row],[ Research and Development ]]-Project_Data_NYSE[[#This Row],[ Other Operating Items ]]</f>
        <v>12304000000</v>
      </c>
      <c r="L60" t="s">
        <v>46</v>
      </c>
      <c r="M60" t="s">
        <v>49</v>
      </c>
      <c r="N60" s="31">
        <f>Project_Data_NYSE[[#This Row],[Gross Profit]]/Project_Data_NYSE[[#This Row],[ Total Revenue ]]</f>
        <v>0.47813868273142252</v>
      </c>
      <c r="O60" s="31">
        <f>Project_Data_NYSE[[#This Row],[Operating Profit]]/Project_Data_NYSE[[#This Row],[ Total Revenue ]]</f>
        <v>0.19103810204018259</v>
      </c>
      <c r="Q60" t="s">
        <v>122</v>
      </c>
    </row>
    <row r="61" spans="1:17" x14ac:dyDescent="0.2">
      <c r="A61">
        <v>59</v>
      </c>
      <c r="B61" t="s">
        <v>48</v>
      </c>
      <c r="C61" t="s">
        <v>16</v>
      </c>
      <c r="D61" s="48">
        <v>42369</v>
      </c>
      <c r="E61" s="3">
        <v>58327000000</v>
      </c>
      <c r="F61" s="3">
        <v>36581000000</v>
      </c>
      <c r="G61" s="3">
        <f>Project_Data_NYSE[[#This Row],[ Total Revenue ]]-Project_Data_NYSE[[#This Row],[ Cost of Goods Sold ]]</f>
        <v>21746000000</v>
      </c>
      <c r="H61" s="3">
        <v>16417000000</v>
      </c>
      <c r="I61" s="3">
        <v>0</v>
      </c>
      <c r="J61" s="3">
        <v>0</v>
      </c>
      <c r="K61" s="3">
        <f>Project_Data_NYSE[[#This Row],[Gross Profit]]-Project_Data_NYSE[[#This Row],[ Sales, General and Admin. ]]-Project_Data_NYSE[[#This Row],[ Research and Development ]]-Project_Data_NYSE[[#This Row],[ Other Operating Items ]]</f>
        <v>5329000000</v>
      </c>
      <c r="L61" t="s">
        <v>46</v>
      </c>
      <c r="M61" t="s">
        <v>49</v>
      </c>
      <c r="N61" s="31">
        <f>Project_Data_NYSE[[#This Row],[Gross Profit]]/Project_Data_NYSE[[#This Row],[ Total Revenue ]]</f>
        <v>0.37282905001114408</v>
      </c>
      <c r="O61" s="31">
        <f>Project_Data_NYSE[[#This Row],[Operating Profit]]/Project_Data_NYSE[[#This Row],[ Total Revenue ]]</f>
        <v>9.1364205256570713E-2</v>
      </c>
      <c r="Q61" t="s">
        <v>124</v>
      </c>
    </row>
    <row r="62" spans="1:17" x14ac:dyDescent="0.2">
      <c r="A62">
        <v>60</v>
      </c>
      <c r="B62" t="s">
        <v>50</v>
      </c>
      <c r="C62" t="s">
        <v>11</v>
      </c>
      <c r="D62" s="48">
        <v>41274</v>
      </c>
      <c r="E62" s="3">
        <v>958511000</v>
      </c>
      <c r="F62" s="3">
        <v>386355000</v>
      </c>
      <c r="G62" s="3">
        <f>Project_Data_NYSE[[#This Row],[ Total Revenue ]]-Project_Data_NYSE[[#This Row],[ Cost of Goods Sold ]]</f>
        <v>572156000</v>
      </c>
      <c r="H62" s="3">
        <v>61732000</v>
      </c>
      <c r="I62" s="3">
        <v>0</v>
      </c>
      <c r="J62" s="3">
        <v>325173000</v>
      </c>
      <c r="K62" s="3">
        <f>Project_Data_NYSE[[#This Row],[Gross Profit]]-Project_Data_NYSE[[#This Row],[ Sales, General and Admin. ]]-Project_Data_NYSE[[#This Row],[ Research and Development ]]-Project_Data_NYSE[[#This Row],[ Other Operating Items ]]</f>
        <v>185251000</v>
      </c>
      <c r="L62" t="s">
        <v>51</v>
      </c>
      <c r="M62" t="s">
        <v>52</v>
      </c>
      <c r="N62" s="31">
        <f>Project_Data_NYSE[[#This Row],[Gross Profit]]/Project_Data_NYSE[[#This Row],[ Total Revenue ]]</f>
        <v>0.59692168373654553</v>
      </c>
      <c r="O62" s="31">
        <f>Project_Data_NYSE[[#This Row],[Operating Profit]]/Project_Data_NYSE[[#This Row],[ Total Revenue ]]</f>
        <v>0.19326956080837884</v>
      </c>
      <c r="Q62" t="s">
        <v>125</v>
      </c>
    </row>
    <row r="63" spans="1:17" x14ac:dyDescent="0.2">
      <c r="A63">
        <v>61</v>
      </c>
      <c r="B63" t="s">
        <v>50</v>
      </c>
      <c r="C63" t="s">
        <v>14</v>
      </c>
      <c r="D63" s="48">
        <v>41639</v>
      </c>
      <c r="E63" s="3">
        <v>974053000</v>
      </c>
      <c r="F63" s="3">
        <v>380051000</v>
      </c>
      <c r="G63" s="3">
        <f>Project_Data_NYSE[[#This Row],[ Total Revenue ]]-Project_Data_NYSE[[#This Row],[ Cost of Goods Sold ]]</f>
        <v>594002000</v>
      </c>
      <c r="H63" s="3">
        <v>53073000</v>
      </c>
      <c r="I63" s="3">
        <v>0</v>
      </c>
      <c r="J63" s="3">
        <v>291910000</v>
      </c>
      <c r="K63" s="3">
        <f>Project_Data_NYSE[[#This Row],[Gross Profit]]-Project_Data_NYSE[[#This Row],[ Sales, General and Admin. ]]-Project_Data_NYSE[[#This Row],[ Research and Development ]]-Project_Data_NYSE[[#This Row],[ Other Operating Items ]]</f>
        <v>249019000</v>
      </c>
      <c r="L63" t="s">
        <v>51</v>
      </c>
      <c r="M63" t="s">
        <v>52</v>
      </c>
      <c r="N63" s="31">
        <f>Project_Data_NYSE[[#This Row],[Gross Profit]]/Project_Data_NYSE[[#This Row],[ Total Revenue ]]</f>
        <v>0.6098251327186508</v>
      </c>
      <c r="O63" s="31">
        <f>Project_Data_NYSE[[#This Row],[Operating Profit]]/Project_Data_NYSE[[#This Row],[ Total Revenue ]]</f>
        <v>0.25565241316437609</v>
      </c>
      <c r="Q63" t="s">
        <v>127</v>
      </c>
    </row>
    <row r="64" spans="1:17" x14ac:dyDescent="0.2">
      <c r="A64">
        <v>62</v>
      </c>
      <c r="B64" t="s">
        <v>50</v>
      </c>
      <c r="C64" t="s">
        <v>15</v>
      </c>
      <c r="D64" s="48">
        <v>42004</v>
      </c>
      <c r="E64" s="3">
        <v>984363000</v>
      </c>
      <c r="F64" s="3">
        <v>380964000</v>
      </c>
      <c r="G64" s="3">
        <f>Project_Data_NYSE[[#This Row],[ Total Revenue ]]-Project_Data_NYSE[[#This Row],[ Cost of Goods Sold ]]</f>
        <v>603399000</v>
      </c>
      <c r="H64" s="3">
        <v>56621000</v>
      </c>
      <c r="I64" s="3">
        <v>0</v>
      </c>
      <c r="J64" s="3">
        <v>282608000</v>
      </c>
      <c r="K64" s="3">
        <f>Project_Data_NYSE[[#This Row],[Gross Profit]]-Project_Data_NYSE[[#This Row],[ Sales, General and Admin. ]]-Project_Data_NYSE[[#This Row],[ Research and Development ]]-Project_Data_NYSE[[#This Row],[ Other Operating Items ]]</f>
        <v>264170000</v>
      </c>
      <c r="L64" t="s">
        <v>51</v>
      </c>
      <c r="M64" t="s">
        <v>52</v>
      </c>
      <c r="N64" s="31">
        <f>Project_Data_NYSE[[#This Row],[Gross Profit]]/Project_Data_NYSE[[#This Row],[ Total Revenue ]]</f>
        <v>0.61298423447447736</v>
      </c>
      <c r="O64" s="31">
        <f>Project_Data_NYSE[[#This Row],[Operating Profit]]/Project_Data_NYSE[[#This Row],[ Total Revenue ]]</f>
        <v>0.2683664461179463</v>
      </c>
      <c r="Q64" t="s">
        <v>128</v>
      </c>
    </row>
    <row r="65" spans="1:17" x14ac:dyDescent="0.2">
      <c r="A65">
        <v>63</v>
      </c>
      <c r="B65" t="s">
        <v>50</v>
      </c>
      <c r="C65" t="s">
        <v>16</v>
      </c>
      <c r="D65" s="48">
        <v>42369</v>
      </c>
      <c r="E65" s="3">
        <v>981310000</v>
      </c>
      <c r="F65" s="3">
        <v>365248000</v>
      </c>
      <c r="G65" s="3">
        <f>Project_Data_NYSE[[#This Row],[ Total Revenue ]]-Project_Data_NYSE[[#This Row],[ Cost of Goods Sold ]]</f>
        <v>616062000</v>
      </c>
      <c r="H65" s="3">
        <v>53546000</v>
      </c>
      <c r="I65" s="3">
        <v>0</v>
      </c>
      <c r="J65" s="3">
        <v>306301000</v>
      </c>
      <c r="K65" s="3">
        <f>Project_Data_NYSE[[#This Row],[Gross Profit]]-Project_Data_NYSE[[#This Row],[ Sales, General and Admin. ]]-Project_Data_NYSE[[#This Row],[ Research and Development ]]-Project_Data_NYSE[[#This Row],[ Other Operating Items ]]</f>
        <v>256215000</v>
      </c>
      <c r="L65" t="s">
        <v>51</v>
      </c>
      <c r="M65" t="s">
        <v>52</v>
      </c>
      <c r="N65" s="31">
        <f>Project_Data_NYSE[[#This Row],[Gross Profit]]/Project_Data_NYSE[[#This Row],[ Total Revenue ]]</f>
        <v>0.62779549785490818</v>
      </c>
      <c r="O65" s="31">
        <f>Project_Data_NYSE[[#This Row],[Operating Profit]]/Project_Data_NYSE[[#This Row],[ Total Revenue ]]</f>
        <v>0.26109486298926943</v>
      </c>
      <c r="Q65" t="s">
        <v>130</v>
      </c>
    </row>
    <row r="66" spans="1:17" x14ac:dyDescent="0.2">
      <c r="A66">
        <v>64</v>
      </c>
      <c r="B66" t="s">
        <v>53</v>
      </c>
      <c r="C66" t="s">
        <v>11</v>
      </c>
      <c r="D66" s="48">
        <v>41639</v>
      </c>
      <c r="E66" s="3">
        <v>9047657000</v>
      </c>
      <c r="F66" s="3">
        <v>6709936000</v>
      </c>
      <c r="G66" s="3">
        <f>Project_Data_NYSE[[#This Row],[ Total Revenue ]]-Project_Data_NYSE[[#This Row],[ Cost of Goods Sold ]]</f>
        <v>2337721000</v>
      </c>
      <c r="H66" s="3">
        <v>0</v>
      </c>
      <c r="I66" s="3">
        <v>0</v>
      </c>
      <c r="J66" s="3">
        <v>1470287000</v>
      </c>
      <c r="K66" s="3">
        <f>Project_Data_NYSE[[#This Row],[Gross Profit]]-Project_Data_NYSE[[#This Row],[ Sales, General and Admin. ]]-Project_Data_NYSE[[#This Row],[ Research and Development ]]-Project_Data_NYSE[[#This Row],[ Other Operating Items ]]</f>
        <v>867434000</v>
      </c>
      <c r="L66" t="s">
        <v>46</v>
      </c>
      <c r="M66" t="s">
        <v>54</v>
      </c>
      <c r="N66" s="31">
        <f>Project_Data_NYSE[[#This Row],[Gross Profit]]/Project_Data_NYSE[[#This Row],[ Total Revenue ]]</f>
        <v>0.25837860564342791</v>
      </c>
      <c r="O66" s="31">
        <f>Project_Data_NYSE[[#This Row],[Operating Profit]]/Project_Data_NYSE[[#This Row],[ Total Revenue ]]</f>
        <v>9.5873882044821113E-2</v>
      </c>
      <c r="Q66" t="s">
        <v>131</v>
      </c>
    </row>
    <row r="67" spans="1:17" x14ac:dyDescent="0.2">
      <c r="A67">
        <v>65</v>
      </c>
      <c r="B67" t="s">
        <v>53</v>
      </c>
      <c r="C67" t="s">
        <v>14</v>
      </c>
      <c r="D67" s="48">
        <v>42004</v>
      </c>
      <c r="E67" s="3">
        <v>10381653000</v>
      </c>
      <c r="F67" s="3">
        <v>8093563000</v>
      </c>
      <c r="G67" s="3">
        <f>Project_Data_NYSE[[#This Row],[ Total Revenue ]]-Project_Data_NYSE[[#This Row],[ Cost of Goods Sold ]]</f>
        <v>2288090000</v>
      </c>
      <c r="H67" s="3">
        <v>0</v>
      </c>
      <c r="I67" s="3">
        <v>0</v>
      </c>
      <c r="J67" s="3">
        <v>1485558000</v>
      </c>
      <c r="K67" s="3">
        <f>Project_Data_NYSE[[#This Row],[Gross Profit]]-Project_Data_NYSE[[#This Row],[ Sales, General and Admin. ]]-Project_Data_NYSE[[#This Row],[ Research and Development ]]-Project_Data_NYSE[[#This Row],[ Other Operating Items ]]</f>
        <v>802532000</v>
      </c>
      <c r="L67" t="s">
        <v>46</v>
      </c>
      <c r="M67" t="s">
        <v>54</v>
      </c>
      <c r="N67" s="31">
        <f>Project_Data_NYSE[[#This Row],[Gross Profit]]/Project_Data_NYSE[[#This Row],[ Total Revenue ]]</f>
        <v>0.22039746464267299</v>
      </c>
      <c r="O67" s="31">
        <f>Project_Data_NYSE[[#This Row],[Operating Profit]]/Project_Data_NYSE[[#This Row],[ Total Revenue ]]</f>
        <v>7.7302911203061792E-2</v>
      </c>
      <c r="Q67" t="s">
        <v>133</v>
      </c>
    </row>
    <row r="68" spans="1:17" x14ac:dyDescent="0.2">
      <c r="A68">
        <v>66</v>
      </c>
      <c r="B68" t="s">
        <v>53</v>
      </c>
      <c r="C68" t="s">
        <v>15</v>
      </c>
      <c r="D68" s="48">
        <v>42369</v>
      </c>
      <c r="E68" s="3">
        <v>10325494000</v>
      </c>
      <c r="F68" s="3">
        <v>8666624000</v>
      </c>
      <c r="G68" s="3">
        <f>Project_Data_NYSE[[#This Row],[ Total Revenue ]]-Project_Data_NYSE[[#This Row],[ Cost of Goods Sold ]]</f>
        <v>1658870000</v>
      </c>
      <c r="H68" s="3">
        <v>0</v>
      </c>
      <c r="I68" s="3">
        <v>0</v>
      </c>
      <c r="J68" s="3">
        <v>1402573000</v>
      </c>
      <c r="K68" s="3">
        <f>Project_Data_NYSE[[#This Row],[Gross Profit]]-Project_Data_NYSE[[#This Row],[ Sales, General and Admin. ]]-Project_Data_NYSE[[#This Row],[ Research and Development ]]-Project_Data_NYSE[[#This Row],[ Other Operating Items ]]</f>
        <v>256297000</v>
      </c>
      <c r="L68" t="s">
        <v>46</v>
      </c>
      <c r="M68" t="s">
        <v>54</v>
      </c>
      <c r="N68" s="31">
        <f>Project_Data_NYSE[[#This Row],[Gross Profit]]/Project_Data_NYSE[[#This Row],[ Total Revenue ]]</f>
        <v>0.16065768862971591</v>
      </c>
      <c r="O68" s="31">
        <f>Project_Data_NYSE[[#This Row],[Operating Profit]]/Project_Data_NYSE[[#This Row],[ Total Revenue ]]</f>
        <v>2.4821766396842609E-2</v>
      </c>
      <c r="Q68" t="s">
        <v>134</v>
      </c>
    </row>
    <row r="69" spans="1:17" x14ac:dyDescent="0.2">
      <c r="A69">
        <v>67</v>
      </c>
      <c r="B69" t="s">
        <v>53</v>
      </c>
      <c r="C69" t="s">
        <v>16</v>
      </c>
      <c r="D69" s="48">
        <v>42735</v>
      </c>
      <c r="E69" s="3">
        <v>7531780000</v>
      </c>
      <c r="F69" s="3">
        <v>5251228000</v>
      </c>
      <c r="G69" s="3">
        <f>Project_Data_NYSE[[#This Row],[ Total Revenue ]]-Project_Data_NYSE[[#This Row],[ Cost of Goods Sold ]]</f>
        <v>2280552000</v>
      </c>
      <c r="H69" s="3">
        <v>0</v>
      </c>
      <c r="I69" s="3">
        <v>0</v>
      </c>
      <c r="J69" s="3">
        <v>1351314000</v>
      </c>
      <c r="K69" s="3">
        <f>Project_Data_NYSE[[#This Row],[Gross Profit]]-Project_Data_NYSE[[#This Row],[ Sales, General and Admin. ]]-Project_Data_NYSE[[#This Row],[ Research and Development ]]-Project_Data_NYSE[[#This Row],[ Other Operating Items ]]</f>
        <v>929238000</v>
      </c>
      <c r="L69" t="s">
        <v>46</v>
      </c>
      <c r="M69" t="s">
        <v>54</v>
      </c>
      <c r="N69" s="31">
        <f>Project_Data_NYSE[[#This Row],[Gross Profit]]/Project_Data_NYSE[[#This Row],[ Total Revenue ]]</f>
        <v>0.30279057540183063</v>
      </c>
      <c r="O69" s="31">
        <f>Project_Data_NYSE[[#This Row],[Operating Profit]]/Project_Data_NYSE[[#This Row],[ Total Revenue ]]</f>
        <v>0.12337561638815792</v>
      </c>
      <c r="Q69" t="s">
        <v>136</v>
      </c>
    </row>
    <row r="70" spans="1:17" x14ac:dyDescent="0.2">
      <c r="A70">
        <v>72</v>
      </c>
      <c r="B70" t="s">
        <v>55</v>
      </c>
      <c r="C70" t="s">
        <v>11</v>
      </c>
      <c r="D70" s="48">
        <v>41274</v>
      </c>
      <c r="E70" s="3">
        <v>1373947000</v>
      </c>
      <c r="F70" s="3">
        <v>529900000</v>
      </c>
      <c r="G70" s="3">
        <f>Project_Data_NYSE[[#This Row],[ Total Revenue ]]-Project_Data_NYSE[[#This Row],[ Cost of Goods Sold ]]</f>
        <v>844047000</v>
      </c>
      <c r="H70" s="3">
        <v>433448000</v>
      </c>
      <c r="I70" s="3">
        <v>74744000</v>
      </c>
      <c r="J70" s="3">
        <v>20962000</v>
      </c>
      <c r="K70" s="3">
        <f>Project_Data_NYSE[[#This Row],[Gross Profit]]-Project_Data_NYSE[[#This Row],[ Sales, General and Admin. ]]-Project_Data_NYSE[[#This Row],[ Research and Development ]]-Project_Data_NYSE[[#This Row],[ Other Operating Items ]]</f>
        <v>314893000</v>
      </c>
      <c r="L70" t="s">
        <v>21</v>
      </c>
      <c r="M70" t="s">
        <v>56</v>
      </c>
      <c r="N70" s="31">
        <f>Project_Data_NYSE[[#This Row],[Gross Profit]]/Project_Data_NYSE[[#This Row],[ Total Revenue ]]</f>
        <v>0.61432282322389442</v>
      </c>
      <c r="O70" s="31">
        <f>Project_Data_NYSE[[#This Row],[Operating Profit]]/Project_Data_NYSE[[#This Row],[ Total Revenue ]]</f>
        <v>0.2291886077119423</v>
      </c>
      <c r="Q70" t="s">
        <v>138</v>
      </c>
    </row>
    <row r="71" spans="1:17" x14ac:dyDescent="0.2">
      <c r="A71">
        <v>73</v>
      </c>
      <c r="B71" t="s">
        <v>55</v>
      </c>
      <c r="C71" t="s">
        <v>14</v>
      </c>
      <c r="D71" s="48">
        <v>41639</v>
      </c>
      <c r="E71" s="3">
        <v>1577922000</v>
      </c>
      <c r="F71" s="3">
        <v>511087000</v>
      </c>
      <c r="G71" s="3">
        <f>Project_Data_NYSE[[#This Row],[ Total Revenue ]]-Project_Data_NYSE[[#This Row],[ Cost of Goods Sold ]]</f>
        <v>1066835000</v>
      </c>
      <c r="H71" s="3">
        <v>535598000</v>
      </c>
      <c r="I71" s="3">
        <v>93879000</v>
      </c>
      <c r="J71" s="3">
        <v>21547000</v>
      </c>
      <c r="K71" s="3">
        <f>Project_Data_NYSE[[#This Row],[Gross Profit]]-Project_Data_NYSE[[#This Row],[ Sales, General and Admin. ]]-Project_Data_NYSE[[#This Row],[ Research and Development ]]-Project_Data_NYSE[[#This Row],[ Other Operating Items ]]</f>
        <v>415811000</v>
      </c>
      <c r="L71" t="s">
        <v>21</v>
      </c>
      <c r="M71" t="s">
        <v>56</v>
      </c>
      <c r="N71" s="31">
        <f>Project_Data_NYSE[[#This Row],[Gross Profit]]/Project_Data_NYSE[[#This Row],[ Total Revenue ]]</f>
        <v>0.67610122680335272</v>
      </c>
      <c r="O71" s="31">
        <f>Project_Data_NYSE[[#This Row],[Operating Profit]]/Project_Data_NYSE[[#This Row],[ Total Revenue ]]</f>
        <v>0.26351809531776604</v>
      </c>
      <c r="Q71" t="s">
        <v>140</v>
      </c>
    </row>
    <row r="72" spans="1:17" x14ac:dyDescent="0.2">
      <c r="A72">
        <v>74</v>
      </c>
      <c r="B72" t="s">
        <v>55</v>
      </c>
      <c r="C72" t="s">
        <v>15</v>
      </c>
      <c r="D72" s="48">
        <v>42004</v>
      </c>
      <c r="E72" s="3">
        <v>1963874000</v>
      </c>
      <c r="F72" s="3">
        <v>610943000</v>
      </c>
      <c r="G72" s="3">
        <f>Project_Data_NYSE[[#This Row],[ Total Revenue ]]-Project_Data_NYSE[[#This Row],[ Cost of Goods Sold ]]</f>
        <v>1352931000</v>
      </c>
      <c r="H72" s="3">
        <v>704880000</v>
      </c>
      <c r="I72" s="3">
        <v>125286000</v>
      </c>
      <c r="J72" s="3">
        <v>32057000</v>
      </c>
      <c r="K72" s="3">
        <f>Project_Data_NYSE[[#This Row],[Gross Profit]]-Project_Data_NYSE[[#This Row],[ Sales, General and Admin. ]]-Project_Data_NYSE[[#This Row],[ Research and Development ]]-Project_Data_NYSE[[#This Row],[ Other Operating Items ]]</f>
        <v>490708000</v>
      </c>
      <c r="L72" t="s">
        <v>21</v>
      </c>
      <c r="M72" t="s">
        <v>56</v>
      </c>
      <c r="N72" s="31">
        <f>Project_Data_NYSE[[#This Row],[Gross Profit]]/Project_Data_NYSE[[#This Row],[ Total Revenue ]]</f>
        <v>0.68890926810986852</v>
      </c>
      <c r="O72" s="31">
        <f>Project_Data_NYSE[[#This Row],[Operating Profit]]/Project_Data_NYSE[[#This Row],[ Total Revenue ]]</f>
        <v>0.24986735401558349</v>
      </c>
      <c r="Q72" t="s">
        <v>142</v>
      </c>
    </row>
    <row r="73" spans="1:17" x14ac:dyDescent="0.2">
      <c r="A73">
        <v>75</v>
      </c>
      <c r="B73" t="s">
        <v>55</v>
      </c>
      <c r="C73" t="s">
        <v>16</v>
      </c>
      <c r="D73" s="48">
        <v>42369</v>
      </c>
      <c r="E73" s="3">
        <v>2197448000</v>
      </c>
      <c r="F73" s="3">
        <v>725620000</v>
      </c>
      <c r="G73" s="3">
        <f>Project_Data_NYSE[[#This Row],[ Total Revenue ]]-Project_Data_NYSE[[#This Row],[ Cost of Goods Sold ]]</f>
        <v>1471828000</v>
      </c>
      <c r="H73" s="3">
        <v>829253000</v>
      </c>
      <c r="I73" s="3">
        <v>148591000</v>
      </c>
      <c r="J73" s="3">
        <v>27067000</v>
      </c>
      <c r="K73" s="3">
        <f>Project_Data_NYSE[[#This Row],[Gross Profit]]-Project_Data_NYSE[[#This Row],[ Sales, General and Admin. ]]-Project_Data_NYSE[[#This Row],[ Research and Development ]]-Project_Data_NYSE[[#This Row],[ Other Operating Items ]]</f>
        <v>466917000</v>
      </c>
      <c r="L73" t="s">
        <v>21</v>
      </c>
      <c r="M73" t="s">
        <v>56</v>
      </c>
      <c r="N73" s="31">
        <f>Project_Data_NYSE[[#This Row],[Gross Profit]]/Project_Data_NYSE[[#This Row],[ Total Revenue ]]</f>
        <v>0.66978968330536148</v>
      </c>
      <c r="O73" s="31">
        <f>Project_Data_NYSE[[#This Row],[Operating Profit]]/Project_Data_NYSE[[#This Row],[ Total Revenue ]]</f>
        <v>0.21248147851507748</v>
      </c>
      <c r="Q73" t="s">
        <v>144</v>
      </c>
    </row>
    <row r="74" spans="1:17" x14ac:dyDescent="0.2">
      <c r="A74">
        <v>76</v>
      </c>
      <c r="B74" t="s">
        <v>57</v>
      </c>
      <c r="C74" t="s">
        <v>11</v>
      </c>
      <c r="D74" s="48">
        <v>41274</v>
      </c>
      <c r="E74" s="3">
        <v>2519154000</v>
      </c>
      <c r="F74" s="3">
        <v>1620311000</v>
      </c>
      <c r="G74" s="3">
        <f>Project_Data_NYSE[[#This Row],[ Total Revenue ]]-Project_Data_NYSE[[#This Row],[ Cost of Goods Sold ]]</f>
        <v>898843000</v>
      </c>
      <c r="H74" s="3">
        <v>308456000</v>
      </c>
      <c r="I74" s="3">
        <v>78919000</v>
      </c>
      <c r="J74" s="3">
        <v>0</v>
      </c>
      <c r="K74" s="3">
        <f>Project_Data_NYSE[[#This Row],[Gross Profit]]-Project_Data_NYSE[[#This Row],[ Sales, General and Admin. ]]-Project_Data_NYSE[[#This Row],[ Research and Development ]]-Project_Data_NYSE[[#This Row],[ Other Operating Items ]]</f>
        <v>511468000</v>
      </c>
      <c r="L74" t="s">
        <v>58</v>
      </c>
      <c r="M74" t="s">
        <v>59</v>
      </c>
      <c r="N74" s="31">
        <f>Project_Data_NYSE[[#This Row],[Gross Profit]]/Project_Data_NYSE[[#This Row],[ Total Revenue ]]</f>
        <v>0.35680351419563872</v>
      </c>
      <c r="O74" s="31">
        <f>Project_Data_NYSE[[#This Row],[Operating Profit]]/Project_Data_NYSE[[#This Row],[ Total Revenue ]]</f>
        <v>0.20303165268975221</v>
      </c>
      <c r="Q74" t="s">
        <v>146</v>
      </c>
    </row>
    <row r="75" spans="1:17" x14ac:dyDescent="0.2">
      <c r="A75">
        <v>77</v>
      </c>
      <c r="B75" t="s">
        <v>57</v>
      </c>
      <c r="C75" t="s">
        <v>14</v>
      </c>
      <c r="D75" s="48">
        <v>41639</v>
      </c>
      <c r="E75" s="3">
        <v>2394270000</v>
      </c>
      <c r="F75" s="3">
        <v>1543799000</v>
      </c>
      <c r="G75" s="3">
        <f>Project_Data_NYSE[[#This Row],[ Total Revenue ]]-Project_Data_NYSE[[#This Row],[ Cost of Goods Sold ]]</f>
        <v>850471000</v>
      </c>
      <c r="H75" s="3">
        <v>158189000</v>
      </c>
      <c r="I75" s="3">
        <v>82246000</v>
      </c>
      <c r="J75" s="3">
        <v>0</v>
      </c>
      <c r="K75" s="3">
        <f>Project_Data_NYSE[[#This Row],[Gross Profit]]-Project_Data_NYSE[[#This Row],[ Sales, General and Admin. ]]-Project_Data_NYSE[[#This Row],[ Research and Development ]]-Project_Data_NYSE[[#This Row],[ Other Operating Items ]]</f>
        <v>610036000</v>
      </c>
      <c r="L75" t="s">
        <v>58</v>
      </c>
      <c r="M75" t="s">
        <v>59</v>
      </c>
      <c r="N75" s="31">
        <f>Project_Data_NYSE[[#This Row],[Gross Profit]]/Project_Data_NYSE[[#This Row],[ Total Revenue ]]</f>
        <v>0.35521098288831249</v>
      </c>
      <c r="O75" s="31">
        <f>Project_Data_NYSE[[#This Row],[Operating Profit]]/Project_Data_NYSE[[#This Row],[ Total Revenue ]]</f>
        <v>0.25478997773851736</v>
      </c>
      <c r="Q75" t="s">
        <v>148</v>
      </c>
    </row>
    <row r="76" spans="1:17" x14ac:dyDescent="0.2">
      <c r="A76">
        <v>78</v>
      </c>
      <c r="B76" t="s">
        <v>57</v>
      </c>
      <c r="C76" t="s">
        <v>15</v>
      </c>
      <c r="D76" s="48">
        <v>42004</v>
      </c>
      <c r="E76" s="3">
        <v>2445548000</v>
      </c>
      <c r="F76" s="3">
        <v>1674700000</v>
      </c>
      <c r="G76" s="3">
        <f>Project_Data_NYSE[[#This Row],[ Total Revenue ]]-Project_Data_NYSE[[#This Row],[ Cost of Goods Sold ]]</f>
        <v>770848000</v>
      </c>
      <c r="H76" s="3">
        <v>355135000</v>
      </c>
      <c r="I76" s="3">
        <v>88310000</v>
      </c>
      <c r="J76" s="3">
        <v>0</v>
      </c>
      <c r="K76" s="3">
        <f>Project_Data_NYSE[[#This Row],[Gross Profit]]-Project_Data_NYSE[[#This Row],[ Sales, General and Admin. ]]-Project_Data_NYSE[[#This Row],[ Research and Development ]]-Project_Data_NYSE[[#This Row],[ Other Operating Items ]]</f>
        <v>327403000</v>
      </c>
      <c r="L76" t="s">
        <v>58</v>
      </c>
      <c r="M76" t="s">
        <v>59</v>
      </c>
      <c r="N76" s="31">
        <f>Project_Data_NYSE[[#This Row],[Gross Profit]]/Project_Data_NYSE[[#This Row],[ Total Revenue ]]</f>
        <v>0.31520460853763654</v>
      </c>
      <c r="O76" s="31">
        <f>Project_Data_NYSE[[#This Row],[Operating Profit]]/Project_Data_NYSE[[#This Row],[ Total Revenue ]]</f>
        <v>0.13387715146053156</v>
      </c>
      <c r="Q76" t="s">
        <v>149</v>
      </c>
    </row>
    <row r="77" spans="1:17" x14ac:dyDescent="0.2">
      <c r="A77">
        <v>79</v>
      </c>
      <c r="B77" t="s">
        <v>57</v>
      </c>
      <c r="C77" t="s">
        <v>16</v>
      </c>
      <c r="D77" s="48">
        <v>42369</v>
      </c>
      <c r="E77" s="3">
        <v>3651335000</v>
      </c>
      <c r="F77" s="3">
        <v>2454463000</v>
      </c>
      <c r="G77" s="3">
        <f>Project_Data_NYSE[[#This Row],[ Total Revenue ]]-Project_Data_NYSE[[#This Row],[ Cost of Goods Sold ]]</f>
        <v>1196872000</v>
      </c>
      <c r="H77" s="3">
        <v>512274000</v>
      </c>
      <c r="I77" s="3">
        <v>102871000</v>
      </c>
      <c r="J77" s="3">
        <v>0</v>
      </c>
      <c r="K77" s="3">
        <f>Project_Data_NYSE[[#This Row],[Gross Profit]]-Project_Data_NYSE[[#This Row],[ Sales, General and Admin. ]]-Project_Data_NYSE[[#This Row],[ Research and Development ]]-Project_Data_NYSE[[#This Row],[ Other Operating Items ]]</f>
        <v>581727000</v>
      </c>
      <c r="L77" t="s">
        <v>58</v>
      </c>
      <c r="M77" t="s">
        <v>59</v>
      </c>
      <c r="N77" s="31">
        <f>Project_Data_NYSE[[#This Row],[Gross Profit]]/Project_Data_NYSE[[#This Row],[ Total Revenue ]]</f>
        <v>0.327790246581045</v>
      </c>
      <c r="O77" s="31">
        <f>Project_Data_NYSE[[#This Row],[Operating Profit]]/Project_Data_NYSE[[#This Row],[ Total Revenue ]]</f>
        <v>0.15931898880820303</v>
      </c>
      <c r="Q77" t="s">
        <v>150</v>
      </c>
    </row>
    <row r="78" spans="1:17" x14ac:dyDescent="0.2">
      <c r="A78">
        <v>80</v>
      </c>
      <c r="B78" t="s">
        <v>60</v>
      </c>
      <c r="C78" t="s">
        <v>11</v>
      </c>
      <c r="D78" s="48">
        <v>41274</v>
      </c>
      <c r="E78" s="3">
        <v>4657000000</v>
      </c>
      <c r="F78" s="3">
        <v>2319000000</v>
      </c>
      <c r="G78" s="3">
        <f>Project_Data_NYSE[[#This Row],[ Total Revenue ]]-Project_Data_NYSE[[#This Row],[ Cost of Goods Sold ]]</f>
        <v>2338000000</v>
      </c>
      <c r="H78" s="3">
        <v>1542000000</v>
      </c>
      <c r="I78" s="3">
        <v>0</v>
      </c>
      <c r="J78" s="3">
        <v>264000000</v>
      </c>
      <c r="K78" s="3">
        <f>Project_Data_NYSE[[#This Row],[Gross Profit]]-Project_Data_NYSE[[#This Row],[ Sales, General and Admin. ]]-Project_Data_NYSE[[#This Row],[ Research and Development ]]-Project_Data_NYSE[[#This Row],[ Other Operating Items ]]</f>
        <v>532000000</v>
      </c>
      <c r="L78" t="s">
        <v>12</v>
      </c>
      <c r="M78" t="s">
        <v>13</v>
      </c>
      <c r="N78" s="31">
        <f>Project_Data_NYSE[[#This Row],[Gross Profit]]/Project_Data_NYSE[[#This Row],[ Total Revenue ]]</f>
        <v>0.50203993987545625</v>
      </c>
      <c r="O78" s="31">
        <f>Project_Data_NYSE[[#This Row],[Operating Profit]]/Project_Data_NYSE[[#This Row],[ Total Revenue ]]</f>
        <v>0.11423663302555292</v>
      </c>
      <c r="Q78" t="s">
        <v>151</v>
      </c>
    </row>
    <row r="79" spans="1:17" x14ac:dyDescent="0.2">
      <c r="A79">
        <v>81</v>
      </c>
      <c r="B79" t="s">
        <v>60</v>
      </c>
      <c r="C79" t="s">
        <v>14</v>
      </c>
      <c r="D79" s="48">
        <v>41639</v>
      </c>
      <c r="E79" s="3">
        <v>5156000000</v>
      </c>
      <c r="F79" s="3">
        <v>2355000000</v>
      </c>
      <c r="G79" s="3">
        <f>Project_Data_NYSE[[#This Row],[ Total Revenue ]]-Project_Data_NYSE[[#This Row],[ Cost of Goods Sold ]]</f>
        <v>2801000000</v>
      </c>
      <c r="H79" s="3">
        <v>1693000000</v>
      </c>
      <c r="I79" s="3">
        <v>0</v>
      </c>
      <c r="J79" s="3">
        <v>270000000</v>
      </c>
      <c r="K79" s="3">
        <f>Project_Data_NYSE[[#This Row],[Gross Profit]]-Project_Data_NYSE[[#This Row],[ Sales, General and Admin. ]]-Project_Data_NYSE[[#This Row],[ Research and Development ]]-Project_Data_NYSE[[#This Row],[ Other Operating Items ]]</f>
        <v>838000000</v>
      </c>
      <c r="L79" t="s">
        <v>12</v>
      </c>
      <c r="M79" t="s">
        <v>13</v>
      </c>
      <c r="N79" s="31">
        <f>Project_Data_NYSE[[#This Row],[Gross Profit]]/Project_Data_NYSE[[#This Row],[ Total Revenue ]]</f>
        <v>0.54325058184639252</v>
      </c>
      <c r="O79" s="31">
        <f>Project_Data_NYSE[[#This Row],[Operating Profit]]/Project_Data_NYSE[[#This Row],[ Total Revenue ]]</f>
        <v>0.16252909231962762</v>
      </c>
      <c r="Q79" t="s">
        <v>152</v>
      </c>
    </row>
    <row r="80" spans="1:17" x14ac:dyDescent="0.2">
      <c r="A80">
        <v>82</v>
      </c>
      <c r="B80" t="s">
        <v>60</v>
      </c>
      <c r="C80" t="s">
        <v>15</v>
      </c>
      <c r="D80" s="48">
        <v>42004</v>
      </c>
      <c r="E80" s="3">
        <v>5368000000</v>
      </c>
      <c r="F80" s="3">
        <v>2325000000</v>
      </c>
      <c r="G80" s="3">
        <f>Project_Data_NYSE[[#This Row],[ Total Revenue ]]-Project_Data_NYSE[[#This Row],[ Cost of Goods Sold ]]</f>
        <v>3043000000</v>
      </c>
      <c r="H80" s="3">
        <v>1817000000</v>
      </c>
      <c r="I80" s="3">
        <v>0</v>
      </c>
      <c r="J80" s="3">
        <v>294000000</v>
      </c>
      <c r="K80" s="3">
        <f>Project_Data_NYSE[[#This Row],[Gross Profit]]-Project_Data_NYSE[[#This Row],[ Sales, General and Admin. ]]-Project_Data_NYSE[[#This Row],[ Research and Development ]]-Project_Data_NYSE[[#This Row],[ Other Operating Items ]]</f>
        <v>932000000</v>
      </c>
      <c r="L80" t="s">
        <v>12</v>
      </c>
      <c r="M80" t="s">
        <v>13</v>
      </c>
      <c r="N80" s="31">
        <f>Project_Data_NYSE[[#This Row],[Gross Profit]]/Project_Data_NYSE[[#This Row],[ Total Revenue ]]</f>
        <v>0.56687779433681074</v>
      </c>
      <c r="O80" s="31">
        <f>Project_Data_NYSE[[#This Row],[Operating Profit]]/Project_Data_NYSE[[#This Row],[ Total Revenue ]]</f>
        <v>0.1736214605067064</v>
      </c>
      <c r="Q80" t="s">
        <v>153</v>
      </c>
    </row>
    <row r="81" spans="1:17" x14ac:dyDescent="0.2">
      <c r="A81">
        <v>83</v>
      </c>
      <c r="B81" t="s">
        <v>60</v>
      </c>
      <c r="C81" t="s">
        <v>16</v>
      </c>
      <c r="D81" s="48">
        <v>42369</v>
      </c>
      <c r="E81" s="3">
        <v>5598000000</v>
      </c>
      <c r="F81" s="3">
        <v>1935000000</v>
      </c>
      <c r="G81" s="3">
        <f>Project_Data_NYSE[[#This Row],[ Total Revenue ]]-Project_Data_NYSE[[#This Row],[ Cost of Goods Sold ]]</f>
        <v>3663000000</v>
      </c>
      <c r="H81" s="3">
        <v>2013000000</v>
      </c>
      <c r="I81" s="3">
        <v>0</v>
      </c>
      <c r="J81" s="3">
        <v>320000000</v>
      </c>
      <c r="K81" s="3">
        <f>Project_Data_NYSE[[#This Row],[Gross Profit]]-Project_Data_NYSE[[#This Row],[ Sales, General and Admin. ]]-Project_Data_NYSE[[#This Row],[ Research and Development ]]-Project_Data_NYSE[[#This Row],[ Other Operating Items ]]</f>
        <v>1330000000</v>
      </c>
      <c r="L81" t="s">
        <v>12</v>
      </c>
      <c r="M81" t="s">
        <v>13</v>
      </c>
      <c r="N81" s="31">
        <f>Project_Data_NYSE[[#This Row],[Gross Profit]]/Project_Data_NYSE[[#This Row],[ Total Revenue ]]</f>
        <v>0.65434083601286175</v>
      </c>
      <c r="O81" s="31">
        <f>Project_Data_NYSE[[#This Row],[Operating Profit]]/Project_Data_NYSE[[#This Row],[ Total Revenue ]]</f>
        <v>0.2375848517327617</v>
      </c>
      <c r="Q81" t="s">
        <v>155</v>
      </c>
    </row>
    <row r="82" spans="1:17" x14ac:dyDescent="0.2">
      <c r="A82">
        <v>84</v>
      </c>
      <c r="B82" t="s">
        <v>61</v>
      </c>
      <c r="C82" t="s">
        <v>11</v>
      </c>
      <c r="D82" s="48">
        <v>41274</v>
      </c>
      <c r="E82" s="3">
        <v>33315000000</v>
      </c>
      <c r="F82" s="3">
        <v>21618000000</v>
      </c>
      <c r="G82" s="3">
        <f>Project_Data_NYSE[[#This Row],[ Total Revenue ]]-Project_Data_NYSE[[#This Row],[ Cost of Goods Sold ]]</f>
        <v>11697000000</v>
      </c>
      <c r="H82" s="3">
        <v>0</v>
      </c>
      <c r="I82" s="3">
        <v>0</v>
      </c>
      <c r="J82" s="3">
        <v>8002000000</v>
      </c>
      <c r="K82" s="3">
        <f>Project_Data_NYSE[[#This Row],[Gross Profit]]-Project_Data_NYSE[[#This Row],[ Sales, General and Admin. ]]-Project_Data_NYSE[[#This Row],[ Research and Development ]]-Project_Data_NYSE[[#This Row],[ Other Operating Items ]]</f>
        <v>3695000000</v>
      </c>
      <c r="L82" t="s">
        <v>46</v>
      </c>
      <c r="M82" t="s">
        <v>49</v>
      </c>
      <c r="N82" s="31">
        <f>Project_Data_NYSE[[#This Row],[Gross Profit]]/Project_Data_NYSE[[#This Row],[ Total Revenue ]]</f>
        <v>0.35110310670868977</v>
      </c>
      <c r="O82" s="31">
        <f>Project_Data_NYSE[[#This Row],[Operating Profit]]/Project_Data_NYSE[[#This Row],[ Total Revenue ]]</f>
        <v>0.11091100105057781</v>
      </c>
      <c r="Q82" t="s">
        <v>157</v>
      </c>
    </row>
    <row r="83" spans="1:17" x14ac:dyDescent="0.2">
      <c r="A83">
        <v>85</v>
      </c>
      <c r="B83" t="s">
        <v>61</v>
      </c>
      <c r="C83" t="s">
        <v>14</v>
      </c>
      <c r="D83" s="48">
        <v>41639</v>
      </c>
      <c r="E83" s="3">
        <v>34507000000</v>
      </c>
      <c r="F83" s="3">
        <v>19828000000</v>
      </c>
      <c r="G83" s="3">
        <f>Project_Data_NYSE[[#This Row],[ Total Revenue ]]-Project_Data_NYSE[[#This Row],[ Cost of Goods Sold ]]</f>
        <v>14679000000</v>
      </c>
      <c r="H83" s="3">
        <v>1278000000</v>
      </c>
      <c r="I83" s="3">
        <v>0</v>
      </c>
      <c r="J83" s="3">
        <v>8389000000</v>
      </c>
      <c r="K83" s="3">
        <f>Project_Data_NYSE[[#This Row],[Gross Profit]]-Project_Data_NYSE[[#This Row],[ Sales, General and Admin. ]]-Project_Data_NYSE[[#This Row],[ Research and Development ]]-Project_Data_NYSE[[#This Row],[ Other Operating Items ]]</f>
        <v>5012000000</v>
      </c>
      <c r="L83" t="s">
        <v>46</v>
      </c>
      <c r="M83" t="s">
        <v>49</v>
      </c>
      <c r="N83" s="31">
        <f>Project_Data_NYSE[[#This Row],[Gross Profit]]/Project_Data_NYSE[[#This Row],[ Total Revenue ]]</f>
        <v>0.42539194945952996</v>
      </c>
      <c r="O83" s="31">
        <f>Project_Data_NYSE[[#This Row],[Operating Profit]]/Project_Data_NYSE[[#This Row],[ Total Revenue ]]</f>
        <v>0.1452458921378271</v>
      </c>
      <c r="Q83" t="s">
        <v>158</v>
      </c>
    </row>
    <row r="84" spans="1:17" x14ac:dyDescent="0.2">
      <c r="A84">
        <v>86</v>
      </c>
      <c r="B84" t="s">
        <v>61</v>
      </c>
      <c r="C84" t="s">
        <v>15</v>
      </c>
      <c r="D84" s="48">
        <v>42004</v>
      </c>
      <c r="E84" s="3">
        <v>35239000000</v>
      </c>
      <c r="F84" s="3">
        <v>21193000000</v>
      </c>
      <c r="G84" s="3">
        <f>Project_Data_NYSE[[#This Row],[ Total Revenue ]]-Project_Data_NYSE[[#This Row],[ Cost of Goods Sold ]]</f>
        <v>14046000000</v>
      </c>
      <c r="H84" s="3">
        <v>919000000</v>
      </c>
      <c r="I84" s="3">
        <v>0</v>
      </c>
      <c r="J84" s="3">
        <v>8476000000</v>
      </c>
      <c r="K84" s="3">
        <f>Project_Data_NYSE[[#This Row],[Gross Profit]]-Project_Data_NYSE[[#This Row],[ Sales, General and Admin. ]]-Project_Data_NYSE[[#This Row],[ Research and Development ]]-Project_Data_NYSE[[#This Row],[ Other Operating Items ]]</f>
        <v>4651000000</v>
      </c>
      <c r="L84" t="s">
        <v>46</v>
      </c>
      <c r="M84" t="s">
        <v>49</v>
      </c>
      <c r="N84" s="31">
        <f>Project_Data_NYSE[[#This Row],[Gross Profit]]/Project_Data_NYSE[[#This Row],[ Total Revenue ]]</f>
        <v>0.3985924685717529</v>
      </c>
      <c r="O84" s="31">
        <f>Project_Data_NYSE[[#This Row],[Operating Profit]]/Project_Data_NYSE[[#This Row],[ Total Revenue ]]</f>
        <v>0.13198444904792986</v>
      </c>
      <c r="Q84" t="s">
        <v>159</v>
      </c>
    </row>
    <row r="85" spans="1:17" x14ac:dyDescent="0.2">
      <c r="A85">
        <v>87</v>
      </c>
      <c r="B85" t="s">
        <v>61</v>
      </c>
      <c r="C85" t="s">
        <v>16</v>
      </c>
      <c r="D85" s="48">
        <v>42369</v>
      </c>
      <c r="E85" s="3">
        <v>35653000000</v>
      </c>
      <c r="F85" s="3">
        <v>22837000000</v>
      </c>
      <c r="G85" s="3">
        <f>Project_Data_NYSE[[#This Row],[ Total Revenue ]]-Project_Data_NYSE[[#This Row],[ Cost of Goods Sold ]]</f>
        <v>12816000000</v>
      </c>
      <c r="H85" s="3">
        <v>761000000</v>
      </c>
      <c r="I85" s="3">
        <v>0</v>
      </c>
      <c r="J85" s="3">
        <v>8445000000</v>
      </c>
      <c r="K85" s="3">
        <f>Project_Data_NYSE[[#This Row],[Gross Profit]]-Project_Data_NYSE[[#This Row],[ Sales, General and Admin. ]]-Project_Data_NYSE[[#This Row],[ Research and Development ]]-Project_Data_NYSE[[#This Row],[ Other Operating Items ]]</f>
        <v>3610000000</v>
      </c>
      <c r="L85" t="s">
        <v>46</v>
      </c>
      <c r="M85" t="s">
        <v>49</v>
      </c>
      <c r="N85" s="31">
        <f>Project_Data_NYSE[[#This Row],[Gross Profit]]/Project_Data_NYSE[[#This Row],[ Total Revenue ]]</f>
        <v>0.35946484166830278</v>
      </c>
      <c r="O85" s="31">
        <f>Project_Data_NYSE[[#This Row],[Operating Profit]]/Project_Data_NYSE[[#This Row],[ Total Revenue ]]</f>
        <v>0.10125375143746669</v>
      </c>
      <c r="Q85" t="s">
        <v>160</v>
      </c>
    </row>
    <row r="86" spans="1:17" x14ac:dyDescent="0.2">
      <c r="A86">
        <v>88</v>
      </c>
      <c r="B86" t="s">
        <v>62</v>
      </c>
      <c r="C86" t="s">
        <v>11</v>
      </c>
      <c r="D86" s="48">
        <v>41639</v>
      </c>
      <c r="E86" s="3">
        <v>2069600000</v>
      </c>
      <c r="F86" s="3">
        <v>1208100000</v>
      </c>
      <c r="G86" s="3">
        <f>Project_Data_NYSE[[#This Row],[ Total Revenue ]]-Project_Data_NYSE[[#This Row],[ Cost of Goods Sold ]]</f>
        <v>861500000</v>
      </c>
      <c r="H86" s="3">
        <v>483100000</v>
      </c>
      <c r="I86" s="3">
        <v>0</v>
      </c>
      <c r="J86" s="3">
        <v>0</v>
      </c>
      <c r="K86" s="3">
        <f>Project_Data_NYSE[[#This Row],[Gross Profit]]-Project_Data_NYSE[[#This Row],[ Sales, General and Admin. ]]-Project_Data_NYSE[[#This Row],[ Research and Development ]]-Project_Data_NYSE[[#This Row],[ Other Operating Items ]]</f>
        <v>378400000</v>
      </c>
      <c r="L86" t="s">
        <v>12</v>
      </c>
      <c r="M86" t="s">
        <v>63</v>
      </c>
      <c r="N86" s="31">
        <f>Project_Data_NYSE[[#This Row],[Gross Profit]]/Project_Data_NYSE[[#This Row],[ Total Revenue ]]</f>
        <v>0.41626401236954003</v>
      </c>
      <c r="O86" s="31">
        <f>Project_Data_NYSE[[#This Row],[Operating Profit]]/Project_Data_NYSE[[#This Row],[ Total Revenue ]]</f>
        <v>0.1828372632392733</v>
      </c>
      <c r="Q86" t="s">
        <v>161</v>
      </c>
    </row>
    <row r="87" spans="1:17" x14ac:dyDescent="0.2">
      <c r="A87">
        <v>89</v>
      </c>
      <c r="B87" t="s">
        <v>62</v>
      </c>
      <c r="C87" t="s">
        <v>14</v>
      </c>
      <c r="D87" s="48">
        <v>42004</v>
      </c>
      <c r="E87" s="3">
        <v>2118300000</v>
      </c>
      <c r="F87" s="3">
        <v>1264600000</v>
      </c>
      <c r="G87" s="3">
        <f>Project_Data_NYSE[[#This Row],[ Total Revenue ]]-Project_Data_NYSE[[#This Row],[ Cost of Goods Sold ]]</f>
        <v>853700000</v>
      </c>
      <c r="H87" s="3">
        <v>527400000</v>
      </c>
      <c r="I87" s="3">
        <v>0</v>
      </c>
      <c r="J87" s="3">
        <v>0</v>
      </c>
      <c r="K87" s="3">
        <f>Project_Data_NYSE[[#This Row],[Gross Profit]]-Project_Data_NYSE[[#This Row],[ Sales, General and Admin. ]]-Project_Data_NYSE[[#This Row],[ Research and Development ]]-Project_Data_NYSE[[#This Row],[ Other Operating Items ]]</f>
        <v>326300000</v>
      </c>
      <c r="L87" t="s">
        <v>12</v>
      </c>
      <c r="M87" t="s">
        <v>63</v>
      </c>
      <c r="N87" s="31">
        <f>Project_Data_NYSE[[#This Row],[Gross Profit]]/Project_Data_NYSE[[#This Row],[ Total Revenue ]]</f>
        <v>0.40301184912429777</v>
      </c>
      <c r="O87" s="31">
        <f>Project_Data_NYSE[[#This Row],[Operating Profit]]/Project_Data_NYSE[[#This Row],[ Total Revenue ]]</f>
        <v>0.15403861587121748</v>
      </c>
      <c r="Q87" t="s">
        <v>162</v>
      </c>
    </row>
    <row r="88" spans="1:17" x14ac:dyDescent="0.2">
      <c r="A88">
        <v>90</v>
      </c>
      <c r="B88" t="s">
        <v>62</v>
      </c>
      <c r="C88" t="s">
        <v>15</v>
      </c>
      <c r="D88" s="48">
        <v>42369</v>
      </c>
      <c r="E88" s="3">
        <v>2068100000</v>
      </c>
      <c r="F88" s="3">
        <v>1199000000</v>
      </c>
      <c r="G88" s="3">
        <f>Project_Data_NYSE[[#This Row],[ Total Revenue ]]-Project_Data_NYSE[[#This Row],[ Cost of Goods Sold ]]</f>
        <v>869100000</v>
      </c>
      <c r="H88" s="3">
        <v>510500000</v>
      </c>
      <c r="I88" s="3">
        <v>0</v>
      </c>
      <c r="J88" s="3">
        <v>0</v>
      </c>
      <c r="K88" s="3">
        <f>Project_Data_NYSE[[#This Row],[Gross Profit]]-Project_Data_NYSE[[#This Row],[ Sales, General and Admin. ]]-Project_Data_NYSE[[#This Row],[ Research and Development ]]-Project_Data_NYSE[[#This Row],[ Other Operating Items ]]</f>
        <v>358600000</v>
      </c>
      <c r="L88" t="s">
        <v>12</v>
      </c>
      <c r="M88" t="s">
        <v>63</v>
      </c>
      <c r="N88" s="31">
        <f>Project_Data_NYSE[[#This Row],[Gross Profit]]/Project_Data_NYSE[[#This Row],[ Total Revenue ]]</f>
        <v>0.42024080073497411</v>
      </c>
      <c r="O88" s="31">
        <f>Project_Data_NYSE[[#This Row],[Operating Profit]]/Project_Data_NYSE[[#This Row],[ Total Revenue ]]</f>
        <v>0.17339587060587011</v>
      </c>
      <c r="Q88" t="s">
        <v>164</v>
      </c>
    </row>
    <row r="89" spans="1:17" x14ac:dyDescent="0.2">
      <c r="A89">
        <v>91</v>
      </c>
      <c r="B89" t="s">
        <v>62</v>
      </c>
      <c r="C89" t="s">
        <v>16</v>
      </c>
      <c r="D89" s="48">
        <v>42735</v>
      </c>
      <c r="E89" s="3">
        <v>2238000000</v>
      </c>
      <c r="F89" s="3">
        <v>1252700000</v>
      </c>
      <c r="G89" s="3">
        <f>Project_Data_NYSE[[#This Row],[ Total Revenue ]]-Project_Data_NYSE[[#This Row],[ Cost of Goods Sold ]]</f>
        <v>985300000</v>
      </c>
      <c r="H89" s="3">
        <v>559800000</v>
      </c>
      <c r="I89" s="3">
        <v>0</v>
      </c>
      <c r="J89" s="3">
        <v>0</v>
      </c>
      <c r="K89" s="3">
        <f>Project_Data_NYSE[[#This Row],[Gross Profit]]-Project_Data_NYSE[[#This Row],[ Sales, General and Admin. ]]-Project_Data_NYSE[[#This Row],[ Research and Development ]]-Project_Data_NYSE[[#This Row],[ Other Operating Items ]]</f>
        <v>425500000</v>
      </c>
      <c r="L89" t="s">
        <v>12</v>
      </c>
      <c r="M89" t="s">
        <v>63</v>
      </c>
      <c r="N89" s="31">
        <f>Project_Data_NYSE[[#This Row],[Gross Profit]]/Project_Data_NYSE[[#This Row],[ Total Revenue ]]</f>
        <v>0.4402591599642538</v>
      </c>
      <c r="O89" s="31">
        <f>Project_Data_NYSE[[#This Row],[Operating Profit]]/Project_Data_NYSE[[#This Row],[ Total Revenue ]]</f>
        <v>0.19012511170688115</v>
      </c>
      <c r="Q89" t="s">
        <v>166</v>
      </c>
    </row>
    <row r="90" spans="1:17" x14ac:dyDescent="0.2">
      <c r="A90">
        <v>1042</v>
      </c>
      <c r="B90" t="s">
        <v>376</v>
      </c>
      <c r="C90" t="s">
        <v>16</v>
      </c>
      <c r="D90" s="48">
        <v>42460</v>
      </c>
      <c r="E90" s="3">
        <v>190884000000</v>
      </c>
      <c r="F90" s="3">
        <v>179468000000</v>
      </c>
      <c r="G90" s="3">
        <f>Project_Data_NYSE[[#This Row],[ Total Revenue ]]-Project_Data_NYSE[[#This Row],[ Cost of Goods Sold ]]</f>
        <v>11416000000</v>
      </c>
      <c r="H90" s="3">
        <v>7276000000</v>
      </c>
      <c r="I90" s="3">
        <v>392000000</v>
      </c>
      <c r="J90" s="3">
        <v>0</v>
      </c>
      <c r="K90" s="3">
        <f>Project_Data_NYSE[[#This Row],[Gross Profit]]-Project_Data_NYSE[[#This Row],[ Sales, General and Admin. ]]-Project_Data_NYSE[[#This Row],[ Research and Development ]]-Project_Data_NYSE[[#This Row],[ Other Operating Items ]]</f>
        <v>3748000000</v>
      </c>
      <c r="L90" t="s">
        <v>24</v>
      </c>
      <c r="M90" t="s">
        <v>27</v>
      </c>
      <c r="N90" s="31">
        <f>Project_Data_NYSE[[#This Row],[Gross Profit]]/Project_Data_NYSE[[#This Row],[ Total Revenue ]]</f>
        <v>5.9805955449382872E-2</v>
      </c>
      <c r="O90" s="31">
        <f>Project_Data_NYSE[[#This Row],[Operating Profit]]/Project_Data_NYSE[[#This Row],[ Total Revenue ]]</f>
        <v>1.9634961547327173E-2</v>
      </c>
      <c r="Q90" t="s">
        <v>168</v>
      </c>
    </row>
    <row r="91" spans="1:17" x14ac:dyDescent="0.2">
      <c r="A91">
        <v>261</v>
      </c>
      <c r="B91" t="s">
        <v>124</v>
      </c>
      <c r="C91" t="s">
        <v>16</v>
      </c>
      <c r="D91" s="48">
        <v>42551</v>
      </c>
      <c r="E91" s="3">
        <v>121546000000</v>
      </c>
      <c r="F91" s="3">
        <v>115003000000</v>
      </c>
      <c r="G91" s="3">
        <f>Project_Data_NYSE[[#This Row],[ Total Revenue ]]-Project_Data_NYSE[[#This Row],[ Cost of Goods Sold ]]</f>
        <v>6543000000</v>
      </c>
      <c r="H91" s="3">
        <v>3648000000</v>
      </c>
      <c r="I91" s="3">
        <v>0</v>
      </c>
      <c r="J91" s="3">
        <v>459000000</v>
      </c>
      <c r="K91" s="3">
        <f>Project_Data_NYSE[[#This Row],[Gross Profit]]-Project_Data_NYSE[[#This Row],[ Sales, General and Admin. ]]-Project_Data_NYSE[[#This Row],[ Research and Development ]]-Project_Data_NYSE[[#This Row],[ Other Operating Items ]]</f>
        <v>2436000000</v>
      </c>
      <c r="L91" t="s">
        <v>24</v>
      </c>
      <c r="M91" t="s">
        <v>27</v>
      </c>
      <c r="N91" s="31">
        <f>Project_Data_NYSE[[#This Row],[Gross Profit]]/Project_Data_NYSE[[#This Row],[ Total Revenue ]]</f>
        <v>5.3831471212545043E-2</v>
      </c>
      <c r="O91" s="31">
        <f>Project_Data_NYSE[[#This Row],[Operating Profit]]/Project_Data_NYSE[[#This Row],[ Total Revenue ]]</f>
        <v>2.004179487601402E-2</v>
      </c>
      <c r="Q91" t="s">
        <v>170</v>
      </c>
    </row>
    <row r="92" spans="1:17" x14ac:dyDescent="0.2">
      <c r="A92">
        <v>259</v>
      </c>
      <c r="B92" t="s">
        <v>124</v>
      </c>
      <c r="C92" t="s">
        <v>14</v>
      </c>
      <c r="D92" s="48">
        <v>41820</v>
      </c>
      <c r="E92" s="3">
        <v>91084000000</v>
      </c>
      <c r="F92" s="3">
        <v>85923000000</v>
      </c>
      <c r="G92" s="3">
        <f>Project_Data_NYSE[[#This Row],[ Total Revenue ]]-Project_Data_NYSE[[#This Row],[ Cost of Goods Sold ]]</f>
        <v>5161000000</v>
      </c>
      <c r="H92" s="3">
        <v>3028000000</v>
      </c>
      <c r="I92" s="3">
        <v>0</v>
      </c>
      <c r="J92" s="3">
        <v>223000000</v>
      </c>
      <c r="K92" s="3">
        <f>Project_Data_NYSE[[#This Row],[Gross Profit]]-Project_Data_NYSE[[#This Row],[ Sales, General and Admin. ]]-Project_Data_NYSE[[#This Row],[ Research and Development ]]-Project_Data_NYSE[[#This Row],[ Other Operating Items ]]</f>
        <v>1910000000</v>
      </c>
      <c r="L92" t="s">
        <v>24</v>
      </c>
      <c r="M92" t="s">
        <v>27</v>
      </c>
      <c r="N92" s="31">
        <f>Project_Data_NYSE[[#This Row],[Gross Profit]]/Project_Data_NYSE[[#This Row],[ Total Revenue ]]</f>
        <v>5.6661982345966359E-2</v>
      </c>
      <c r="O92" s="31">
        <f>Project_Data_NYSE[[#This Row],[Operating Profit]]/Project_Data_NYSE[[#This Row],[ Total Revenue ]]</f>
        <v>2.0969654384963329E-2</v>
      </c>
      <c r="Q92" t="s">
        <v>171</v>
      </c>
    </row>
    <row r="93" spans="1:17" x14ac:dyDescent="0.2">
      <c r="A93">
        <v>260</v>
      </c>
      <c r="B93" t="s">
        <v>124</v>
      </c>
      <c r="C93" t="s">
        <v>15</v>
      </c>
      <c r="D93" s="48">
        <v>42185</v>
      </c>
      <c r="E93" s="3">
        <v>102531000000</v>
      </c>
      <c r="F93" s="3">
        <v>96819000000</v>
      </c>
      <c r="G93" s="3">
        <f>Project_Data_NYSE[[#This Row],[ Total Revenue ]]-Project_Data_NYSE[[#This Row],[ Cost of Goods Sold ]]</f>
        <v>5712000000</v>
      </c>
      <c r="H93" s="3">
        <v>3240000000</v>
      </c>
      <c r="I93" s="3">
        <v>0</v>
      </c>
      <c r="J93" s="3">
        <v>281000000</v>
      </c>
      <c r="K93" s="3">
        <f>Project_Data_NYSE[[#This Row],[Gross Profit]]-Project_Data_NYSE[[#This Row],[ Sales, General and Admin. ]]-Project_Data_NYSE[[#This Row],[ Research and Development ]]-Project_Data_NYSE[[#This Row],[ Other Operating Items ]]</f>
        <v>2191000000</v>
      </c>
      <c r="L93" t="s">
        <v>24</v>
      </c>
      <c r="M93" t="s">
        <v>27</v>
      </c>
      <c r="N93" s="31">
        <f>Project_Data_NYSE[[#This Row],[Gross Profit]]/Project_Data_NYSE[[#This Row],[ Total Revenue ]]</f>
        <v>5.5709980396172865E-2</v>
      </c>
      <c r="O93" s="31">
        <f>Project_Data_NYSE[[#This Row],[Operating Profit]]/Project_Data_NYSE[[#This Row],[ Total Revenue ]]</f>
        <v>2.1369146892159446E-2</v>
      </c>
      <c r="Q93" t="s">
        <v>172</v>
      </c>
    </row>
    <row r="94" spans="1:17" x14ac:dyDescent="0.2">
      <c r="A94">
        <v>96</v>
      </c>
      <c r="B94" t="s">
        <v>66</v>
      </c>
      <c r="C94" t="s">
        <v>11</v>
      </c>
      <c r="D94" s="48">
        <v>41574</v>
      </c>
      <c r="E94" s="3">
        <v>7509000000</v>
      </c>
      <c r="F94" s="3">
        <v>4518000000</v>
      </c>
      <c r="G94" s="3">
        <f>Project_Data_NYSE[[#This Row],[ Total Revenue ]]-Project_Data_NYSE[[#This Row],[ Cost of Goods Sold ]]</f>
        <v>2991000000</v>
      </c>
      <c r="H94" s="3">
        <v>898000000</v>
      </c>
      <c r="I94" s="3">
        <v>1320000000</v>
      </c>
      <c r="J94" s="3">
        <v>0</v>
      </c>
      <c r="K94" s="3">
        <f>Project_Data_NYSE[[#This Row],[Gross Profit]]-Project_Data_NYSE[[#This Row],[ Sales, General and Admin. ]]-Project_Data_NYSE[[#This Row],[ Research and Development ]]-Project_Data_NYSE[[#This Row],[ Other Operating Items ]]</f>
        <v>773000000</v>
      </c>
      <c r="L94" t="s">
        <v>21</v>
      </c>
      <c r="M94" t="s">
        <v>67</v>
      </c>
      <c r="N94" s="31">
        <f>Project_Data_NYSE[[#This Row],[Gross Profit]]/Project_Data_NYSE[[#This Row],[ Total Revenue ]]</f>
        <v>0.39832201358369956</v>
      </c>
      <c r="O94" s="31">
        <f>Project_Data_NYSE[[#This Row],[Operating Profit]]/Project_Data_NYSE[[#This Row],[ Total Revenue ]]</f>
        <v>0.10294313490478094</v>
      </c>
      <c r="Q94" t="s">
        <v>174</v>
      </c>
    </row>
    <row r="95" spans="1:17" x14ac:dyDescent="0.2">
      <c r="A95">
        <v>97</v>
      </c>
      <c r="B95" t="s">
        <v>66</v>
      </c>
      <c r="C95" t="s">
        <v>14</v>
      </c>
      <c r="D95" s="48">
        <v>41938</v>
      </c>
      <c r="E95" s="3">
        <v>9072000000</v>
      </c>
      <c r="F95" s="3">
        <v>5229000000</v>
      </c>
      <c r="G95" s="3">
        <f>Project_Data_NYSE[[#This Row],[ Total Revenue ]]-Project_Data_NYSE[[#This Row],[ Cost of Goods Sold ]]</f>
        <v>3843000000</v>
      </c>
      <c r="H95" s="3">
        <v>895000000</v>
      </c>
      <c r="I95" s="3">
        <v>1428000000</v>
      </c>
      <c r="J95" s="3">
        <v>0</v>
      </c>
      <c r="K95" s="3">
        <f>Project_Data_NYSE[[#This Row],[Gross Profit]]-Project_Data_NYSE[[#This Row],[ Sales, General and Admin. ]]-Project_Data_NYSE[[#This Row],[ Research and Development ]]-Project_Data_NYSE[[#This Row],[ Other Operating Items ]]</f>
        <v>1520000000</v>
      </c>
      <c r="L95" t="s">
        <v>21</v>
      </c>
      <c r="M95" t="s">
        <v>67</v>
      </c>
      <c r="N95" s="31">
        <f>Project_Data_NYSE[[#This Row],[Gross Profit]]/Project_Data_NYSE[[#This Row],[ Total Revenue ]]</f>
        <v>0.4236111111111111</v>
      </c>
      <c r="O95" s="31">
        <f>Project_Data_NYSE[[#This Row],[Operating Profit]]/Project_Data_NYSE[[#This Row],[ Total Revenue ]]</f>
        <v>0.16754850088183421</v>
      </c>
      <c r="Q95" t="s">
        <v>176</v>
      </c>
    </row>
    <row r="96" spans="1:17" x14ac:dyDescent="0.2">
      <c r="A96">
        <v>98</v>
      </c>
      <c r="B96" t="s">
        <v>66</v>
      </c>
      <c r="C96" t="s">
        <v>15</v>
      </c>
      <c r="D96" s="48">
        <v>42302</v>
      </c>
      <c r="E96" s="3">
        <v>9659000000</v>
      </c>
      <c r="F96" s="3">
        <v>5707000000</v>
      </c>
      <c r="G96" s="3">
        <f>Project_Data_NYSE[[#This Row],[ Total Revenue ]]-Project_Data_NYSE[[#This Row],[ Cost of Goods Sold ]]</f>
        <v>3952000000</v>
      </c>
      <c r="H96" s="3">
        <v>808000000</v>
      </c>
      <c r="I96" s="3">
        <v>1451000000</v>
      </c>
      <c r="J96" s="3">
        <v>0</v>
      </c>
      <c r="K96" s="3">
        <f>Project_Data_NYSE[[#This Row],[Gross Profit]]-Project_Data_NYSE[[#This Row],[ Sales, General and Admin. ]]-Project_Data_NYSE[[#This Row],[ Research and Development ]]-Project_Data_NYSE[[#This Row],[ Other Operating Items ]]</f>
        <v>1693000000</v>
      </c>
      <c r="L96" t="s">
        <v>21</v>
      </c>
      <c r="M96" t="s">
        <v>67</v>
      </c>
      <c r="N96" s="31">
        <f>Project_Data_NYSE[[#This Row],[Gross Profit]]/Project_Data_NYSE[[#This Row],[ Total Revenue ]]</f>
        <v>0.40915208613728127</v>
      </c>
      <c r="O96" s="31">
        <f>Project_Data_NYSE[[#This Row],[Operating Profit]]/Project_Data_NYSE[[#This Row],[ Total Revenue ]]</f>
        <v>0.17527694378300032</v>
      </c>
      <c r="Q96" t="s">
        <v>178</v>
      </c>
    </row>
    <row r="97" spans="1:17" x14ac:dyDescent="0.2">
      <c r="A97">
        <v>99</v>
      </c>
      <c r="B97" t="s">
        <v>66</v>
      </c>
      <c r="C97" t="s">
        <v>16</v>
      </c>
      <c r="D97" s="48">
        <v>42673</v>
      </c>
      <c r="E97" s="3">
        <v>10825000000</v>
      </c>
      <c r="F97" s="3">
        <v>6314000000</v>
      </c>
      <c r="G97" s="3">
        <f>Project_Data_NYSE[[#This Row],[ Total Revenue ]]-Project_Data_NYSE[[#This Row],[ Cost of Goods Sold ]]</f>
        <v>4511000000</v>
      </c>
      <c r="H97" s="3">
        <v>819000000</v>
      </c>
      <c r="I97" s="3">
        <v>1540000000</v>
      </c>
      <c r="J97" s="3">
        <v>0</v>
      </c>
      <c r="K97" s="3">
        <f>Project_Data_NYSE[[#This Row],[Gross Profit]]-Project_Data_NYSE[[#This Row],[ Sales, General and Admin. ]]-Project_Data_NYSE[[#This Row],[ Research and Development ]]-Project_Data_NYSE[[#This Row],[ Other Operating Items ]]</f>
        <v>2152000000</v>
      </c>
      <c r="L97" t="s">
        <v>21</v>
      </c>
      <c r="M97" t="s">
        <v>67</v>
      </c>
      <c r="N97" s="31">
        <f>Project_Data_NYSE[[#This Row],[Gross Profit]]/Project_Data_NYSE[[#This Row],[ Total Revenue ]]</f>
        <v>0.41672055427251731</v>
      </c>
      <c r="O97" s="31">
        <f>Project_Data_NYSE[[#This Row],[Operating Profit]]/Project_Data_NYSE[[#This Row],[ Total Revenue ]]</f>
        <v>0.19879907621247114</v>
      </c>
      <c r="Q97" t="s">
        <v>180</v>
      </c>
    </row>
    <row r="98" spans="1:17" x14ac:dyDescent="0.2">
      <c r="A98">
        <v>100</v>
      </c>
      <c r="B98" t="s">
        <v>68</v>
      </c>
      <c r="C98" t="s">
        <v>11</v>
      </c>
      <c r="D98" s="48">
        <v>41274</v>
      </c>
      <c r="E98" s="3">
        <v>3334213000</v>
      </c>
      <c r="F98" s="3">
        <v>2154132000</v>
      </c>
      <c r="G98" s="3">
        <f>Project_Data_NYSE[[#This Row],[ Total Revenue ]]-Project_Data_NYSE[[#This Row],[ Cost of Goods Sold ]]</f>
        <v>1180081000</v>
      </c>
      <c r="H98" s="3">
        <v>380532000</v>
      </c>
      <c r="I98" s="3">
        <v>0</v>
      </c>
      <c r="J98" s="3">
        <v>53677000</v>
      </c>
      <c r="K98" s="3">
        <f>Project_Data_NYSE[[#This Row],[Gross Profit]]-Project_Data_NYSE[[#This Row],[ Sales, General and Admin. ]]-Project_Data_NYSE[[#This Row],[ Research and Development ]]-Project_Data_NYSE[[#This Row],[ Other Operating Items ]]</f>
        <v>745872000</v>
      </c>
      <c r="L98" t="s">
        <v>12</v>
      </c>
      <c r="M98" t="s">
        <v>69</v>
      </c>
      <c r="N98" s="31">
        <f>Project_Data_NYSE[[#This Row],[Gross Profit]]/Project_Data_NYSE[[#This Row],[ Total Revenue ]]</f>
        <v>0.35393089763611385</v>
      </c>
      <c r="O98" s="31">
        <f>Project_Data_NYSE[[#This Row],[Operating Profit]]/Project_Data_NYSE[[#This Row],[ Total Revenue ]]</f>
        <v>0.22370256489312471</v>
      </c>
      <c r="Q98" t="s">
        <v>183</v>
      </c>
    </row>
    <row r="99" spans="1:17" x14ac:dyDescent="0.2">
      <c r="A99">
        <v>101</v>
      </c>
      <c r="B99" t="s">
        <v>68</v>
      </c>
      <c r="C99" t="s">
        <v>14</v>
      </c>
      <c r="D99" s="48">
        <v>41639</v>
      </c>
      <c r="E99" s="3">
        <v>3594136000</v>
      </c>
      <c r="F99" s="3">
        <v>2323642000</v>
      </c>
      <c r="G99" s="3">
        <f>Project_Data_NYSE[[#This Row],[ Total Revenue ]]-Project_Data_NYSE[[#This Row],[ Cost of Goods Sold ]]</f>
        <v>1270494000</v>
      </c>
      <c r="H99" s="3">
        <v>398177000</v>
      </c>
      <c r="I99" s="3">
        <v>0</v>
      </c>
      <c r="J99" s="3">
        <v>57238000</v>
      </c>
      <c r="K99" s="3">
        <f>Project_Data_NYSE[[#This Row],[Gross Profit]]-Project_Data_NYSE[[#This Row],[ Sales, General and Admin. ]]-Project_Data_NYSE[[#This Row],[ Research and Development ]]-Project_Data_NYSE[[#This Row],[ Other Operating Items ]]</f>
        <v>815079000</v>
      </c>
      <c r="L99" t="s">
        <v>12</v>
      </c>
      <c r="M99" t="s">
        <v>69</v>
      </c>
      <c r="N99" s="31">
        <f>Project_Data_NYSE[[#This Row],[Gross Profit]]/Project_Data_NYSE[[#This Row],[ Total Revenue ]]</f>
        <v>0.35349079723193555</v>
      </c>
      <c r="O99" s="31">
        <f>Project_Data_NYSE[[#This Row],[Operating Profit]]/Project_Data_NYSE[[#This Row],[ Total Revenue ]]</f>
        <v>0.22678023313530707</v>
      </c>
      <c r="Q99" t="s">
        <v>184</v>
      </c>
    </row>
    <row r="100" spans="1:17" x14ac:dyDescent="0.2">
      <c r="A100">
        <v>102</v>
      </c>
      <c r="B100" t="s">
        <v>68</v>
      </c>
      <c r="C100" t="s">
        <v>15</v>
      </c>
      <c r="D100" s="48">
        <v>42004</v>
      </c>
      <c r="E100" s="3">
        <v>4021964000</v>
      </c>
      <c r="F100" s="3">
        <v>2597017000</v>
      </c>
      <c r="G100" s="3">
        <f>Project_Data_NYSE[[#This Row],[ Total Revenue ]]-Project_Data_NYSE[[#This Row],[ Cost of Goods Sold ]]</f>
        <v>1424947000</v>
      </c>
      <c r="H100" s="3">
        <v>462637000</v>
      </c>
      <c r="I100" s="3">
        <v>0</v>
      </c>
      <c r="J100" s="3">
        <v>63724000</v>
      </c>
      <c r="K100" s="3">
        <f>Project_Data_NYSE[[#This Row],[Gross Profit]]-Project_Data_NYSE[[#This Row],[ Sales, General and Admin. ]]-Project_Data_NYSE[[#This Row],[ Research and Development ]]-Project_Data_NYSE[[#This Row],[ Other Operating Items ]]</f>
        <v>898586000</v>
      </c>
      <c r="L100" t="s">
        <v>12</v>
      </c>
      <c r="M100" t="s">
        <v>69</v>
      </c>
      <c r="N100" s="31">
        <f>Project_Data_NYSE[[#This Row],[Gross Profit]]/Project_Data_NYSE[[#This Row],[ Total Revenue ]]</f>
        <v>0.35429133627252757</v>
      </c>
      <c r="O100" s="31">
        <f>Project_Data_NYSE[[#This Row],[Operating Profit]]/Project_Data_NYSE[[#This Row],[ Total Revenue ]]</f>
        <v>0.22341970241404449</v>
      </c>
      <c r="Q100" t="s">
        <v>185</v>
      </c>
    </row>
    <row r="101" spans="1:17" x14ac:dyDescent="0.2">
      <c r="A101">
        <v>103</v>
      </c>
      <c r="B101" t="s">
        <v>68</v>
      </c>
      <c r="C101" t="s">
        <v>16</v>
      </c>
      <c r="D101" s="48">
        <v>42369</v>
      </c>
      <c r="E101" s="3">
        <v>3974295000</v>
      </c>
      <c r="F101" s="3">
        <v>2549280000</v>
      </c>
      <c r="G101" s="3">
        <f>Project_Data_NYSE[[#This Row],[ Total Revenue ]]-Project_Data_NYSE[[#This Row],[ Cost of Goods Sold ]]</f>
        <v>1425015000</v>
      </c>
      <c r="H101" s="3">
        <v>448592000</v>
      </c>
      <c r="I101" s="3">
        <v>0</v>
      </c>
      <c r="J101" s="3">
        <v>68707000</v>
      </c>
      <c r="K101" s="3">
        <f>Project_Data_NYSE[[#This Row],[Gross Profit]]-Project_Data_NYSE[[#This Row],[ Sales, General and Admin. ]]-Project_Data_NYSE[[#This Row],[ Research and Development ]]-Project_Data_NYSE[[#This Row],[ Other Operating Items ]]</f>
        <v>907716000</v>
      </c>
      <c r="L101" t="s">
        <v>12</v>
      </c>
      <c r="M101" t="s">
        <v>69</v>
      </c>
      <c r="N101" s="31">
        <f>Project_Data_NYSE[[#This Row],[Gross Profit]]/Project_Data_NYSE[[#This Row],[ Total Revenue ]]</f>
        <v>0.35855793291640403</v>
      </c>
      <c r="O101" s="31">
        <f>Project_Data_NYSE[[#This Row],[Operating Profit]]/Project_Data_NYSE[[#This Row],[ Total Revenue ]]</f>
        <v>0.22839673451517817</v>
      </c>
      <c r="Q101" t="s">
        <v>187</v>
      </c>
    </row>
    <row r="102" spans="1:17" x14ac:dyDescent="0.2">
      <c r="A102">
        <v>351</v>
      </c>
      <c r="B102" t="s">
        <v>158</v>
      </c>
      <c r="C102" t="s">
        <v>14</v>
      </c>
      <c r="D102" s="48">
        <v>41639</v>
      </c>
      <c r="E102" s="3">
        <v>10863000000</v>
      </c>
      <c r="F102" s="3">
        <v>8995000000</v>
      </c>
      <c r="G102" s="3">
        <f>Project_Data_NYSE[[#This Row],[ Total Revenue ]]-Project_Data_NYSE[[#This Row],[ Cost of Goods Sold ]]</f>
        <v>1868000000</v>
      </c>
      <c r="H102" s="3">
        <v>1264000000</v>
      </c>
      <c r="I102" s="3">
        <v>0</v>
      </c>
      <c r="J102" s="3">
        <v>327000000</v>
      </c>
      <c r="K102" s="3">
        <f>Project_Data_NYSE[[#This Row],[Gross Profit]]-Project_Data_NYSE[[#This Row],[ Sales, General and Admin. ]]-Project_Data_NYSE[[#This Row],[ Research and Development ]]-Project_Data_NYSE[[#This Row],[ Other Operating Items ]]</f>
        <v>277000000</v>
      </c>
      <c r="L102" t="s">
        <v>24</v>
      </c>
      <c r="M102" t="s">
        <v>80</v>
      </c>
      <c r="N102" s="31">
        <f>Project_Data_NYSE[[#This Row],[Gross Profit]]/Project_Data_NYSE[[#This Row],[ Total Revenue ]]</f>
        <v>0.17195986375770966</v>
      </c>
      <c r="O102" s="31">
        <f>Project_Data_NYSE[[#This Row],[Operating Profit]]/Project_Data_NYSE[[#This Row],[ Total Revenue ]]</f>
        <v>2.5499401638589707E-2</v>
      </c>
      <c r="Q102" t="s">
        <v>188</v>
      </c>
    </row>
    <row r="103" spans="1:17" x14ac:dyDescent="0.2">
      <c r="A103">
        <v>352</v>
      </c>
      <c r="B103" t="s">
        <v>158</v>
      </c>
      <c r="C103" t="s">
        <v>15</v>
      </c>
      <c r="D103" s="48">
        <v>42004</v>
      </c>
      <c r="E103" s="3">
        <v>16560000000</v>
      </c>
      <c r="F103" s="3">
        <v>12678000000</v>
      </c>
      <c r="G103" s="3">
        <f>Project_Data_NYSE[[#This Row],[ Total Revenue ]]-Project_Data_NYSE[[#This Row],[ Cost of Goods Sold ]]</f>
        <v>3882000000</v>
      </c>
      <c r="H103" s="3">
        <v>2012000000</v>
      </c>
      <c r="I103" s="3">
        <v>0</v>
      </c>
      <c r="J103" s="3">
        <v>1406000000</v>
      </c>
      <c r="K103" s="3">
        <f>Project_Data_NYSE[[#This Row],[Gross Profit]]-Project_Data_NYSE[[#This Row],[ Sales, General and Admin. ]]-Project_Data_NYSE[[#This Row],[ Research and Development ]]-Project_Data_NYSE[[#This Row],[ Other Operating Items ]]</f>
        <v>464000000</v>
      </c>
      <c r="L103" t="s">
        <v>24</v>
      </c>
      <c r="M103" t="s">
        <v>80</v>
      </c>
      <c r="N103" s="31">
        <f>Project_Data_NYSE[[#This Row],[Gross Profit]]/Project_Data_NYSE[[#This Row],[ Total Revenue ]]</f>
        <v>0.23442028985507246</v>
      </c>
      <c r="O103" s="31">
        <f>Project_Data_NYSE[[#This Row],[Operating Profit]]/Project_Data_NYSE[[#This Row],[ Total Revenue ]]</f>
        <v>2.8019323671497585E-2</v>
      </c>
      <c r="Q103" t="s">
        <v>189</v>
      </c>
    </row>
    <row r="104" spans="1:17" x14ac:dyDescent="0.2">
      <c r="A104">
        <v>353</v>
      </c>
      <c r="B104" t="s">
        <v>158</v>
      </c>
      <c r="C104" t="s">
        <v>16</v>
      </c>
      <c r="D104" s="48">
        <v>42369</v>
      </c>
      <c r="E104" s="3">
        <v>22760000000</v>
      </c>
      <c r="F104" s="3">
        <v>17242000000</v>
      </c>
      <c r="G104" s="3">
        <f>Project_Data_NYSE[[#This Row],[ Total Revenue ]]-Project_Data_NYSE[[#This Row],[ Cost of Goods Sold ]]</f>
        <v>5518000000</v>
      </c>
      <c r="H104" s="3">
        <v>2977000000</v>
      </c>
      <c r="I104" s="3">
        <v>0</v>
      </c>
      <c r="J104" s="3">
        <v>1836000000</v>
      </c>
      <c r="K104" s="3">
        <f>Project_Data_NYSE[[#This Row],[Gross Profit]]-Project_Data_NYSE[[#This Row],[ Sales, General and Admin. ]]-Project_Data_NYSE[[#This Row],[ Research and Development ]]-Project_Data_NYSE[[#This Row],[ Other Operating Items ]]</f>
        <v>705000000</v>
      </c>
      <c r="L104" t="s">
        <v>24</v>
      </c>
      <c r="M104" t="s">
        <v>80</v>
      </c>
      <c r="N104" s="31">
        <f>Project_Data_NYSE[[#This Row],[Gross Profit]]/Project_Data_NYSE[[#This Row],[ Total Revenue ]]</f>
        <v>0.24244288224956062</v>
      </c>
      <c r="O104" s="31">
        <f>Project_Data_NYSE[[#This Row],[Operating Profit]]/Project_Data_NYSE[[#This Row],[ Total Revenue ]]</f>
        <v>3.0975395430579963E-2</v>
      </c>
      <c r="Q104" t="s">
        <v>190</v>
      </c>
    </row>
    <row r="105" spans="1:17" x14ac:dyDescent="0.2">
      <c r="A105">
        <v>1658</v>
      </c>
      <c r="B105" t="s">
        <v>543</v>
      </c>
      <c r="C105" t="s">
        <v>11</v>
      </c>
      <c r="D105" s="48">
        <v>41274</v>
      </c>
      <c r="E105" s="3">
        <v>1527042000</v>
      </c>
      <c r="F105" s="3">
        <v>279885000</v>
      </c>
      <c r="G105" s="3">
        <f>Project_Data_NYSE[[#This Row],[ Total Revenue ]]-Project_Data_NYSE[[#This Row],[ Cost of Goods Sold ]]</f>
        <v>1247157000</v>
      </c>
      <c r="H105" s="3">
        <v>432681000</v>
      </c>
      <c r="I105" s="3">
        <v>765905000</v>
      </c>
      <c r="J105" s="3">
        <v>0</v>
      </c>
      <c r="K105" s="3">
        <f>Project_Data_NYSE[[#This Row],[Gross Profit]]-Project_Data_NYSE[[#This Row],[ Sales, General and Admin. ]]-Project_Data_NYSE[[#This Row],[ Research and Development ]]-Project_Data_NYSE[[#This Row],[ Other Operating Items ]]</f>
        <v>48571000</v>
      </c>
      <c r="L105" t="s">
        <v>24</v>
      </c>
      <c r="M105" t="s">
        <v>65</v>
      </c>
      <c r="N105" s="31">
        <f>Project_Data_NYSE[[#This Row],[Gross Profit]]/Project_Data_NYSE[[#This Row],[ Total Revenue ]]</f>
        <v>0.8167142750494093</v>
      </c>
      <c r="O105" s="31">
        <f>Project_Data_NYSE[[#This Row],[Operating Profit]]/Project_Data_NYSE[[#This Row],[ Total Revenue ]]</f>
        <v>3.1807245642228567E-2</v>
      </c>
      <c r="Q105" t="s">
        <v>191</v>
      </c>
    </row>
    <row r="106" spans="1:17" x14ac:dyDescent="0.2">
      <c r="A106">
        <v>112</v>
      </c>
      <c r="B106" t="s">
        <v>71</v>
      </c>
      <c r="C106" t="s">
        <v>11</v>
      </c>
      <c r="D106" s="48">
        <v>41274</v>
      </c>
      <c r="E106" s="3">
        <v>10259000000</v>
      </c>
      <c r="F106" s="3">
        <v>1899000000</v>
      </c>
      <c r="G106" s="3">
        <f>Project_Data_NYSE[[#This Row],[ Total Revenue ]]-Project_Data_NYSE[[#This Row],[ Cost of Goods Sold ]]</f>
        <v>8360000000</v>
      </c>
      <c r="H106" s="3">
        <v>3927000000</v>
      </c>
      <c r="I106" s="3">
        <v>0</v>
      </c>
      <c r="J106" s="3">
        <v>2877000000</v>
      </c>
      <c r="K106" s="3">
        <f>Project_Data_NYSE[[#This Row],[Gross Profit]]-Project_Data_NYSE[[#This Row],[ Sales, General and Admin. ]]-Project_Data_NYSE[[#This Row],[ Research and Development ]]-Project_Data_NYSE[[#This Row],[ Other Operating Items ]]</f>
        <v>1556000000</v>
      </c>
      <c r="L106" t="s">
        <v>46</v>
      </c>
      <c r="M106" t="s">
        <v>72</v>
      </c>
      <c r="N106" s="31">
        <f>Project_Data_NYSE[[#This Row],[Gross Profit]]/Project_Data_NYSE[[#This Row],[ Total Revenue ]]</f>
        <v>0.8148942392046008</v>
      </c>
      <c r="O106" s="31">
        <f>Project_Data_NYSE[[#This Row],[Operating Profit]]/Project_Data_NYSE[[#This Row],[ Total Revenue ]]</f>
        <v>0.15167170289501899</v>
      </c>
      <c r="Q106" t="s">
        <v>193</v>
      </c>
    </row>
    <row r="107" spans="1:17" x14ac:dyDescent="0.2">
      <c r="A107">
        <v>113</v>
      </c>
      <c r="B107" t="s">
        <v>71</v>
      </c>
      <c r="C107" t="s">
        <v>14</v>
      </c>
      <c r="D107" s="48">
        <v>41639</v>
      </c>
      <c r="E107" s="3">
        <v>11230000000</v>
      </c>
      <c r="F107" s="3">
        <v>1954000000</v>
      </c>
      <c r="G107" s="3">
        <f>Project_Data_NYSE[[#This Row],[ Total Revenue ]]-Project_Data_NYSE[[#This Row],[ Cost of Goods Sold ]]</f>
        <v>9276000000</v>
      </c>
      <c r="H107" s="3">
        <v>3862000000</v>
      </c>
      <c r="I107" s="3">
        <v>0</v>
      </c>
      <c r="J107" s="3">
        <v>3132000000</v>
      </c>
      <c r="K107" s="3">
        <f>Project_Data_NYSE[[#This Row],[Gross Profit]]-Project_Data_NYSE[[#This Row],[ Sales, General and Admin. ]]-Project_Data_NYSE[[#This Row],[ Research and Development ]]-Project_Data_NYSE[[#This Row],[ Other Operating Items ]]</f>
        <v>2282000000</v>
      </c>
      <c r="L107" t="s">
        <v>46</v>
      </c>
      <c r="M107" t="s">
        <v>72</v>
      </c>
      <c r="N107" s="31">
        <f>Project_Data_NYSE[[#This Row],[Gross Profit]]/Project_Data_NYSE[[#This Row],[ Total Revenue ]]</f>
        <v>0.82600178094390031</v>
      </c>
      <c r="O107" s="31">
        <f>Project_Data_NYSE[[#This Row],[Operating Profit]]/Project_Data_NYSE[[#This Row],[ Total Revenue ]]</f>
        <v>0.20320569902048086</v>
      </c>
      <c r="Q107" t="s">
        <v>194</v>
      </c>
    </row>
    <row r="108" spans="1:17" x14ac:dyDescent="0.2">
      <c r="A108">
        <v>114</v>
      </c>
      <c r="B108" t="s">
        <v>71</v>
      </c>
      <c r="C108" t="s">
        <v>15</v>
      </c>
      <c r="D108" s="48">
        <v>42004</v>
      </c>
      <c r="E108" s="3">
        <v>12296000000</v>
      </c>
      <c r="F108" s="3">
        <v>1982000000</v>
      </c>
      <c r="G108" s="3">
        <f>Project_Data_NYSE[[#This Row],[ Total Revenue ]]-Project_Data_NYSE[[#This Row],[ Cost of Goods Sold ]]</f>
        <v>10314000000</v>
      </c>
      <c r="H108" s="3">
        <v>3808000000</v>
      </c>
      <c r="I108" s="3">
        <v>0</v>
      </c>
      <c r="J108" s="3">
        <v>3603000000</v>
      </c>
      <c r="K108" s="3">
        <f>Project_Data_NYSE[[#This Row],[Gross Profit]]-Project_Data_NYSE[[#This Row],[ Sales, General and Admin. ]]-Project_Data_NYSE[[#This Row],[ Research and Development ]]-Project_Data_NYSE[[#This Row],[ Other Operating Items ]]</f>
        <v>2903000000</v>
      </c>
      <c r="L108" t="s">
        <v>46</v>
      </c>
      <c r="M108" t="s">
        <v>72</v>
      </c>
      <c r="N108" s="31">
        <f>Project_Data_NYSE[[#This Row],[Gross Profit]]/Project_Data_NYSE[[#This Row],[ Total Revenue ]]</f>
        <v>0.83880936890045543</v>
      </c>
      <c r="O108" s="31">
        <f>Project_Data_NYSE[[#This Row],[Operating Profit]]/Project_Data_NYSE[[#This Row],[ Total Revenue ]]</f>
        <v>0.23609303838646714</v>
      </c>
      <c r="Q108" t="s">
        <v>195</v>
      </c>
    </row>
    <row r="109" spans="1:17" x14ac:dyDescent="0.2">
      <c r="A109">
        <v>115</v>
      </c>
      <c r="B109" t="s">
        <v>71</v>
      </c>
      <c r="C109" t="s">
        <v>16</v>
      </c>
      <c r="D109" s="48">
        <v>42369</v>
      </c>
      <c r="E109" s="3">
        <v>12200000000</v>
      </c>
      <c r="F109" s="3">
        <v>2261000000</v>
      </c>
      <c r="G109" s="3">
        <f>Project_Data_NYSE[[#This Row],[ Total Revenue ]]-Project_Data_NYSE[[#This Row],[ Cost of Goods Sold ]]</f>
        <v>9939000000</v>
      </c>
      <c r="H109" s="3">
        <v>3750000000</v>
      </c>
      <c r="I109" s="3">
        <v>0</v>
      </c>
      <c r="J109" s="3">
        <v>3630000000</v>
      </c>
      <c r="K109" s="3">
        <f>Project_Data_NYSE[[#This Row],[Gross Profit]]-Project_Data_NYSE[[#This Row],[ Sales, General and Admin. ]]-Project_Data_NYSE[[#This Row],[ Research and Development ]]-Project_Data_NYSE[[#This Row],[ Other Operating Items ]]</f>
        <v>2559000000</v>
      </c>
      <c r="L109" t="s">
        <v>46</v>
      </c>
      <c r="M109" t="s">
        <v>72</v>
      </c>
      <c r="N109" s="31">
        <f>Project_Data_NYSE[[#This Row],[Gross Profit]]/Project_Data_NYSE[[#This Row],[ Total Revenue ]]</f>
        <v>0.814672131147541</v>
      </c>
      <c r="O109" s="31">
        <f>Project_Data_NYSE[[#This Row],[Operating Profit]]/Project_Data_NYSE[[#This Row],[ Total Revenue ]]</f>
        <v>0.20975409836065573</v>
      </c>
      <c r="Q109" t="s">
        <v>197</v>
      </c>
    </row>
    <row r="110" spans="1:17" x14ac:dyDescent="0.2">
      <c r="A110">
        <v>116</v>
      </c>
      <c r="B110" t="s">
        <v>73</v>
      </c>
      <c r="C110" t="s">
        <v>11</v>
      </c>
      <c r="D110" s="48">
        <v>41274</v>
      </c>
      <c r="E110" s="3">
        <v>2875960000</v>
      </c>
      <c r="F110" s="3">
        <v>722479000</v>
      </c>
      <c r="G110" s="3">
        <f>Project_Data_NYSE[[#This Row],[ Total Revenue ]]-Project_Data_NYSE[[#This Row],[ Cost of Goods Sold ]]</f>
        <v>2153481000</v>
      </c>
      <c r="H110" s="3">
        <v>389486000</v>
      </c>
      <c r="I110" s="3">
        <v>0</v>
      </c>
      <c r="J110" s="3">
        <v>644276000</v>
      </c>
      <c r="K110" s="3">
        <f>Project_Data_NYSE[[#This Row],[Gross Profit]]-Project_Data_NYSE[[#This Row],[ Sales, General and Admin. ]]-Project_Data_NYSE[[#This Row],[ Research and Development ]]-Project_Data_NYSE[[#This Row],[ Other Operating Items ]]</f>
        <v>1119719000</v>
      </c>
      <c r="L110" t="s">
        <v>51</v>
      </c>
      <c r="M110" t="s">
        <v>74</v>
      </c>
      <c r="N110" s="31">
        <f>Project_Data_NYSE[[#This Row],[Gross Profit]]/Project_Data_NYSE[[#This Row],[ Total Revenue ]]</f>
        <v>0.74878683987259909</v>
      </c>
      <c r="O110" s="31">
        <f>Project_Data_NYSE[[#This Row],[Operating Profit]]/Project_Data_NYSE[[#This Row],[ Total Revenue ]]</f>
        <v>0.38933747340018637</v>
      </c>
      <c r="Q110" t="s">
        <v>199</v>
      </c>
    </row>
    <row r="111" spans="1:17" x14ac:dyDescent="0.2">
      <c r="A111">
        <v>117</v>
      </c>
      <c r="B111" t="s">
        <v>73</v>
      </c>
      <c r="C111" t="s">
        <v>14</v>
      </c>
      <c r="D111" s="48">
        <v>41639</v>
      </c>
      <c r="E111" s="3">
        <v>3361407000</v>
      </c>
      <c r="F111" s="3">
        <v>859873000</v>
      </c>
      <c r="G111" s="3">
        <f>Project_Data_NYSE[[#This Row],[ Total Revenue ]]-Project_Data_NYSE[[#This Row],[ Cost of Goods Sold ]]</f>
        <v>2501534000</v>
      </c>
      <c r="H111" s="3">
        <v>487084000</v>
      </c>
      <c r="I111" s="3">
        <v>0</v>
      </c>
      <c r="J111" s="3">
        <v>800145000</v>
      </c>
      <c r="K111" s="3">
        <f>Project_Data_NYSE[[#This Row],[Gross Profit]]-Project_Data_NYSE[[#This Row],[ Sales, General and Admin. ]]-Project_Data_NYSE[[#This Row],[ Research and Development ]]-Project_Data_NYSE[[#This Row],[ Other Operating Items ]]</f>
        <v>1214305000</v>
      </c>
      <c r="L111" t="s">
        <v>51</v>
      </c>
      <c r="M111" t="s">
        <v>74</v>
      </c>
      <c r="N111" s="31">
        <f>Project_Data_NYSE[[#This Row],[Gross Profit]]/Project_Data_NYSE[[#This Row],[ Total Revenue ]]</f>
        <v>0.74419253604219904</v>
      </c>
      <c r="O111" s="31">
        <f>Project_Data_NYSE[[#This Row],[Operating Profit]]/Project_Data_NYSE[[#This Row],[ Total Revenue ]]</f>
        <v>0.36124902459000058</v>
      </c>
      <c r="Q111" t="s">
        <v>201</v>
      </c>
    </row>
    <row r="112" spans="1:17" x14ac:dyDescent="0.2">
      <c r="A112">
        <v>118</v>
      </c>
      <c r="B112" t="s">
        <v>73</v>
      </c>
      <c r="C112" t="s">
        <v>15</v>
      </c>
      <c r="D112" s="48">
        <v>42004</v>
      </c>
      <c r="E112" s="3">
        <v>4100048000</v>
      </c>
      <c r="F112" s="3">
        <v>1094265000</v>
      </c>
      <c r="G112" s="3">
        <f>Project_Data_NYSE[[#This Row],[ Total Revenue ]]-Project_Data_NYSE[[#This Row],[ Cost of Goods Sold ]]</f>
        <v>3005783000</v>
      </c>
      <c r="H112" s="3">
        <v>515059000</v>
      </c>
      <c r="I112" s="3">
        <v>0</v>
      </c>
      <c r="J112" s="3">
        <v>1003802000</v>
      </c>
      <c r="K112" s="3">
        <f>Project_Data_NYSE[[#This Row],[Gross Profit]]-Project_Data_NYSE[[#This Row],[ Sales, General and Admin. ]]-Project_Data_NYSE[[#This Row],[ Research and Development ]]-Project_Data_NYSE[[#This Row],[ Other Operating Items ]]</f>
        <v>1486922000</v>
      </c>
      <c r="L112" t="s">
        <v>51</v>
      </c>
      <c r="M112" t="s">
        <v>74</v>
      </c>
      <c r="N112" s="31">
        <f>Project_Data_NYSE[[#This Row],[Gross Profit]]/Project_Data_NYSE[[#This Row],[ Total Revenue ]]</f>
        <v>0.73310922213593599</v>
      </c>
      <c r="O112" s="31">
        <f>Project_Data_NYSE[[#This Row],[Operating Profit]]/Project_Data_NYSE[[#This Row],[ Total Revenue ]]</f>
        <v>0.36265965666743416</v>
      </c>
      <c r="Q112" t="s">
        <v>202</v>
      </c>
    </row>
    <row r="113" spans="1:17" x14ac:dyDescent="0.2">
      <c r="A113">
        <v>119</v>
      </c>
      <c r="B113" t="s">
        <v>73</v>
      </c>
      <c r="C113" t="s">
        <v>16</v>
      </c>
      <c r="D113" s="48">
        <v>42369</v>
      </c>
      <c r="E113" s="3">
        <v>4771516000</v>
      </c>
      <c r="F113" s="3">
        <v>1308868000</v>
      </c>
      <c r="G113" s="3">
        <f>Project_Data_NYSE[[#This Row],[ Total Revenue ]]-Project_Data_NYSE[[#This Row],[ Cost of Goods Sold ]]</f>
        <v>3462648000</v>
      </c>
      <c r="H113" s="3">
        <v>564531000</v>
      </c>
      <c r="I113" s="3">
        <v>0</v>
      </c>
      <c r="J113" s="3">
        <v>1285328000</v>
      </c>
      <c r="K113" s="3">
        <f>Project_Data_NYSE[[#This Row],[Gross Profit]]-Project_Data_NYSE[[#This Row],[ Sales, General and Admin. ]]-Project_Data_NYSE[[#This Row],[ Research and Development ]]-Project_Data_NYSE[[#This Row],[ Other Operating Items ]]</f>
        <v>1612789000</v>
      </c>
      <c r="L113" t="s">
        <v>51</v>
      </c>
      <c r="M113" t="s">
        <v>74</v>
      </c>
      <c r="N113" s="31">
        <f>Project_Data_NYSE[[#This Row],[Gross Profit]]/Project_Data_NYSE[[#This Row],[ Total Revenue ]]</f>
        <v>0.72569137355926294</v>
      </c>
      <c r="O113" s="31">
        <f>Project_Data_NYSE[[#This Row],[Operating Profit]]/Project_Data_NYSE[[#This Row],[ Total Revenue ]]</f>
        <v>0.33800347730155361</v>
      </c>
      <c r="Q113" t="s">
        <v>204</v>
      </c>
    </row>
    <row r="114" spans="1:17" x14ac:dyDescent="0.2">
      <c r="A114">
        <v>120</v>
      </c>
      <c r="B114" t="s">
        <v>75</v>
      </c>
      <c r="C114" t="s">
        <v>11</v>
      </c>
      <c r="D114" s="48">
        <v>41639</v>
      </c>
      <c r="E114" s="3">
        <v>74452000000</v>
      </c>
      <c r="F114" s="3">
        <v>54181000000</v>
      </c>
      <c r="G114" s="3">
        <f>Project_Data_NYSE[[#This Row],[ Total Revenue ]]-Project_Data_NYSE[[#This Row],[ Cost of Goods Sold ]]</f>
        <v>20271000000</v>
      </c>
      <c r="H114" s="3">
        <v>19526000000</v>
      </c>
      <c r="I114" s="3">
        <v>0</v>
      </c>
      <c r="J114" s="3">
        <v>0</v>
      </c>
      <c r="K114" s="3">
        <f>Project_Data_NYSE[[#This Row],[Gross Profit]]-Project_Data_NYSE[[#This Row],[ Sales, General and Admin. ]]-Project_Data_NYSE[[#This Row],[ Research and Development ]]-Project_Data_NYSE[[#This Row],[ Other Operating Items ]]</f>
        <v>745000000</v>
      </c>
      <c r="L114" t="s">
        <v>18</v>
      </c>
      <c r="M114" t="s">
        <v>76</v>
      </c>
      <c r="N114" s="31">
        <f>Project_Data_NYSE[[#This Row],[Gross Profit]]/Project_Data_NYSE[[#This Row],[ Total Revenue ]]</f>
        <v>0.27226938161500025</v>
      </c>
      <c r="O114" s="31">
        <f>Project_Data_NYSE[[#This Row],[Operating Profit]]/Project_Data_NYSE[[#This Row],[ Total Revenue ]]</f>
        <v>1.0006447106860796E-2</v>
      </c>
      <c r="Q114" t="s">
        <v>205</v>
      </c>
    </row>
    <row r="115" spans="1:17" x14ac:dyDescent="0.2">
      <c r="A115">
        <v>121</v>
      </c>
      <c r="B115" t="s">
        <v>75</v>
      </c>
      <c r="C115" t="s">
        <v>14</v>
      </c>
      <c r="D115" s="48">
        <v>42004</v>
      </c>
      <c r="E115" s="3">
        <v>88988000000</v>
      </c>
      <c r="F115" s="3">
        <v>62752000000</v>
      </c>
      <c r="G115" s="3">
        <f>Project_Data_NYSE[[#This Row],[ Total Revenue ]]-Project_Data_NYSE[[#This Row],[ Cost of Goods Sold ]]</f>
        <v>26236000000</v>
      </c>
      <c r="H115" s="3">
        <v>26058000000</v>
      </c>
      <c r="I115" s="3">
        <v>0</v>
      </c>
      <c r="J115" s="3">
        <v>0</v>
      </c>
      <c r="K115" s="3">
        <f>Project_Data_NYSE[[#This Row],[Gross Profit]]-Project_Data_NYSE[[#This Row],[ Sales, General and Admin. ]]-Project_Data_NYSE[[#This Row],[ Research and Development ]]-Project_Data_NYSE[[#This Row],[ Other Operating Items ]]</f>
        <v>178000000</v>
      </c>
      <c r="L115" t="s">
        <v>18</v>
      </c>
      <c r="M115" t="s">
        <v>76</v>
      </c>
      <c r="N115" s="31">
        <f>Project_Data_NYSE[[#This Row],[Gross Profit]]/Project_Data_NYSE[[#This Row],[ Total Revenue ]]</f>
        <v>0.29482626871038792</v>
      </c>
      <c r="O115" s="31">
        <f>Project_Data_NYSE[[#This Row],[Operating Profit]]/Project_Data_NYSE[[#This Row],[ Total Revenue ]]</f>
        <v>2.000269699285297E-3</v>
      </c>
      <c r="Q115" t="s">
        <v>206</v>
      </c>
    </row>
    <row r="116" spans="1:17" x14ac:dyDescent="0.2">
      <c r="A116">
        <v>122</v>
      </c>
      <c r="B116" t="s">
        <v>75</v>
      </c>
      <c r="C116" t="s">
        <v>15</v>
      </c>
      <c r="D116" s="48">
        <v>42369</v>
      </c>
      <c r="E116" s="3">
        <v>107006000000</v>
      </c>
      <c r="F116" s="3">
        <v>71651000000</v>
      </c>
      <c r="G116" s="3">
        <f>Project_Data_NYSE[[#This Row],[ Total Revenue ]]-Project_Data_NYSE[[#This Row],[ Cost of Goods Sold ]]</f>
        <v>35355000000</v>
      </c>
      <c r="H116" s="3">
        <v>33122000000</v>
      </c>
      <c r="I116" s="3">
        <v>0</v>
      </c>
      <c r="J116" s="3">
        <v>0</v>
      </c>
      <c r="K116" s="3">
        <f>Project_Data_NYSE[[#This Row],[Gross Profit]]-Project_Data_NYSE[[#This Row],[ Sales, General and Admin. ]]-Project_Data_NYSE[[#This Row],[ Research and Development ]]-Project_Data_NYSE[[#This Row],[ Other Operating Items ]]</f>
        <v>2233000000</v>
      </c>
      <c r="L116" t="s">
        <v>18</v>
      </c>
      <c r="M116" t="s">
        <v>76</v>
      </c>
      <c r="N116" s="31">
        <f>Project_Data_NYSE[[#This Row],[Gross Profit]]/Project_Data_NYSE[[#This Row],[ Total Revenue ]]</f>
        <v>0.33040203353083003</v>
      </c>
      <c r="O116" s="31">
        <f>Project_Data_NYSE[[#This Row],[Operating Profit]]/Project_Data_NYSE[[#This Row],[ Total Revenue ]]</f>
        <v>2.0867988710913405E-2</v>
      </c>
      <c r="Q116" t="s">
        <v>207</v>
      </c>
    </row>
    <row r="117" spans="1:17" x14ac:dyDescent="0.2">
      <c r="A117">
        <v>123</v>
      </c>
      <c r="B117" t="s">
        <v>75</v>
      </c>
      <c r="C117" t="s">
        <v>16</v>
      </c>
      <c r="D117" s="48">
        <v>42735</v>
      </c>
      <c r="E117" s="3">
        <v>135987000000</v>
      </c>
      <c r="F117" s="3">
        <v>88265000000</v>
      </c>
      <c r="G117" s="3">
        <f>Project_Data_NYSE[[#This Row],[ Total Revenue ]]-Project_Data_NYSE[[#This Row],[ Cost of Goods Sold ]]</f>
        <v>47722000000</v>
      </c>
      <c r="H117" s="3">
        <v>43536000000</v>
      </c>
      <c r="I117" s="3">
        <v>0</v>
      </c>
      <c r="J117" s="3">
        <v>0</v>
      </c>
      <c r="K117" s="3">
        <f>Project_Data_NYSE[[#This Row],[Gross Profit]]-Project_Data_NYSE[[#This Row],[ Sales, General and Admin. ]]-Project_Data_NYSE[[#This Row],[ Research and Development ]]-Project_Data_NYSE[[#This Row],[ Other Operating Items ]]</f>
        <v>4186000000</v>
      </c>
      <c r="L117" t="s">
        <v>18</v>
      </c>
      <c r="M117" t="s">
        <v>76</v>
      </c>
      <c r="N117" s="31">
        <f>Project_Data_NYSE[[#This Row],[Gross Profit]]/Project_Data_NYSE[[#This Row],[ Total Revenue ]]</f>
        <v>0.35093060366064405</v>
      </c>
      <c r="O117" s="31">
        <f>Project_Data_NYSE[[#This Row],[Operating Profit]]/Project_Data_NYSE[[#This Row],[ Total Revenue ]]</f>
        <v>3.0782354195621642E-2</v>
      </c>
      <c r="Q117" t="s">
        <v>208</v>
      </c>
    </row>
    <row r="118" spans="1:17" x14ac:dyDescent="0.2">
      <c r="A118">
        <v>124</v>
      </c>
      <c r="B118" t="s">
        <v>77</v>
      </c>
      <c r="C118" t="s">
        <v>11</v>
      </c>
      <c r="D118" s="48">
        <v>41639</v>
      </c>
      <c r="E118" s="3">
        <v>17517600000</v>
      </c>
      <c r="F118" s="3">
        <v>14757700000</v>
      </c>
      <c r="G118" s="3">
        <f>Project_Data_NYSE[[#This Row],[ Total Revenue ]]-Project_Data_NYSE[[#This Row],[ Cost of Goods Sold ]]</f>
        <v>2759900000</v>
      </c>
      <c r="H118" s="3">
        <v>1924300000</v>
      </c>
      <c r="I118" s="3">
        <v>0</v>
      </c>
      <c r="J118" s="3">
        <v>95300000</v>
      </c>
      <c r="K118" s="3">
        <f>Project_Data_NYSE[[#This Row],[Gross Profit]]-Project_Data_NYSE[[#This Row],[ Sales, General and Admin. ]]-Project_Data_NYSE[[#This Row],[ Research and Development ]]-Project_Data_NYSE[[#This Row],[ Other Operating Items ]]</f>
        <v>740300000</v>
      </c>
      <c r="L118" t="s">
        <v>18</v>
      </c>
      <c r="M118" t="s">
        <v>78</v>
      </c>
      <c r="N118" s="31">
        <f>Project_Data_NYSE[[#This Row],[Gross Profit]]/Project_Data_NYSE[[#This Row],[ Total Revenue ]]</f>
        <v>0.15755012102114446</v>
      </c>
      <c r="O118" s="31">
        <f>Project_Data_NYSE[[#This Row],[Operating Profit]]/Project_Data_NYSE[[#This Row],[ Total Revenue ]]</f>
        <v>4.2260355299812757E-2</v>
      </c>
      <c r="Q118" t="s">
        <v>209</v>
      </c>
    </row>
    <row r="119" spans="1:17" x14ac:dyDescent="0.2">
      <c r="A119">
        <v>125</v>
      </c>
      <c r="B119" t="s">
        <v>77</v>
      </c>
      <c r="C119" t="s">
        <v>14</v>
      </c>
      <c r="D119" s="48">
        <v>42004</v>
      </c>
      <c r="E119" s="3">
        <v>19108800000</v>
      </c>
      <c r="F119" s="3">
        <v>16120100000</v>
      </c>
      <c r="G119" s="3">
        <f>Project_Data_NYSE[[#This Row],[ Total Revenue ]]-Project_Data_NYSE[[#This Row],[ Cost of Goods Sold ]]</f>
        <v>2988700000</v>
      </c>
      <c r="H119" s="3">
        <v>2061000000</v>
      </c>
      <c r="I119" s="3">
        <v>0</v>
      </c>
      <c r="J119" s="3">
        <v>106900000</v>
      </c>
      <c r="K119" s="3">
        <f>Project_Data_NYSE[[#This Row],[Gross Profit]]-Project_Data_NYSE[[#This Row],[ Sales, General and Admin. ]]-Project_Data_NYSE[[#This Row],[ Research and Development ]]-Project_Data_NYSE[[#This Row],[ Other Operating Items ]]</f>
        <v>820800000</v>
      </c>
      <c r="L119" t="s">
        <v>18</v>
      </c>
      <c r="M119" t="s">
        <v>78</v>
      </c>
      <c r="N119" s="31">
        <f>Project_Data_NYSE[[#This Row],[Gross Profit]]/Project_Data_NYSE[[#This Row],[ Total Revenue ]]</f>
        <v>0.15640437913422089</v>
      </c>
      <c r="O119" s="31">
        <f>Project_Data_NYSE[[#This Row],[Operating Profit]]/Project_Data_NYSE[[#This Row],[ Total Revenue ]]</f>
        <v>4.2954031650339113E-2</v>
      </c>
      <c r="Q119" t="s">
        <v>211</v>
      </c>
    </row>
    <row r="120" spans="1:17" x14ac:dyDescent="0.2">
      <c r="A120">
        <v>126</v>
      </c>
      <c r="B120" t="s">
        <v>77</v>
      </c>
      <c r="C120" t="s">
        <v>15</v>
      </c>
      <c r="D120" s="48">
        <v>42369</v>
      </c>
      <c r="E120" s="3">
        <v>20862000000</v>
      </c>
      <c r="F120" s="3">
        <v>17600500000</v>
      </c>
      <c r="G120" s="3">
        <f>Project_Data_NYSE[[#This Row],[ Total Revenue ]]-Project_Data_NYSE[[#This Row],[ Cost of Goods Sold ]]</f>
        <v>3261500000</v>
      </c>
      <c r="H120" s="3">
        <v>2245600000</v>
      </c>
      <c r="I120" s="3">
        <v>0</v>
      </c>
      <c r="J120" s="3">
        <v>127400000</v>
      </c>
      <c r="K120" s="3">
        <f>Project_Data_NYSE[[#This Row],[Gross Profit]]-Project_Data_NYSE[[#This Row],[ Sales, General and Admin. ]]-Project_Data_NYSE[[#This Row],[ Research and Development ]]-Project_Data_NYSE[[#This Row],[ Other Operating Items ]]</f>
        <v>888500000</v>
      </c>
      <c r="L120" t="s">
        <v>18</v>
      </c>
      <c r="M120" t="s">
        <v>78</v>
      </c>
      <c r="N120" s="31">
        <f>Project_Data_NYSE[[#This Row],[Gross Profit]]/Project_Data_NYSE[[#This Row],[ Total Revenue ]]</f>
        <v>0.15633688045249736</v>
      </c>
      <c r="O120" s="31">
        <f>Project_Data_NYSE[[#This Row],[Operating Profit]]/Project_Data_NYSE[[#This Row],[ Total Revenue ]]</f>
        <v>4.2589396989742116E-2</v>
      </c>
      <c r="Q120" t="s">
        <v>212</v>
      </c>
    </row>
    <row r="121" spans="1:17" x14ac:dyDescent="0.2">
      <c r="A121">
        <v>127</v>
      </c>
      <c r="B121" t="s">
        <v>77</v>
      </c>
      <c r="C121" t="s">
        <v>16</v>
      </c>
      <c r="D121" s="48">
        <v>42735</v>
      </c>
      <c r="E121" s="3">
        <v>21609000000</v>
      </c>
      <c r="F121" s="3">
        <v>18295800000</v>
      </c>
      <c r="G121" s="3">
        <f>Project_Data_NYSE[[#This Row],[ Total Revenue ]]-Project_Data_NYSE[[#This Row],[ Cost of Goods Sold ]]</f>
        <v>3313200000</v>
      </c>
      <c r="H121" s="3">
        <v>2280300000</v>
      </c>
      <c r="I121" s="3">
        <v>0</v>
      </c>
      <c r="J121" s="3">
        <v>143400000</v>
      </c>
      <c r="K121" s="3">
        <f>Project_Data_NYSE[[#This Row],[Gross Profit]]-Project_Data_NYSE[[#This Row],[ Sales, General and Admin. ]]-Project_Data_NYSE[[#This Row],[ Research and Development ]]-Project_Data_NYSE[[#This Row],[ Other Operating Items ]]</f>
        <v>889500000</v>
      </c>
      <c r="L121" t="s">
        <v>18</v>
      </c>
      <c r="M121" t="s">
        <v>78</v>
      </c>
      <c r="N121" s="31">
        <f>Project_Data_NYSE[[#This Row],[Gross Profit]]/Project_Data_NYSE[[#This Row],[ Total Revenue ]]</f>
        <v>0.15332500347077607</v>
      </c>
      <c r="O121" s="31">
        <f>Project_Data_NYSE[[#This Row],[Operating Profit]]/Project_Data_NYSE[[#This Row],[ Total Revenue ]]</f>
        <v>4.1163404137165072E-2</v>
      </c>
      <c r="Q121" t="s">
        <v>214</v>
      </c>
    </row>
    <row r="122" spans="1:17" x14ac:dyDescent="0.2">
      <c r="A122">
        <v>822</v>
      </c>
      <c r="B122" t="s">
        <v>312</v>
      </c>
      <c r="C122" t="s">
        <v>16</v>
      </c>
      <c r="D122" s="48">
        <v>42735</v>
      </c>
      <c r="E122" s="3">
        <v>54379000000</v>
      </c>
      <c r="F122" s="3">
        <v>45007000000</v>
      </c>
      <c r="G122" s="3">
        <f>Project_Data_NYSE[[#This Row],[ Total Revenue ]]-Project_Data_NYSE[[#This Row],[ Cost of Goods Sold ]]</f>
        <v>9372000000</v>
      </c>
      <c r="H122" s="3">
        <v>0</v>
      </c>
      <c r="I122" s="3">
        <v>0</v>
      </c>
      <c r="J122" s="3">
        <v>7631000000</v>
      </c>
      <c r="K122" s="3">
        <f>Project_Data_NYSE[[#This Row],[Gross Profit]]-Project_Data_NYSE[[#This Row],[ Sales, General and Admin. ]]-Project_Data_NYSE[[#This Row],[ Research and Development ]]-Project_Data_NYSE[[#This Row],[ Other Operating Items ]]</f>
        <v>1741000000</v>
      </c>
      <c r="L122" t="s">
        <v>24</v>
      </c>
      <c r="M122" t="s">
        <v>80</v>
      </c>
      <c r="N122" s="31">
        <f>Project_Data_NYSE[[#This Row],[Gross Profit]]/Project_Data_NYSE[[#This Row],[ Total Revenue ]]</f>
        <v>0.17234594236745804</v>
      </c>
      <c r="O122" s="31">
        <f>Project_Data_NYSE[[#This Row],[Operating Profit]]/Project_Data_NYSE[[#This Row],[ Total Revenue ]]</f>
        <v>3.2016035601978708E-2</v>
      </c>
      <c r="Q122" t="s">
        <v>215</v>
      </c>
    </row>
    <row r="123" spans="1:17" x14ac:dyDescent="0.2">
      <c r="A123">
        <v>821</v>
      </c>
      <c r="B123" t="s">
        <v>312</v>
      </c>
      <c r="C123" t="s">
        <v>15</v>
      </c>
      <c r="D123" s="48">
        <v>42369</v>
      </c>
      <c r="E123" s="3">
        <v>54289000000</v>
      </c>
      <c r="F123" s="3">
        <v>44269000000</v>
      </c>
      <c r="G123" s="3">
        <f>Project_Data_NYSE[[#This Row],[ Total Revenue ]]-Project_Data_NYSE[[#This Row],[ Cost of Goods Sold ]]</f>
        <v>10020000000</v>
      </c>
      <c r="H123" s="3">
        <v>0</v>
      </c>
      <c r="I123" s="3">
        <v>0</v>
      </c>
      <c r="J123" s="3">
        <v>7673000000</v>
      </c>
      <c r="K123" s="3">
        <f>Project_Data_NYSE[[#This Row],[Gross Profit]]-Project_Data_NYSE[[#This Row],[ Sales, General and Admin. ]]-Project_Data_NYSE[[#This Row],[ Research and Development ]]-Project_Data_NYSE[[#This Row],[ Other Operating Items ]]</f>
        <v>2347000000</v>
      </c>
      <c r="L123" t="s">
        <v>24</v>
      </c>
      <c r="M123" t="s">
        <v>80</v>
      </c>
      <c r="N123" s="31">
        <f>Project_Data_NYSE[[#This Row],[Gross Profit]]/Project_Data_NYSE[[#This Row],[ Total Revenue ]]</f>
        <v>0.18456777616091657</v>
      </c>
      <c r="O123" s="31">
        <f>Project_Data_NYSE[[#This Row],[Operating Profit]]/Project_Data_NYSE[[#This Row],[ Total Revenue ]]</f>
        <v>4.3231593877212697E-2</v>
      </c>
      <c r="Q123" t="s">
        <v>216</v>
      </c>
    </row>
    <row r="124" spans="1:17" x14ac:dyDescent="0.2">
      <c r="A124">
        <v>197</v>
      </c>
      <c r="B124" t="s">
        <v>105</v>
      </c>
      <c r="C124" t="s">
        <v>16</v>
      </c>
      <c r="D124" s="48">
        <v>42369</v>
      </c>
      <c r="E124" s="3">
        <v>9968000000</v>
      </c>
      <c r="F124" s="3">
        <v>5822000000</v>
      </c>
      <c r="G124" s="3">
        <f>Project_Data_NYSE[[#This Row],[ Total Revenue ]]-Project_Data_NYSE[[#This Row],[ Cost of Goods Sold ]]</f>
        <v>4146000000</v>
      </c>
      <c r="H124" s="3">
        <v>3094000000</v>
      </c>
      <c r="I124" s="3">
        <v>603000000</v>
      </c>
      <c r="J124" s="3">
        <v>0</v>
      </c>
      <c r="K124" s="3">
        <f>Project_Data_NYSE[[#This Row],[Gross Profit]]-Project_Data_NYSE[[#This Row],[ Sales, General and Admin. ]]-Project_Data_NYSE[[#This Row],[ Research and Development ]]-Project_Data_NYSE[[#This Row],[ Other Operating Items ]]</f>
        <v>449000000</v>
      </c>
      <c r="L124" t="s">
        <v>24</v>
      </c>
      <c r="M124" t="s">
        <v>29</v>
      </c>
      <c r="N124" s="31">
        <f>Project_Data_NYSE[[#This Row],[Gross Profit]]/Project_Data_NYSE[[#This Row],[ Total Revenue ]]</f>
        <v>0.4159309791332263</v>
      </c>
      <c r="O124" s="31">
        <f>Project_Data_NYSE[[#This Row],[Operating Profit]]/Project_Data_NYSE[[#This Row],[ Total Revenue ]]</f>
        <v>4.5044141252006419E-2</v>
      </c>
      <c r="Q124" t="s">
        <v>217</v>
      </c>
    </row>
    <row r="125" spans="1:17" x14ac:dyDescent="0.2">
      <c r="A125">
        <v>820</v>
      </c>
      <c r="B125" t="s">
        <v>312</v>
      </c>
      <c r="C125" t="s">
        <v>14</v>
      </c>
      <c r="D125" s="48">
        <v>42004</v>
      </c>
      <c r="E125" s="3">
        <v>48500000000</v>
      </c>
      <c r="F125" s="3">
        <v>38166000000</v>
      </c>
      <c r="G125" s="3">
        <f>Project_Data_NYSE[[#This Row],[ Total Revenue ]]-Project_Data_NYSE[[#This Row],[ Cost of Goods Sold ]]</f>
        <v>10334000000</v>
      </c>
      <c r="H125" s="3">
        <v>0</v>
      </c>
      <c r="I125" s="3">
        <v>0</v>
      </c>
      <c r="J125" s="3">
        <v>7972000000</v>
      </c>
      <c r="K125" s="3">
        <f>Project_Data_NYSE[[#This Row],[Gross Profit]]-Project_Data_NYSE[[#This Row],[ Sales, General and Admin. ]]-Project_Data_NYSE[[#This Row],[ Research and Development ]]-Project_Data_NYSE[[#This Row],[ Other Operating Items ]]</f>
        <v>2362000000</v>
      </c>
      <c r="L125" t="s">
        <v>24</v>
      </c>
      <c r="M125" t="s">
        <v>80</v>
      </c>
      <c r="N125" s="31">
        <f>Project_Data_NYSE[[#This Row],[Gross Profit]]/Project_Data_NYSE[[#This Row],[ Total Revenue ]]</f>
        <v>0.2130721649484536</v>
      </c>
      <c r="O125" s="31">
        <f>Project_Data_NYSE[[#This Row],[Operating Profit]]/Project_Data_NYSE[[#This Row],[ Total Revenue ]]</f>
        <v>4.8701030927835051E-2</v>
      </c>
      <c r="Q125" t="s">
        <v>218</v>
      </c>
    </row>
    <row r="126" spans="1:17" x14ac:dyDescent="0.2">
      <c r="A126">
        <v>136</v>
      </c>
      <c r="B126" t="s">
        <v>81</v>
      </c>
      <c r="C126" t="s">
        <v>11</v>
      </c>
      <c r="D126" s="48">
        <v>41274</v>
      </c>
      <c r="E126" s="3">
        <v>16428000000</v>
      </c>
      <c r="F126" s="3">
        <v>3079000000</v>
      </c>
      <c r="G126" s="3">
        <f>Project_Data_NYSE[[#This Row],[ Total Revenue ]]-Project_Data_NYSE[[#This Row],[ Cost of Goods Sold ]]</f>
        <v>13349000000</v>
      </c>
      <c r="H126" s="3">
        <v>1333000000</v>
      </c>
      <c r="I126" s="3">
        <v>0</v>
      </c>
      <c r="J126" s="3">
        <v>6881000000</v>
      </c>
      <c r="K126" s="3">
        <f>Project_Data_NYSE[[#This Row],[Gross Profit]]-Project_Data_NYSE[[#This Row],[ Sales, General and Admin. ]]-Project_Data_NYSE[[#This Row],[ Research and Development ]]-Project_Data_NYSE[[#This Row],[ Other Operating Items ]]</f>
        <v>5135000000</v>
      </c>
      <c r="L126" t="s">
        <v>82</v>
      </c>
      <c r="M126" t="s">
        <v>83</v>
      </c>
      <c r="N126" s="31">
        <f>Project_Data_NYSE[[#This Row],[Gross Profit]]/Project_Data_NYSE[[#This Row],[ Total Revenue ]]</f>
        <v>0.81257608960311667</v>
      </c>
      <c r="O126" s="31">
        <f>Project_Data_NYSE[[#This Row],[Operating Profit]]/Project_Data_NYSE[[#This Row],[ Total Revenue ]]</f>
        <v>0.31257608960311661</v>
      </c>
      <c r="Q126" t="s">
        <v>219</v>
      </c>
    </row>
    <row r="127" spans="1:17" x14ac:dyDescent="0.2">
      <c r="A127">
        <v>137</v>
      </c>
      <c r="B127" t="s">
        <v>81</v>
      </c>
      <c r="C127" t="s">
        <v>14</v>
      </c>
      <c r="D127" s="48">
        <v>41639</v>
      </c>
      <c r="E127" s="3">
        <v>14771000000</v>
      </c>
      <c r="F127" s="3">
        <v>2938000000</v>
      </c>
      <c r="G127" s="3">
        <f>Project_Data_NYSE[[#This Row],[ Total Revenue ]]-Project_Data_NYSE[[#This Row],[ Cost of Goods Sold ]]</f>
        <v>11833000000</v>
      </c>
      <c r="H127" s="3">
        <v>1286000000</v>
      </c>
      <c r="I127" s="3">
        <v>0</v>
      </c>
      <c r="J127" s="3">
        <v>5866000000</v>
      </c>
      <c r="K127" s="3">
        <f>Project_Data_NYSE[[#This Row],[Gross Profit]]-Project_Data_NYSE[[#This Row],[ Sales, General and Admin. ]]-Project_Data_NYSE[[#This Row],[ Research and Development ]]-Project_Data_NYSE[[#This Row],[ Other Operating Items ]]</f>
        <v>4681000000</v>
      </c>
      <c r="L127" t="s">
        <v>82</v>
      </c>
      <c r="M127" t="s">
        <v>83</v>
      </c>
      <c r="N127" s="31">
        <f>Project_Data_NYSE[[#This Row],[Gross Profit]]/Project_Data_NYSE[[#This Row],[ Total Revenue ]]</f>
        <v>0.80109674361925398</v>
      </c>
      <c r="O127" s="31">
        <f>Project_Data_NYSE[[#This Row],[Operating Profit]]/Project_Data_NYSE[[#This Row],[ Total Revenue ]]</f>
        <v>0.31690474578566108</v>
      </c>
      <c r="Q127" t="s">
        <v>220</v>
      </c>
    </row>
    <row r="128" spans="1:17" x14ac:dyDescent="0.2">
      <c r="A128">
        <v>138</v>
      </c>
      <c r="B128" t="s">
        <v>81</v>
      </c>
      <c r="C128" t="s">
        <v>15</v>
      </c>
      <c r="D128" s="48">
        <v>42004</v>
      </c>
      <c r="E128" s="3">
        <v>12691000000</v>
      </c>
      <c r="F128" s="3">
        <v>2511000000</v>
      </c>
      <c r="G128" s="3">
        <f>Project_Data_NYSE[[#This Row],[ Total Revenue ]]-Project_Data_NYSE[[#This Row],[ Cost of Goods Sold ]]</f>
        <v>10180000000</v>
      </c>
      <c r="H128" s="3">
        <v>1095000000</v>
      </c>
      <c r="I128" s="3">
        <v>0</v>
      </c>
      <c r="J128" s="3">
        <v>9720000000</v>
      </c>
      <c r="K128" s="3">
        <f>Project_Data_NYSE[[#This Row],[Gross Profit]]-Project_Data_NYSE[[#This Row],[ Sales, General and Admin. ]]-Project_Data_NYSE[[#This Row],[ Research and Development ]]-Project_Data_NYSE[[#This Row],[ Other Operating Items ]]</f>
        <v>-635000000</v>
      </c>
      <c r="L128" t="s">
        <v>82</v>
      </c>
      <c r="M128" t="s">
        <v>83</v>
      </c>
      <c r="N128" s="31">
        <f>Project_Data_NYSE[[#This Row],[Gross Profit]]/Project_Data_NYSE[[#This Row],[ Total Revenue ]]</f>
        <v>0.8021432511228429</v>
      </c>
      <c r="O128" s="31">
        <f>Project_Data_NYSE[[#This Row],[Operating Profit]]/Project_Data_NYSE[[#This Row],[ Total Revenue ]]</f>
        <v>-5.0035458198723508E-2</v>
      </c>
      <c r="Q128" t="s">
        <v>221</v>
      </c>
    </row>
    <row r="129" spans="1:17" x14ac:dyDescent="0.2">
      <c r="A129">
        <v>139</v>
      </c>
      <c r="B129" t="s">
        <v>81</v>
      </c>
      <c r="C129" t="s">
        <v>16</v>
      </c>
      <c r="D129" s="48">
        <v>42369</v>
      </c>
      <c r="E129" s="3">
        <v>6383000000</v>
      </c>
      <c r="F129" s="3">
        <v>2065000000</v>
      </c>
      <c r="G129" s="3">
        <f>Project_Data_NYSE[[#This Row],[ Total Revenue ]]-Project_Data_NYSE[[#This Row],[ Cost of Goods Sold ]]</f>
        <v>4318000000</v>
      </c>
      <c r="H129" s="3">
        <v>791000000</v>
      </c>
      <c r="I129" s="3">
        <v>0</v>
      </c>
      <c r="J129" s="3">
        <v>29372000000</v>
      </c>
      <c r="K129" s="3">
        <f>Project_Data_NYSE[[#This Row],[Gross Profit]]-Project_Data_NYSE[[#This Row],[ Sales, General and Admin. ]]-Project_Data_NYSE[[#This Row],[ Research and Development ]]-Project_Data_NYSE[[#This Row],[ Other Operating Items ]]</f>
        <v>-25845000000</v>
      </c>
      <c r="L129" t="s">
        <v>82</v>
      </c>
      <c r="M129" t="s">
        <v>83</v>
      </c>
      <c r="N129" s="31">
        <f>Project_Data_NYSE[[#This Row],[Gross Profit]]/Project_Data_NYSE[[#This Row],[ Total Revenue ]]</f>
        <v>0.67648441171862761</v>
      </c>
      <c r="O129" s="31">
        <f>Project_Data_NYSE[[#This Row],[Operating Profit]]/Project_Data_NYSE[[#This Row],[ Total Revenue ]]</f>
        <v>-4.0490365032116555</v>
      </c>
      <c r="Q129" t="s">
        <v>222</v>
      </c>
    </row>
    <row r="130" spans="1:17" x14ac:dyDescent="0.2">
      <c r="A130">
        <v>140</v>
      </c>
      <c r="B130" t="s">
        <v>84</v>
      </c>
      <c r="C130" t="s">
        <v>11</v>
      </c>
      <c r="D130" s="48">
        <v>41639</v>
      </c>
      <c r="E130" s="3">
        <v>14581000000</v>
      </c>
      <c r="F130" s="3">
        <v>2942000000</v>
      </c>
      <c r="G130" s="3">
        <f>Project_Data_NYSE[[#This Row],[ Total Revenue ]]-Project_Data_NYSE[[#This Row],[ Cost of Goods Sold ]]</f>
        <v>11639000000</v>
      </c>
      <c r="H130" s="3">
        <v>2256000000</v>
      </c>
      <c r="I130" s="3">
        <v>0</v>
      </c>
      <c r="J130" s="3">
        <v>3927000000</v>
      </c>
      <c r="K130" s="3">
        <f>Project_Data_NYSE[[#This Row],[Gross Profit]]-Project_Data_NYSE[[#This Row],[ Sales, General and Admin. ]]-Project_Data_NYSE[[#This Row],[ Research and Development ]]-Project_Data_NYSE[[#This Row],[ Other Operating Items ]]</f>
        <v>5456000000</v>
      </c>
      <c r="L130" t="s">
        <v>82</v>
      </c>
      <c r="M130" t="s">
        <v>83</v>
      </c>
      <c r="N130" s="31">
        <f>Project_Data_NYSE[[#This Row],[Gross Profit]]/Project_Data_NYSE[[#This Row],[ Total Revenue ]]</f>
        <v>0.79823057403470266</v>
      </c>
      <c r="O130" s="31">
        <f>Project_Data_NYSE[[#This Row],[Operating Profit]]/Project_Data_NYSE[[#This Row],[ Total Revenue ]]</f>
        <v>0.37418558397915097</v>
      </c>
      <c r="Q130" t="s">
        <v>223</v>
      </c>
    </row>
    <row r="131" spans="1:17" x14ac:dyDescent="0.2">
      <c r="A131">
        <v>141</v>
      </c>
      <c r="B131" t="s">
        <v>84</v>
      </c>
      <c r="C131" t="s">
        <v>14</v>
      </c>
      <c r="D131" s="48">
        <v>42004</v>
      </c>
      <c r="E131" s="3">
        <v>18470000000</v>
      </c>
      <c r="F131" s="3">
        <v>3317000000</v>
      </c>
      <c r="G131" s="3">
        <f>Project_Data_NYSE[[#This Row],[ Total Revenue ]]-Project_Data_NYSE[[#This Row],[ Cost of Goods Sold ]]</f>
        <v>15153000000</v>
      </c>
      <c r="H131" s="3">
        <v>2725000000</v>
      </c>
      <c r="I131" s="3">
        <v>0</v>
      </c>
      <c r="J131" s="3">
        <v>4550000000</v>
      </c>
      <c r="K131" s="3">
        <f>Project_Data_NYSE[[#This Row],[Gross Profit]]-Project_Data_NYSE[[#This Row],[ Sales, General and Admin. ]]-Project_Data_NYSE[[#This Row],[ Research and Development ]]-Project_Data_NYSE[[#This Row],[ Other Operating Items ]]</f>
        <v>7878000000</v>
      </c>
      <c r="L131" t="s">
        <v>82</v>
      </c>
      <c r="M131" t="s">
        <v>83</v>
      </c>
      <c r="N131" s="31">
        <f>Project_Data_NYSE[[#This Row],[Gross Profit]]/Project_Data_NYSE[[#This Row],[ Total Revenue ]]</f>
        <v>0.8204114780725501</v>
      </c>
      <c r="O131" s="31">
        <f>Project_Data_NYSE[[#This Row],[Operating Profit]]/Project_Data_NYSE[[#This Row],[ Total Revenue ]]</f>
        <v>0.42652950730914996</v>
      </c>
      <c r="Q131" t="s">
        <v>224</v>
      </c>
    </row>
    <row r="132" spans="1:17" x14ac:dyDescent="0.2">
      <c r="A132">
        <v>142</v>
      </c>
      <c r="B132" t="s">
        <v>84</v>
      </c>
      <c r="C132" t="s">
        <v>15</v>
      </c>
      <c r="D132" s="48">
        <v>42369</v>
      </c>
      <c r="E132" s="3">
        <v>8698000000</v>
      </c>
      <c r="F132" s="3">
        <v>3185000000</v>
      </c>
      <c r="G132" s="3">
        <f>Project_Data_NYSE[[#This Row],[ Total Revenue ]]-Project_Data_NYSE[[#This Row],[ Cost of Goods Sold ]]</f>
        <v>5513000000</v>
      </c>
      <c r="H132" s="3">
        <v>2000000000</v>
      </c>
      <c r="I132" s="3">
        <v>0</v>
      </c>
      <c r="J132" s="3">
        <v>4603000000</v>
      </c>
      <c r="K132" s="3">
        <f>Project_Data_NYSE[[#This Row],[Gross Profit]]-Project_Data_NYSE[[#This Row],[ Sales, General and Admin. ]]-Project_Data_NYSE[[#This Row],[ Research and Development ]]-Project_Data_NYSE[[#This Row],[ Other Operating Items ]]</f>
        <v>-1090000000</v>
      </c>
      <c r="L132" t="s">
        <v>82</v>
      </c>
      <c r="M132" t="s">
        <v>83</v>
      </c>
      <c r="N132" s="31">
        <f>Project_Data_NYSE[[#This Row],[Gross Profit]]/Project_Data_NYSE[[#This Row],[ Total Revenue ]]</f>
        <v>0.63382386755575992</v>
      </c>
      <c r="O132" s="31">
        <f>Project_Data_NYSE[[#This Row],[Operating Profit]]/Project_Data_NYSE[[#This Row],[ Total Revenue ]]</f>
        <v>-0.1253161646355484</v>
      </c>
      <c r="Q132" t="s">
        <v>225</v>
      </c>
    </row>
    <row r="133" spans="1:17" x14ac:dyDescent="0.2">
      <c r="A133">
        <v>143</v>
      </c>
      <c r="B133" t="s">
        <v>84</v>
      </c>
      <c r="C133" t="s">
        <v>16</v>
      </c>
      <c r="D133" s="48">
        <v>42735</v>
      </c>
      <c r="E133" s="3">
        <v>7869000000</v>
      </c>
      <c r="F133" s="3">
        <v>2900000000</v>
      </c>
      <c r="G133" s="3">
        <f>Project_Data_NYSE[[#This Row],[ Total Revenue ]]-Project_Data_NYSE[[#This Row],[ Cost of Goods Sold ]]</f>
        <v>4969000000</v>
      </c>
      <c r="H133" s="3">
        <v>2094000000</v>
      </c>
      <c r="I133" s="3">
        <v>0</v>
      </c>
      <c r="J133" s="3">
        <v>4301000000</v>
      </c>
      <c r="K133" s="3">
        <f>Project_Data_NYSE[[#This Row],[Gross Profit]]-Project_Data_NYSE[[#This Row],[ Sales, General and Admin. ]]-Project_Data_NYSE[[#This Row],[ Research and Development ]]-Project_Data_NYSE[[#This Row],[ Other Operating Items ]]</f>
        <v>-1426000000</v>
      </c>
      <c r="L133" t="s">
        <v>82</v>
      </c>
      <c r="M133" t="s">
        <v>83</v>
      </c>
      <c r="N133" s="31">
        <f>Project_Data_NYSE[[#This Row],[Gross Profit]]/Project_Data_NYSE[[#This Row],[ Total Revenue ]]</f>
        <v>0.6314652433600203</v>
      </c>
      <c r="O133" s="31">
        <f>Project_Data_NYSE[[#This Row],[Operating Profit]]/Project_Data_NYSE[[#This Row],[ Total Revenue ]]</f>
        <v>-0.18121743550641758</v>
      </c>
      <c r="Q133" t="s">
        <v>226</v>
      </c>
    </row>
    <row r="134" spans="1:17" x14ac:dyDescent="0.2">
      <c r="A134">
        <v>144</v>
      </c>
      <c r="B134" t="s">
        <v>85</v>
      </c>
      <c r="C134" t="s">
        <v>11</v>
      </c>
      <c r="D134" s="48">
        <v>41547</v>
      </c>
      <c r="E134" s="3">
        <v>10180400000</v>
      </c>
      <c r="F134" s="3">
        <v>7472100000</v>
      </c>
      <c r="G134" s="3">
        <f>Project_Data_NYSE[[#This Row],[ Total Revenue ]]-Project_Data_NYSE[[#This Row],[ Cost of Goods Sold ]]</f>
        <v>2708300000</v>
      </c>
      <c r="H134" s="3">
        <v>1018600000</v>
      </c>
      <c r="I134" s="3">
        <v>133700000</v>
      </c>
      <c r="J134" s="3">
        <v>0</v>
      </c>
      <c r="K134" s="3">
        <f>Project_Data_NYSE[[#This Row],[Gross Profit]]-Project_Data_NYSE[[#This Row],[ Sales, General and Admin. ]]-Project_Data_NYSE[[#This Row],[ Research and Development ]]-Project_Data_NYSE[[#This Row],[ Other Operating Items ]]</f>
        <v>1556000000</v>
      </c>
      <c r="L134" t="s">
        <v>58</v>
      </c>
      <c r="M134" t="s">
        <v>86</v>
      </c>
      <c r="N134" s="31">
        <f>Project_Data_NYSE[[#This Row],[Gross Profit]]/Project_Data_NYSE[[#This Row],[ Total Revenue ]]</f>
        <v>0.26603080429059761</v>
      </c>
      <c r="O134" s="31">
        <f>Project_Data_NYSE[[#This Row],[Operating Profit]]/Project_Data_NYSE[[#This Row],[ Total Revenue ]]</f>
        <v>0.152842717378492</v>
      </c>
      <c r="Q134" t="s">
        <v>227</v>
      </c>
    </row>
    <row r="135" spans="1:17" x14ac:dyDescent="0.2">
      <c r="A135">
        <v>145</v>
      </c>
      <c r="B135" t="s">
        <v>85</v>
      </c>
      <c r="C135" t="s">
        <v>14</v>
      </c>
      <c r="D135" s="48">
        <v>41912</v>
      </c>
      <c r="E135" s="3">
        <v>10439000000</v>
      </c>
      <c r="F135" s="3">
        <v>7629900000</v>
      </c>
      <c r="G135" s="3">
        <f>Project_Data_NYSE[[#This Row],[ Total Revenue ]]-Project_Data_NYSE[[#This Row],[ Cost of Goods Sold ]]</f>
        <v>2809100000</v>
      </c>
      <c r="H135" s="3">
        <v>1007400000</v>
      </c>
      <c r="I135" s="3">
        <v>139800000</v>
      </c>
      <c r="J135" s="3">
        <v>0</v>
      </c>
      <c r="K135" s="3">
        <f>Project_Data_NYSE[[#This Row],[Gross Profit]]-Project_Data_NYSE[[#This Row],[ Sales, General and Admin. ]]-Project_Data_NYSE[[#This Row],[ Research and Development ]]-Project_Data_NYSE[[#This Row],[ Other Operating Items ]]</f>
        <v>1661900000</v>
      </c>
      <c r="L135" t="s">
        <v>58</v>
      </c>
      <c r="M135" t="s">
        <v>86</v>
      </c>
      <c r="N135" s="31">
        <f>Project_Data_NYSE[[#This Row],[Gross Profit]]/Project_Data_NYSE[[#This Row],[ Total Revenue ]]</f>
        <v>0.26909665676788963</v>
      </c>
      <c r="O135" s="31">
        <f>Project_Data_NYSE[[#This Row],[Operating Profit]]/Project_Data_NYSE[[#This Row],[ Total Revenue ]]</f>
        <v>0.15920107289970303</v>
      </c>
      <c r="Q135" t="s">
        <v>228</v>
      </c>
    </row>
    <row r="136" spans="1:17" x14ac:dyDescent="0.2">
      <c r="A136">
        <v>146</v>
      </c>
      <c r="B136" t="s">
        <v>85</v>
      </c>
      <c r="C136" t="s">
        <v>15</v>
      </c>
      <c r="D136" s="48">
        <v>42277</v>
      </c>
      <c r="E136" s="3">
        <v>9894900000</v>
      </c>
      <c r="F136" s="3">
        <v>6939000000</v>
      </c>
      <c r="G136" s="3">
        <f>Project_Data_NYSE[[#This Row],[ Total Revenue ]]-Project_Data_NYSE[[#This Row],[ Cost of Goods Sold ]]</f>
        <v>2955900000</v>
      </c>
      <c r="H136" s="3">
        <v>895300000</v>
      </c>
      <c r="I136" s="3">
        <v>137100000</v>
      </c>
      <c r="J136" s="3">
        <v>0</v>
      </c>
      <c r="K136" s="3">
        <f>Project_Data_NYSE[[#This Row],[Gross Profit]]-Project_Data_NYSE[[#This Row],[ Sales, General and Admin. ]]-Project_Data_NYSE[[#This Row],[ Research and Development ]]-Project_Data_NYSE[[#This Row],[ Other Operating Items ]]</f>
        <v>1923500000</v>
      </c>
      <c r="L136" t="s">
        <v>58</v>
      </c>
      <c r="M136" t="s">
        <v>86</v>
      </c>
      <c r="N136" s="31">
        <f>Project_Data_NYSE[[#This Row],[Gross Profit]]/Project_Data_NYSE[[#This Row],[ Total Revenue ]]</f>
        <v>0.29872964860685808</v>
      </c>
      <c r="O136" s="31">
        <f>Project_Data_NYSE[[#This Row],[Operating Profit]]/Project_Data_NYSE[[#This Row],[ Total Revenue ]]</f>
        <v>0.19439307117808163</v>
      </c>
      <c r="Q136" t="s">
        <v>229</v>
      </c>
    </row>
    <row r="137" spans="1:17" x14ac:dyDescent="0.2">
      <c r="A137">
        <v>147</v>
      </c>
      <c r="B137" t="s">
        <v>85</v>
      </c>
      <c r="C137" t="s">
        <v>16</v>
      </c>
      <c r="D137" s="48">
        <v>42643</v>
      </c>
      <c r="E137" s="3">
        <v>9524400000</v>
      </c>
      <c r="F137" s="3">
        <v>6402700000</v>
      </c>
      <c r="G137" s="3">
        <f>Project_Data_NYSE[[#This Row],[ Total Revenue ]]-Project_Data_NYSE[[#This Row],[ Cost of Goods Sold ]]</f>
        <v>3121700000</v>
      </c>
      <c r="H137" s="3">
        <v>797600000</v>
      </c>
      <c r="I137" s="3">
        <v>132000000</v>
      </c>
      <c r="J137" s="3">
        <v>0</v>
      </c>
      <c r="K137" s="3">
        <f>Project_Data_NYSE[[#This Row],[Gross Profit]]-Project_Data_NYSE[[#This Row],[ Sales, General and Admin. ]]-Project_Data_NYSE[[#This Row],[ Research and Development ]]-Project_Data_NYSE[[#This Row],[ Other Operating Items ]]</f>
        <v>2192100000</v>
      </c>
      <c r="L137" t="s">
        <v>58</v>
      </c>
      <c r="M137" t="s">
        <v>86</v>
      </c>
      <c r="N137" s="31">
        <f>Project_Data_NYSE[[#This Row],[Gross Profit]]/Project_Data_NYSE[[#This Row],[ Total Revenue ]]</f>
        <v>0.32775817899290244</v>
      </c>
      <c r="O137" s="31">
        <f>Project_Data_NYSE[[#This Row],[Operating Profit]]/Project_Data_NYSE[[#This Row],[ Total Revenue ]]</f>
        <v>0.23015623031372054</v>
      </c>
      <c r="Q137" t="s">
        <v>230</v>
      </c>
    </row>
    <row r="138" spans="1:17" x14ac:dyDescent="0.2">
      <c r="A138">
        <v>148</v>
      </c>
      <c r="B138" t="s">
        <v>87</v>
      </c>
      <c r="C138" t="s">
        <v>11</v>
      </c>
      <c r="D138" s="48">
        <v>41274</v>
      </c>
      <c r="E138" s="3">
        <v>4292100000</v>
      </c>
      <c r="F138" s="3">
        <v>2948900000</v>
      </c>
      <c r="G138" s="3">
        <f>Project_Data_NYSE[[#This Row],[ Total Revenue ]]-Project_Data_NYSE[[#This Row],[ Cost of Goods Sold ]]</f>
        <v>1343200000</v>
      </c>
      <c r="H138" s="3">
        <v>512900000</v>
      </c>
      <c r="I138" s="3">
        <v>0</v>
      </c>
      <c r="J138" s="3">
        <v>0</v>
      </c>
      <c r="K138" s="3">
        <f>Project_Data_NYSE[[#This Row],[Gross Profit]]-Project_Data_NYSE[[#This Row],[ Sales, General and Admin. ]]-Project_Data_NYSE[[#This Row],[ Research and Development ]]-Project_Data_NYSE[[#This Row],[ Other Operating Items ]]</f>
        <v>830300000</v>
      </c>
      <c r="L138" t="s">
        <v>21</v>
      </c>
      <c r="M138" t="s">
        <v>88</v>
      </c>
      <c r="N138" s="31">
        <f>Project_Data_NYSE[[#This Row],[Gross Profit]]/Project_Data_NYSE[[#This Row],[ Total Revenue ]]</f>
        <v>0.31294704224039516</v>
      </c>
      <c r="O138" s="31">
        <f>Project_Data_NYSE[[#This Row],[Operating Profit]]/Project_Data_NYSE[[#This Row],[ Total Revenue ]]</f>
        <v>0.19344842850818947</v>
      </c>
      <c r="Q138" t="s">
        <v>231</v>
      </c>
    </row>
    <row r="139" spans="1:17" x14ac:dyDescent="0.2">
      <c r="A139">
        <v>149</v>
      </c>
      <c r="B139" t="s">
        <v>87</v>
      </c>
      <c r="C139" t="s">
        <v>14</v>
      </c>
      <c r="D139" s="48">
        <v>41639</v>
      </c>
      <c r="E139" s="3">
        <v>4614700000</v>
      </c>
      <c r="F139" s="3">
        <v>3163900000</v>
      </c>
      <c r="G139" s="3">
        <f>Project_Data_NYSE[[#This Row],[ Total Revenue ]]-Project_Data_NYSE[[#This Row],[ Cost of Goods Sold ]]</f>
        <v>1450800000</v>
      </c>
      <c r="H139" s="3">
        <v>548000000</v>
      </c>
      <c r="I139" s="3">
        <v>0</v>
      </c>
      <c r="J139" s="3">
        <v>0</v>
      </c>
      <c r="K139" s="3">
        <f>Project_Data_NYSE[[#This Row],[Gross Profit]]-Project_Data_NYSE[[#This Row],[ Sales, General and Admin. ]]-Project_Data_NYSE[[#This Row],[ Research and Development ]]-Project_Data_NYSE[[#This Row],[ Other Operating Items ]]</f>
        <v>902800000</v>
      </c>
      <c r="L139" t="s">
        <v>21</v>
      </c>
      <c r="M139" t="s">
        <v>88</v>
      </c>
      <c r="N139" s="31">
        <f>Project_Data_NYSE[[#This Row],[Gross Profit]]/Project_Data_NYSE[[#This Row],[ Total Revenue ]]</f>
        <v>0.31438663401737926</v>
      </c>
      <c r="O139" s="31">
        <f>Project_Data_NYSE[[#This Row],[Operating Profit]]/Project_Data_NYSE[[#This Row],[ Total Revenue ]]</f>
        <v>0.19563568596008407</v>
      </c>
      <c r="Q139" t="s">
        <v>232</v>
      </c>
    </row>
    <row r="140" spans="1:17" x14ac:dyDescent="0.2">
      <c r="A140">
        <v>150</v>
      </c>
      <c r="B140" t="s">
        <v>87</v>
      </c>
      <c r="C140" t="s">
        <v>15</v>
      </c>
      <c r="D140" s="48">
        <v>42004</v>
      </c>
      <c r="E140" s="3">
        <v>5345500000</v>
      </c>
      <c r="F140" s="3">
        <v>3651700000</v>
      </c>
      <c r="G140" s="3">
        <f>Project_Data_NYSE[[#This Row],[ Total Revenue ]]-Project_Data_NYSE[[#This Row],[ Cost of Goods Sold ]]</f>
        <v>1693800000</v>
      </c>
      <c r="H140" s="3">
        <v>645100000</v>
      </c>
      <c r="I140" s="3">
        <v>0</v>
      </c>
      <c r="J140" s="3">
        <v>0</v>
      </c>
      <c r="K140" s="3">
        <f>Project_Data_NYSE[[#This Row],[Gross Profit]]-Project_Data_NYSE[[#This Row],[ Sales, General and Admin. ]]-Project_Data_NYSE[[#This Row],[ Research and Development ]]-Project_Data_NYSE[[#This Row],[ Other Operating Items ]]</f>
        <v>1048700000</v>
      </c>
      <c r="L140" t="s">
        <v>21</v>
      </c>
      <c r="M140" t="s">
        <v>88</v>
      </c>
      <c r="N140" s="31">
        <f>Project_Data_NYSE[[#This Row],[Gross Profit]]/Project_Data_NYSE[[#This Row],[ Total Revenue ]]</f>
        <v>0.31686465251145823</v>
      </c>
      <c r="O140" s="31">
        <f>Project_Data_NYSE[[#This Row],[Operating Profit]]/Project_Data_NYSE[[#This Row],[ Total Revenue ]]</f>
        <v>0.19618370592086801</v>
      </c>
      <c r="Q140" t="s">
        <v>234</v>
      </c>
    </row>
    <row r="141" spans="1:17" x14ac:dyDescent="0.2">
      <c r="A141">
        <v>151</v>
      </c>
      <c r="B141" t="s">
        <v>87</v>
      </c>
      <c r="C141" t="s">
        <v>16</v>
      </c>
      <c r="D141" s="48">
        <v>42369</v>
      </c>
      <c r="E141" s="3">
        <v>5568700000</v>
      </c>
      <c r="F141" s="3">
        <v>3789200000</v>
      </c>
      <c r="G141" s="3">
        <f>Project_Data_NYSE[[#This Row],[ Total Revenue ]]-Project_Data_NYSE[[#This Row],[ Cost of Goods Sold ]]</f>
        <v>1779500000</v>
      </c>
      <c r="H141" s="3">
        <v>669100000</v>
      </c>
      <c r="I141" s="3">
        <v>0</v>
      </c>
      <c r="J141" s="3">
        <v>0</v>
      </c>
      <c r="K141" s="3">
        <f>Project_Data_NYSE[[#This Row],[Gross Profit]]-Project_Data_NYSE[[#This Row],[ Sales, General and Admin. ]]-Project_Data_NYSE[[#This Row],[ Research and Development ]]-Project_Data_NYSE[[#This Row],[ Other Operating Items ]]</f>
        <v>1110400000</v>
      </c>
      <c r="L141" t="s">
        <v>21</v>
      </c>
      <c r="M141" t="s">
        <v>88</v>
      </c>
      <c r="N141" s="31">
        <f>Project_Data_NYSE[[#This Row],[Gross Profit]]/Project_Data_NYSE[[#This Row],[ Total Revenue ]]</f>
        <v>0.31955393538886995</v>
      </c>
      <c r="O141" s="31">
        <f>Project_Data_NYSE[[#This Row],[Operating Profit]]/Project_Data_NYSE[[#This Row],[ Total Revenue ]]</f>
        <v>0.19940021908165281</v>
      </c>
      <c r="Q141" t="s">
        <v>236</v>
      </c>
    </row>
    <row r="142" spans="1:17" x14ac:dyDescent="0.2">
      <c r="A142">
        <v>152</v>
      </c>
      <c r="B142" t="s">
        <v>89</v>
      </c>
      <c r="C142" t="s">
        <v>11</v>
      </c>
      <c r="D142" s="48">
        <v>41274</v>
      </c>
      <c r="E142" s="3">
        <v>23700000000</v>
      </c>
      <c r="F142" s="3">
        <v>20401000000</v>
      </c>
      <c r="G142" s="3">
        <f>Project_Data_NYSE[[#This Row],[ Total Revenue ]]-Project_Data_NYSE[[#This Row],[ Cost of Goods Sold ]]</f>
        <v>3299000000</v>
      </c>
      <c r="H142" s="3">
        <v>997000000</v>
      </c>
      <c r="I142" s="3">
        <v>197000000</v>
      </c>
      <c r="J142" s="3">
        <v>1460000000</v>
      </c>
      <c r="K142" s="3">
        <f>Project_Data_NYSE[[#This Row],[Gross Profit]]-Project_Data_NYSE[[#This Row],[ Sales, General and Admin. ]]-Project_Data_NYSE[[#This Row],[ Research and Development ]]-Project_Data_NYSE[[#This Row],[ Other Operating Items ]]</f>
        <v>645000000</v>
      </c>
      <c r="L142" t="s">
        <v>12</v>
      </c>
      <c r="M142" t="s">
        <v>90</v>
      </c>
      <c r="N142" s="31">
        <f>Project_Data_NYSE[[#This Row],[Gross Profit]]/Project_Data_NYSE[[#This Row],[ Total Revenue ]]</f>
        <v>0.13919831223628693</v>
      </c>
      <c r="O142" s="31">
        <f>Project_Data_NYSE[[#This Row],[Operating Profit]]/Project_Data_NYSE[[#This Row],[ Total Revenue ]]</f>
        <v>2.7215189873417721E-2</v>
      </c>
      <c r="Q142" t="s">
        <v>237</v>
      </c>
    </row>
    <row r="143" spans="1:17" x14ac:dyDescent="0.2">
      <c r="A143">
        <v>153</v>
      </c>
      <c r="B143" t="s">
        <v>89</v>
      </c>
      <c r="C143" t="s">
        <v>14</v>
      </c>
      <c r="D143" s="48">
        <v>41639</v>
      </c>
      <c r="E143" s="3">
        <v>23032000000</v>
      </c>
      <c r="F143" s="3">
        <v>19286000000</v>
      </c>
      <c r="G143" s="3">
        <f>Project_Data_NYSE[[#This Row],[ Total Revenue ]]-Project_Data_NYSE[[#This Row],[ Cost of Goods Sold ]]</f>
        <v>3746000000</v>
      </c>
      <c r="H143" s="3">
        <v>1008000000</v>
      </c>
      <c r="I143" s="3">
        <v>192000000</v>
      </c>
      <c r="J143" s="3">
        <v>1421000000</v>
      </c>
      <c r="K143" s="3">
        <f>Project_Data_NYSE[[#This Row],[Gross Profit]]-Project_Data_NYSE[[#This Row],[ Sales, General and Admin. ]]-Project_Data_NYSE[[#This Row],[ Research and Development ]]-Project_Data_NYSE[[#This Row],[ Other Operating Items ]]</f>
        <v>1125000000</v>
      </c>
      <c r="L143" t="s">
        <v>12</v>
      </c>
      <c r="M143" t="s">
        <v>90</v>
      </c>
      <c r="N143" s="31">
        <f>Project_Data_NYSE[[#This Row],[Gross Profit]]/Project_Data_NYSE[[#This Row],[ Total Revenue ]]</f>
        <v>0.16264327891629038</v>
      </c>
      <c r="O143" s="31">
        <f>Project_Data_NYSE[[#This Row],[Operating Profit]]/Project_Data_NYSE[[#This Row],[ Total Revenue ]]</f>
        <v>4.8845085098992706E-2</v>
      </c>
      <c r="Q143" t="s">
        <v>238</v>
      </c>
    </row>
    <row r="144" spans="1:17" x14ac:dyDescent="0.2">
      <c r="A144">
        <v>154</v>
      </c>
      <c r="B144" t="s">
        <v>89</v>
      </c>
      <c r="C144" t="s">
        <v>15</v>
      </c>
      <c r="D144" s="48">
        <v>42004</v>
      </c>
      <c r="E144" s="3">
        <v>23906000000</v>
      </c>
      <c r="F144" s="3">
        <v>19137000000</v>
      </c>
      <c r="G144" s="3">
        <f>Project_Data_NYSE[[#This Row],[ Total Revenue ]]-Project_Data_NYSE[[#This Row],[ Cost of Goods Sold ]]</f>
        <v>4769000000</v>
      </c>
      <c r="H144" s="3">
        <v>995000000</v>
      </c>
      <c r="I144" s="3">
        <v>218000000</v>
      </c>
      <c r="J144" s="3">
        <v>1371000000</v>
      </c>
      <c r="K144" s="3">
        <f>Project_Data_NYSE[[#This Row],[Gross Profit]]-Project_Data_NYSE[[#This Row],[ Sales, General and Admin. ]]-Project_Data_NYSE[[#This Row],[ Research and Development ]]-Project_Data_NYSE[[#This Row],[ Other Operating Items ]]</f>
        <v>2185000000</v>
      </c>
      <c r="L144" t="s">
        <v>12</v>
      </c>
      <c r="M144" t="s">
        <v>90</v>
      </c>
      <c r="N144" s="31">
        <f>Project_Data_NYSE[[#This Row],[Gross Profit]]/Project_Data_NYSE[[#This Row],[ Total Revenue ]]</f>
        <v>0.19948966786580774</v>
      </c>
      <c r="O144" s="31">
        <f>Project_Data_NYSE[[#This Row],[Operating Profit]]/Project_Data_NYSE[[#This Row],[ Total Revenue ]]</f>
        <v>9.1399648623776461E-2</v>
      </c>
      <c r="Q144" t="s">
        <v>239</v>
      </c>
    </row>
    <row r="145" spans="1:17" x14ac:dyDescent="0.2">
      <c r="A145">
        <v>155</v>
      </c>
      <c r="B145" t="s">
        <v>89</v>
      </c>
      <c r="C145" t="s">
        <v>16</v>
      </c>
      <c r="D145" s="48">
        <v>42369</v>
      </c>
      <c r="E145" s="3">
        <v>22534000000</v>
      </c>
      <c r="F145" s="3">
        <v>18069000000</v>
      </c>
      <c r="G145" s="3">
        <f>Project_Data_NYSE[[#This Row],[ Total Revenue ]]-Project_Data_NYSE[[#This Row],[ Cost of Goods Sold ]]</f>
        <v>4465000000</v>
      </c>
      <c r="H145" s="3">
        <v>979000000</v>
      </c>
      <c r="I145" s="3">
        <v>238000000</v>
      </c>
      <c r="J145" s="3">
        <v>1280000000</v>
      </c>
      <c r="K145" s="3">
        <f>Project_Data_NYSE[[#This Row],[Gross Profit]]-Project_Data_NYSE[[#This Row],[ Sales, General and Admin. ]]-Project_Data_NYSE[[#This Row],[ Research and Development ]]-Project_Data_NYSE[[#This Row],[ Other Operating Items ]]</f>
        <v>1968000000</v>
      </c>
      <c r="L145" t="s">
        <v>12</v>
      </c>
      <c r="M145" t="s">
        <v>90</v>
      </c>
      <c r="N145" s="31">
        <f>Project_Data_NYSE[[#This Row],[Gross Profit]]/Project_Data_NYSE[[#This Row],[ Total Revenue ]]</f>
        <v>0.19814502529510961</v>
      </c>
      <c r="O145" s="31">
        <f>Project_Data_NYSE[[#This Row],[Operating Profit]]/Project_Data_NYSE[[#This Row],[ Total Revenue ]]</f>
        <v>8.7334694239815394E-2</v>
      </c>
      <c r="Q145" t="s">
        <v>240</v>
      </c>
    </row>
    <row r="146" spans="1:17" x14ac:dyDescent="0.2">
      <c r="A146">
        <v>156</v>
      </c>
      <c r="B146" t="s">
        <v>91</v>
      </c>
      <c r="C146" t="s">
        <v>11</v>
      </c>
      <c r="D146" s="48">
        <v>41274</v>
      </c>
      <c r="E146" s="3">
        <v>4856000000</v>
      </c>
      <c r="F146" s="3">
        <v>1662000000</v>
      </c>
      <c r="G146" s="3">
        <f>Project_Data_NYSE[[#This Row],[ Total Revenue ]]-Project_Data_NYSE[[#This Row],[ Cost of Goods Sold ]]</f>
        <v>3194000000</v>
      </c>
      <c r="H146" s="3">
        <v>1139000000</v>
      </c>
      <c r="I146" s="3">
        <v>604000000</v>
      </c>
      <c r="J146" s="3">
        <v>0</v>
      </c>
      <c r="K146" s="3">
        <f>Project_Data_NYSE[[#This Row],[Gross Profit]]-Project_Data_NYSE[[#This Row],[ Sales, General and Admin. ]]-Project_Data_NYSE[[#This Row],[ Research and Development ]]-Project_Data_NYSE[[#This Row],[ Other Operating Items ]]</f>
        <v>1451000000</v>
      </c>
      <c r="L146" t="s">
        <v>21</v>
      </c>
      <c r="M146" t="s">
        <v>92</v>
      </c>
      <c r="N146" s="31">
        <f>Project_Data_NYSE[[#This Row],[Gross Profit]]/Project_Data_NYSE[[#This Row],[ Total Revenue ]]</f>
        <v>0.65774299835255357</v>
      </c>
      <c r="O146" s="31">
        <f>Project_Data_NYSE[[#This Row],[Operating Profit]]/Project_Data_NYSE[[#This Row],[ Total Revenue ]]</f>
        <v>0.29880560131795719</v>
      </c>
      <c r="Q146" t="s">
        <v>241</v>
      </c>
    </row>
    <row r="147" spans="1:17" x14ac:dyDescent="0.2">
      <c r="A147">
        <v>157</v>
      </c>
      <c r="B147" t="s">
        <v>91</v>
      </c>
      <c r="C147" t="s">
        <v>14</v>
      </c>
      <c r="D147" s="48">
        <v>41639</v>
      </c>
      <c r="E147" s="3">
        <v>4583000000</v>
      </c>
      <c r="F147" s="3">
        <v>1531000000</v>
      </c>
      <c r="G147" s="3">
        <f>Project_Data_NYSE[[#This Row],[ Total Revenue ]]-Project_Data_NYSE[[#This Row],[ Cost of Goods Sold ]]</f>
        <v>3052000000</v>
      </c>
      <c r="H147" s="3">
        <v>1096000000</v>
      </c>
      <c r="I147" s="3">
        <v>584000000</v>
      </c>
      <c r="J147" s="3">
        <v>0</v>
      </c>
      <c r="K147" s="3">
        <f>Project_Data_NYSE[[#This Row],[Gross Profit]]-Project_Data_NYSE[[#This Row],[ Sales, General and Admin. ]]-Project_Data_NYSE[[#This Row],[ Research and Development ]]-Project_Data_NYSE[[#This Row],[ Other Operating Items ]]</f>
        <v>1372000000</v>
      </c>
      <c r="L147" t="s">
        <v>21</v>
      </c>
      <c r="M147" t="s">
        <v>92</v>
      </c>
      <c r="N147" s="31">
        <f>Project_Data_NYSE[[#This Row],[Gross Profit]]/Project_Data_NYSE[[#This Row],[ Total Revenue ]]</f>
        <v>0.66593934104298491</v>
      </c>
      <c r="O147" s="31">
        <f>Project_Data_NYSE[[#This Row],[Operating Profit]]/Project_Data_NYSE[[#This Row],[ Total Revenue ]]</f>
        <v>0.29936722670739691</v>
      </c>
      <c r="Q147" t="s">
        <v>242</v>
      </c>
    </row>
    <row r="148" spans="1:17" x14ac:dyDescent="0.2">
      <c r="A148">
        <v>158</v>
      </c>
      <c r="B148" t="s">
        <v>91</v>
      </c>
      <c r="C148" t="s">
        <v>15</v>
      </c>
      <c r="D148" s="48">
        <v>42004</v>
      </c>
      <c r="E148" s="3">
        <v>4408000000</v>
      </c>
      <c r="F148" s="3">
        <v>1525000000</v>
      </c>
      <c r="G148" s="3">
        <f>Project_Data_NYSE[[#This Row],[ Total Revenue ]]-Project_Data_NYSE[[#This Row],[ Cost of Goods Sold ]]</f>
        <v>2883000000</v>
      </c>
      <c r="H148" s="3">
        <v>1129000000</v>
      </c>
      <c r="I148" s="3">
        <v>571000000</v>
      </c>
      <c r="J148" s="3">
        <v>0</v>
      </c>
      <c r="K148" s="3">
        <f>Project_Data_NYSE[[#This Row],[Gross Profit]]-Project_Data_NYSE[[#This Row],[ Sales, General and Admin. ]]-Project_Data_NYSE[[#This Row],[ Research and Development ]]-Project_Data_NYSE[[#This Row],[ Other Operating Items ]]</f>
        <v>1183000000</v>
      </c>
      <c r="L148" t="s">
        <v>21</v>
      </c>
      <c r="M148" t="s">
        <v>92</v>
      </c>
      <c r="N148" s="31">
        <f>Project_Data_NYSE[[#This Row],[Gross Profit]]/Project_Data_NYSE[[#This Row],[ Total Revenue ]]</f>
        <v>0.65403811252268607</v>
      </c>
      <c r="O148" s="31">
        <f>Project_Data_NYSE[[#This Row],[Operating Profit]]/Project_Data_NYSE[[#This Row],[ Total Revenue ]]</f>
        <v>0.26837568058076228</v>
      </c>
      <c r="Q148" t="s">
        <v>243</v>
      </c>
    </row>
    <row r="149" spans="1:17" x14ac:dyDescent="0.2">
      <c r="A149">
        <v>159</v>
      </c>
      <c r="B149" t="s">
        <v>91</v>
      </c>
      <c r="C149" t="s">
        <v>16</v>
      </c>
      <c r="D149" s="48">
        <v>42369</v>
      </c>
      <c r="E149" s="3">
        <v>4664000000</v>
      </c>
      <c r="F149" s="3">
        <v>1585000000</v>
      </c>
      <c r="G149" s="3">
        <f>Project_Data_NYSE[[#This Row],[ Total Revenue ]]-Project_Data_NYSE[[#This Row],[ Cost of Goods Sold ]]</f>
        <v>3079000000</v>
      </c>
      <c r="H149" s="3">
        <v>1114000000</v>
      </c>
      <c r="I149" s="3">
        <v>646000000</v>
      </c>
      <c r="J149" s="3">
        <v>0</v>
      </c>
      <c r="K149" s="3">
        <f>Project_Data_NYSE[[#This Row],[Gross Profit]]-Project_Data_NYSE[[#This Row],[ Sales, General and Admin. ]]-Project_Data_NYSE[[#This Row],[ Research and Development ]]-Project_Data_NYSE[[#This Row],[ Other Operating Items ]]</f>
        <v>1319000000</v>
      </c>
      <c r="L149" t="s">
        <v>21</v>
      </c>
      <c r="M149" t="s">
        <v>92</v>
      </c>
      <c r="N149" s="31">
        <f>Project_Data_NYSE[[#This Row],[Gross Profit]]/Project_Data_NYSE[[#This Row],[ Total Revenue ]]</f>
        <v>0.66016295025728988</v>
      </c>
      <c r="O149" s="31">
        <f>Project_Data_NYSE[[#This Row],[Operating Profit]]/Project_Data_NYSE[[#This Row],[ Total Revenue ]]</f>
        <v>0.28280445969125212</v>
      </c>
      <c r="Q149" t="s">
        <v>245</v>
      </c>
    </row>
    <row r="150" spans="1:17" x14ac:dyDescent="0.2">
      <c r="A150">
        <v>164</v>
      </c>
      <c r="B150" t="s">
        <v>93</v>
      </c>
      <c r="C150" t="s">
        <v>11</v>
      </c>
      <c r="D150" s="48">
        <v>42309</v>
      </c>
      <c r="E150" s="3">
        <v>6824000000</v>
      </c>
      <c r="F150" s="3">
        <v>3271000000</v>
      </c>
      <c r="G150" s="3">
        <f>Project_Data_NYSE[[#This Row],[ Total Revenue ]]-Project_Data_NYSE[[#This Row],[ Cost of Goods Sold ]]</f>
        <v>3553000000</v>
      </c>
      <c r="H150" s="3">
        <v>486000000</v>
      </c>
      <c r="I150" s="3">
        <v>1049000000</v>
      </c>
      <c r="J150" s="3">
        <v>249000000</v>
      </c>
      <c r="K150" s="3">
        <f>Project_Data_NYSE[[#This Row],[Gross Profit]]-Project_Data_NYSE[[#This Row],[ Sales, General and Admin. ]]-Project_Data_NYSE[[#This Row],[ Research and Development ]]-Project_Data_NYSE[[#This Row],[ Other Operating Items ]]</f>
        <v>1769000000</v>
      </c>
      <c r="L150" t="s">
        <v>21</v>
      </c>
      <c r="M150" t="s">
        <v>33</v>
      </c>
      <c r="N150" s="31">
        <f>Project_Data_NYSE[[#This Row],[Gross Profit]]/Project_Data_NYSE[[#This Row],[ Total Revenue ]]</f>
        <v>0.52066236811254396</v>
      </c>
      <c r="O150" s="31">
        <f>Project_Data_NYSE[[#This Row],[Operating Profit]]/Project_Data_NYSE[[#This Row],[ Total Revenue ]]</f>
        <v>0.25923212192262601</v>
      </c>
      <c r="Q150" t="s">
        <v>246</v>
      </c>
    </row>
    <row r="151" spans="1:17" x14ac:dyDescent="0.2">
      <c r="A151">
        <v>165</v>
      </c>
      <c r="B151" t="s">
        <v>93</v>
      </c>
      <c r="C151" t="s">
        <v>14</v>
      </c>
      <c r="D151" s="48">
        <v>42673</v>
      </c>
      <c r="E151" s="3">
        <v>13240000000</v>
      </c>
      <c r="F151" s="3">
        <v>7300000000</v>
      </c>
      <c r="G151" s="3">
        <f>Project_Data_NYSE[[#This Row],[ Total Revenue ]]-Project_Data_NYSE[[#This Row],[ Cost of Goods Sold ]]</f>
        <v>5940000000</v>
      </c>
      <c r="H151" s="3">
        <v>806000000</v>
      </c>
      <c r="I151" s="3">
        <v>2674000000</v>
      </c>
      <c r="J151" s="3">
        <v>1873000000</v>
      </c>
      <c r="K151" s="3">
        <f>Project_Data_NYSE[[#This Row],[Gross Profit]]-Project_Data_NYSE[[#This Row],[ Sales, General and Admin. ]]-Project_Data_NYSE[[#This Row],[ Research and Development ]]-Project_Data_NYSE[[#This Row],[ Other Operating Items ]]</f>
        <v>587000000</v>
      </c>
      <c r="L151" t="s">
        <v>21</v>
      </c>
      <c r="M151" t="s">
        <v>33</v>
      </c>
      <c r="N151" s="31">
        <f>Project_Data_NYSE[[#This Row],[Gross Profit]]/Project_Data_NYSE[[#This Row],[ Total Revenue ]]</f>
        <v>0.44864048338368578</v>
      </c>
      <c r="O151" s="31">
        <f>Project_Data_NYSE[[#This Row],[Operating Profit]]/Project_Data_NYSE[[#This Row],[ Total Revenue ]]</f>
        <v>4.4335347432024171E-2</v>
      </c>
      <c r="Q151" t="s">
        <v>247</v>
      </c>
    </row>
    <row r="152" spans="1:17" x14ac:dyDescent="0.2">
      <c r="A152">
        <v>166</v>
      </c>
      <c r="B152" t="s">
        <v>94</v>
      </c>
      <c r="C152" t="s">
        <v>11</v>
      </c>
      <c r="D152" s="48">
        <v>41274</v>
      </c>
      <c r="E152" s="3">
        <v>5863500000</v>
      </c>
      <c r="F152" s="3">
        <v>4335300000</v>
      </c>
      <c r="G152" s="3">
        <f>Project_Data_NYSE[[#This Row],[ Total Revenue ]]-Project_Data_NYSE[[#This Row],[ Cost of Goods Sold ]]</f>
        <v>1528200000</v>
      </c>
      <c r="H152" s="3">
        <v>1148900000</v>
      </c>
      <c r="I152" s="3">
        <v>0</v>
      </c>
      <c r="J152" s="3">
        <v>0</v>
      </c>
      <c r="K152" s="3">
        <f>Project_Data_NYSE[[#This Row],[Gross Profit]]-Project_Data_NYSE[[#This Row],[ Sales, General and Admin. ]]-Project_Data_NYSE[[#This Row],[ Research and Development ]]-Project_Data_NYSE[[#This Row],[ Other Operating Items ]]</f>
        <v>379300000</v>
      </c>
      <c r="L152" t="s">
        <v>58</v>
      </c>
      <c r="M152" t="s">
        <v>95</v>
      </c>
      <c r="N152" s="31">
        <f>Project_Data_NYSE[[#This Row],[Gross Profit]]/Project_Data_NYSE[[#This Row],[ Total Revenue ]]</f>
        <v>0.26062931696085956</v>
      </c>
      <c r="O152" s="31">
        <f>Project_Data_NYSE[[#This Row],[Operating Profit]]/Project_Data_NYSE[[#This Row],[ Total Revenue ]]</f>
        <v>6.4688326085102749E-2</v>
      </c>
      <c r="Q152" t="s">
        <v>248</v>
      </c>
    </row>
    <row r="153" spans="1:17" x14ac:dyDescent="0.2">
      <c r="A153">
        <v>167</v>
      </c>
      <c r="B153" t="s">
        <v>94</v>
      </c>
      <c r="C153" t="s">
        <v>14</v>
      </c>
      <c r="D153" s="48">
        <v>41636</v>
      </c>
      <c r="E153" s="3">
        <v>6140000000</v>
      </c>
      <c r="F153" s="3">
        <v>4502300000</v>
      </c>
      <c r="G153" s="3">
        <f>Project_Data_NYSE[[#This Row],[ Total Revenue ]]-Project_Data_NYSE[[#This Row],[ Cost of Goods Sold ]]</f>
        <v>1637700000</v>
      </c>
      <c r="H153" s="3">
        <v>1174200000</v>
      </c>
      <c r="I153" s="3">
        <v>0</v>
      </c>
      <c r="J153" s="3">
        <v>0</v>
      </c>
      <c r="K153" s="3">
        <f>Project_Data_NYSE[[#This Row],[Gross Profit]]-Project_Data_NYSE[[#This Row],[ Sales, General and Admin. ]]-Project_Data_NYSE[[#This Row],[ Research and Development ]]-Project_Data_NYSE[[#This Row],[ Other Operating Items ]]</f>
        <v>463500000</v>
      </c>
      <c r="L153" t="s">
        <v>58</v>
      </c>
      <c r="M153" t="s">
        <v>95</v>
      </c>
      <c r="N153" s="31">
        <f>Project_Data_NYSE[[#This Row],[Gross Profit]]/Project_Data_NYSE[[#This Row],[ Total Revenue ]]</f>
        <v>0.26672638436482082</v>
      </c>
      <c r="O153" s="31">
        <f>Project_Data_NYSE[[#This Row],[Operating Profit]]/Project_Data_NYSE[[#This Row],[ Total Revenue ]]</f>
        <v>7.5488599348534205E-2</v>
      </c>
      <c r="Q153" t="s">
        <v>250</v>
      </c>
    </row>
    <row r="154" spans="1:17" x14ac:dyDescent="0.2">
      <c r="A154">
        <v>168</v>
      </c>
      <c r="B154" t="s">
        <v>94</v>
      </c>
      <c r="C154" t="s">
        <v>15</v>
      </c>
      <c r="D154" s="48">
        <v>42007</v>
      </c>
      <c r="E154" s="3">
        <v>6330300000</v>
      </c>
      <c r="F154" s="3">
        <v>4679100000</v>
      </c>
      <c r="G154" s="3">
        <f>Project_Data_NYSE[[#This Row],[ Total Revenue ]]-Project_Data_NYSE[[#This Row],[ Cost of Goods Sold ]]</f>
        <v>1651200000</v>
      </c>
      <c r="H154" s="3">
        <v>1158900000</v>
      </c>
      <c r="I154" s="3">
        <v>0</v>
      </c>
      <c r="J154" s="3">
        <v>0</v>
      </c>
      <c r="K154" s="3">
        <f>Project_Data_NYSE[[#This Row],[Gross Profit]]-Project_Data_NYSE[[#This Row],[ Sales, General and Admin. ]]-Project_Data_NYSE[[#This Row],[ Research and Development ]]-Project_Data_NYSE[[#This Row],[ Other Operating Items ]]</f>
        <v>492300000</v>
      </c>
      <c r="L154" t="s">
        <v>58</v>
      </c>
      <c r="M154" t="s">
        <v>95</v>
      </c>
      <c r="N154" s="31">
        <f>Project_Data_NYSE[[#This Row],[Gross Profit]]/Project_Data_NYSE[[#This Row],[ Total Revenue ]]</f>
        <v>0.26084071844936257</v>
      </c>
      <c r="O154" s="31">
        <f>Project_Data_NYSE[[#This Row],[Operating Profit]]/Project_Data_NYSE[[#This Row],[ Total Revenue ]]</f>
        <v>7.7768826121984741E-2</v>
      </c>
      <c r="Q154" t="s">
        <v>251</v>
      </c>
    </row>
    <row r="155" spans="1:17" x14ac:dyDescent="0.2">
      <c r="A155">
        <v>169</v>
      </c>
      <c r="B155" t="s">
        <v>94</v>
      </c>
      <c r="C155" t="s">
        <v>16</v>
      </c>
      <c r="D155" s="48">
        <v>42371</v>
      </c>
      <c r="E155" s="3">
        <v>5966900000</v>
      </c>
      <c r="F155" s="3">
        <v>4321100000</v>
      </c>
      <c r="G155" s="3">
        <f>Project_Data_NYSE[[#This Row],[ Total Revenue ]]-Project_Data_NYSE[[#This Row],[ Cost of Goods Sold ]]</f>
        <v>1645800000</v>
      </c>
      <c r="H155" s="3">
        <v>1108100000</v>
      </c>
      <c r="I155" s="3">
        <v>0</v>
      </c>
      <c r="J155" s="3">
        <v>0</v>
      </c>
      <c r="K155" s="3">
        <f>Project_Data_NYSE[[#This Row],[Gross Profit]]-Project_Data_NYSE[[#This Row],[ Sales, General and Admin. ]]-Project_Data_NYSE[[#This Row],[ Research and Development ]]-Project_Data_NYSE[[#This Row],[ Other Operating Items ]]</f>
        <v>537700000</v>
      </c>
      <c r="L155" t="s">
        <v>58</v>
      </c>
      <c r="M155" t="s">
        <v>95</v>
      </c>
      <c r="N155" s="31">
        <f>Project_Data_NYSE[[#This Row],[Gross Profit]]/Project_Data_NYSE[[#This Row],[ Total Revenue ]]</f>
        <v>0.27582161591446147</v>
      </c>
      <c r="O155" s="31">
        <f>Project_Data_NYSE[[#This Row],[Operating Profit]]/Project_Data_NYSE[[#This Row],[ Total Revenue ]]</f>
        <v>9.0113794432619951E-2</v>
      </c>
      <c r="Q155" t="s">
        <v>252</v>
      </c>
    </row>
    <row r="156" spans="1:17" x14ac:dyDescent="0.2">
      <c r="A156">
        <v>170</v>
      </c>
      <c r="B156" t="s">
        <v>96</v>
      </c>
      <c r="C156" t="s">
        <v>11</v>
      </c>
      <c r="D156" s="48">
        <v>41274</v>
      </c>
      <c r="E156" s="3">
        <v>2853926000</v>
      </c>
      <c r="F156" s="3">
        <v>1329500000</v>
      </c>
      <c r="G156" s="3">
        <f>Project_Data_NYSE[[#This Row],[ Total Revenue ]]-Project_Data_NYSE[[#This Row],[ Cost of Goods Sold ]]</f>
        <v>1524426000</v>
      </c>
      <c r="H156" s="3">
        <v>220758000</v>
      </c>
      <c r="I156" s="3">
        <v>0</v>
      </c>
      <c r="J156" s="3">
        <v>380402000</v>
      </c>
      <c r="K156" s="3">
        <f>Project_Data_NYSE[[#This Row],[Gross Profit]]-Project_Data_NYSE[[#This Row],[ Sales, General and Admin. ]]-Project_Data_NYSE[[#This Row],[ Research and Development ]]-Project_Data_NYSE[[#This Row],[ Other Operating Items ]]</f>
        <v>923266000</v>
      </c>
      <c r="L156" t="s">
        <v>41</v>
      </c>
      <c r="M156" t="s">
        <v>97</v>
      </c>
      <c r="N156" s="31">
        <f>Project_Data_NYSE[[#This Row],[Gross Profit]]/Project_Data_NYSE[[#This Row],[ Total Revenue ]]</f>
        <v>0.53415050004800402</v>
      </c>
      <c r="O156" s="31">
        <f>Project_Data_NYSE[[#This Row],[Operating Profit]]/Project_Data_NYSE[[#This Row],[ Total Revenue ]]</f>
        <v>0.32350733691062766</v>
      </c>
      <c r="Q156" t="s">
        <v>253</v>
      </c>
    </row>
    <row r="157" spans="1:17" x14ac:dyDescent="0.2">
      <c r="A157">
        <v>171</v>
      </c>
      <c r="B157" t="s">
        <v>96</v>
      </c>
      <c r="C157" t="s">
        <v>14</v>
      </c>
      <c r="D157" s="48">
        <v>41639</v>
      </c>
      <c r="E157" s="3">
        <v>2879000000</v>
      </c>
      <c r="F157" s="3">
        <v>1289000000</v>
      </c>
      <c r="G157" s="3">
        <f>Project_Data_NYSE[[#This Row],[ Total Revenue ]]-Project_Data_NYSE[[#This Row],[ Cost of Goods Sold ]]</f>
        <v>1590000000</v>
      </c>
      <c r="H157" s="3">
        <v>234000000</v>
      </c>
      <c r="I157" s="3">
        <v>0</v>
      </c>
      <c r="J157" s="3">
        <v>407000000</v>
      </c>
      <c r="K157" s="3">
        <f>Project_Data_NYSE[[#This Row],[Gross Profit]]-Project_Data_NYSE[[#This Row],[ Sales, General and Admin. ]]-Project_Data_NYSE[[#This Row],[ Research and Development ]]-Project_Data_NYSE[[#This Row],[ Other Operating Items ]]</f>
        <v>949000000</v>
      </c>
      <c r="L157" t="s">
        <v>41</v>
      </c>
      <c r="M157" t="s">
        <v>97</v>
      </c>
      <c r="N157" s="31">
        <f>Project_Data_NYSE[[#This Row],[Gross Profit]]/Project_Data_NYSE[[#This Row],[ Total Revenue ]]</f>
        <v>0.55227509551927756</v>
      </c>
      <c r="O157" s="31">
        <f>Project_Data_NYSE[[#This Row],[Operating Profit]]/Project_Data_NYSE[[#This Row],[ Total Revenue ]]</f>
        <v>0.32962834317471346</v>
      </c>
      <c r="Q157" t="s">
        <v>254</v>
      </c>
    </row>
    <row r="158" spans="1:17" x14ac:dyDescent="0.2">
      <c r="A158">
        <v>172</v>
      </c>
      <c r="B158" t="s">
        <v>96</v>
      </c>
      <c r="C158" t="s">
        <v>15</v>
      </c>
      <c r="D158" s="48">
        <v>42004</v>
      </c>
      <c r="E158" s="3">
        <v>3011000000</v>
      </c>
      <c r="F158" s="3">
        <v>1350000000</v>
      </c>
      <c r="G158" s="3">
        <f>Project_Data_NYSE[[#This Row],[ Total Revenue ]]-Project_Data_NYSE[[#This Row],[ Cost of Goods Sold ]]</f>
        <v>1661000000</v>
      </c>
      <c r="H158" s="3">
        <v>236000000</v>
      </c>
      <c r="I158" s="3">
        <v>0</v>
      </c>
      <c r="J158" s="3">
        <v>424000000</v>
      </c>
      <c r="K158" s="3">
        <f>Project_Data_NYSE[[#This Row],[Gross Profit]]-Project_Data_NYSE[[#This Row],[ Sales, General and Admin. ]]-Project_Data_NYSE[[#This Row],[ Research and Development ]]-Project_Data_NYSE[[#This Row],[ Other Operating Items ]]</f>
        <v>1001000000</v>
      </c>
      <c r="L158" t="s">
        <v>41</v>
      </c>
      <c r="M158" t="s">
        <v>97</v>
      </c>
      <c r="N158" s="31">
        <f>Project_Data_NYSE[[#This Row],[Gross Profit]]/Project_Data_NYSE[[#This Row],[ Total Revenue ]]</f>
        <v>0.55164397210229155</v>
      </c>
      <c r="O158" s="31">
        <f>Project_Data_NYSE[[#This Row],[Operating Profit]]/Project_Data_NYSE[[#This Row],[ Total Revenue ]]</f>
        <v>0.33244769179674527</v>
      </c>
      <c r="Q158" t="s">
        <v>255</v>
      </c>
    </row>
    <row r="159" spans="1:17" x14ac:dyDescent="0.2">
      <c r="A159">
        <v>173</v>
      </c>
      <c r="B159" t="s">
        <v>96</v>
      </c>
      <c r="C159" t="s">
        <v>16</v>
      </c>
      <c r="D159" s="48">
        <v>42369</v>
      </c>
      <c r="E159" s="3">
        <v>3159000000</v>
      </c>
      <c r="F159" s="3">
        <v>1404000000</v>
      </c>
      <c r="G159" s="3">
        <f>Project_Data_NYSE[[#This Row],[ Total Revenue ]]-Project_Data_NYSE[[#This Row],[ Cost of Goods Sold ]]</f>
        <v>1755000000</v>
      </c>
      <c r="H159" s="3">
        <v>243000000</v>
      </c>
      <c r="I159" s="3">
        <v>0</v>
      </c>
      <c r="J159" s="3">
        <v>440000000</v>
      </c>
      <c r="K159" s="3">
        <f>Project_Data_NYSE[[#This Row],[Gross Profit]]-Project_Data_NYSE[[#This Row],[ Sales, General and Admin. ]]-Project_Data_NYSE[[#This Row],[ Research and Development ]]-Project_Data_NYSE[[#This Row],[ Other Operating Items ]]</f>
        <v>1072000000</v>
      </c>
      <c r="L159" t="s">
        <v>41</v>
      </c>
      <c r="M159" t="s">
        <v>97</v>
      </c>
      <c r="N159" s="31">
        <f>Project_Data_NYSE[[#This Row],[Gross Profit]]/Project_Data_NYSE[[#This Row],[ Total Revenue ]]</f>
        <v>0.55555555555555558</v>
      </c>
      <c r="O159" s="31">
        <f>Project_Data_NYSE[[#This Row],[Operating Profit]]/Project_Data_NYSE[[#This Row],[ Total Revenue ]]</f>
        <v>0.33934789490345046</v>
      </c>
      <c r="Q159" t="s">
        <v>257</v>
      </c>
    </row>
    <row r="160" spans="1:17" x14ac:dyDescent="0.2">
      <c r="A160">
        <v>174</v>
      </c>
      <c r="B160" t="s">
        <v>98</v>
      </c>
      <c r="C160" t="s">
        <v>11</v>
      </c>
      <c r="D160" s="48">
        <v>41274</v>
      </c>
      <c r="E160" s="3">
        <v>33781000000</v>
      </c>
      <c r="F160" s="3">
        <v>480000000</v>
      </c>
      <c r="G160" s="3">
        <f>Project_Data_NYSE[[#This Row],[ Total Revenue ]]-Project_Data_NYSE[[#This Row],[ Cost of Goods Sold ]]</f>
        <v>33301000000</v>
      </c>
      <c r="H160" s="3">
        <v>23392000000</v>
      </c>
      <c r="I160" s="3">
        <v>0</v>
      </c>
      <c r="J160" s="3">
        <v>1712000000</v>
      </c>
      <c r="K160" s="3">
        <f>Project_Data_NYSE[[#This Row],[Gross Profit]]-Project_Data_NYSE[[#This Row],[ Sales, General and Admin. ]]-Project_Data_NYSE[[#This Row],[ Research and Development ]]-Project_Data_NYSE[[#This Row],[ Other Operating Items ]]</f>
        <v>8197000000</v>
      </c>
      <c r="L160" t="s">
        <v>46</v>
      </c>
      <c r="M160" t="s">
        <v>99</v>
      </c>
      <c r="N160" s="31">
        <f>Project_Data_NYSE[[#This Row],[Gross Profit]]/Project_Data_NYSE[[#This Row],[ Total Revenue ]]</f>
        <v>0.98579082916432315</v>
      </c>
      <c r="O160" s="31">
        <f>Project_Data_NYSE[[#This Row],[Operating Profit]]/Project_Data_NYSE[[#This Row],[ Total Revenue ]]</f>
        <v>0.24265119445842337</v>
      </c>
      <c r="Q160" t="s">
        <v>259</v>
      </c>
    </row>
    <row r="161" spans="1:17" x14ac:dyDescent="0.2">
      <c r="A161">
        <v>175</v>
      </c>
      <c r="B161" t="s">
        <v>98</v>
      </c>
      <c r="C161" t="s">
        <v>14</v>
      </c>
      <c r="D161" s="48">
        <v>41639</v>
      </c>
      <c r="E161" s="3">
        <v>34828000000</v>
      </c>
      <c r="F161" s="3">
        <v>442000000</v>
      </c>
      <c r="G161" s="3">
        <f>Project_Data_NYSE[[#This Row],[ Total Revenue ]]-Project_Data_NYSE[[#This Row],[ Cost of Goods Sold ]]</f>
        <v>34386000000</v>
      </c>
      <c r="H161" s="3">
        <v>23150000000</v>
      </c>
      <c r="I161" s="3">
        <v>0</v>
      </c>
      <c r="J161" s="3">
        <v>1832000000</v>
      </c>
      <c r="K161" s="3">
        <f>Project_Data_NYSE[[#This Row],[Gross Profit]]-Project_Data_NYSE[[#This Row],[ Sales, General and Admin. ]]-Project_Data_NYSE[[#This Row],[ Research and Development ]]-Project_Data_NYSE[[#This Row],[ Other Operating Items ]]</f>
        <v>9404000000</v>
      </c>
      <c r="L161" t="s">
        <v>46</v>
      </c>
      <c r="M161" t="s">
        <v>99</v>
      </c>
      <c r="N161" s="31">
        <f>Project_Data_NYSE[[#This Row],[Gross Profit]]/Project_Data_NYSE[[#This Row],[ Total Revenue ]]</f>
        <v>0.98730906167451471</v>
      </c>
      <c r="O161" s="31">
        <f>Project_Data_NYSE[[#This Row],[Operating Profit]]/Project_Data_NYSE[[#This Row],[ Total Revenue ]]</f>
        <v>0.27001263351326521</v>
      </c>
      <c r="Q161" t="s">
        <v>261</v>
      </c>
    </row>
    <row r="162" spans="1:17" x14ac:dyDescent="0.2">
      <c r="A162">
        <v>176</v>
      </c>
      <c r="B162" t="s">
        <v>98</v>
      </c>
      <c r="C162" t="s">
        <v>15</v>
      </c>
      <c r="D162" s="48">
        <v>42004</v>
      </c>
      <c r="E162" s="3">
        <v>35895000000</v>
      </c>
      <c r="F162" s="3">
        <v>373000000</v>
      </c>
      <c r="G162" s="3">
        <f>Project_Data_NYSE[[#This Row],[ Total Revenue ]]-Project_Data_NYSE[[#This Row],[ Cost of Goods Sold ]]</f>
        <v>35522000000</v>
      </c>
      <c r="H162" s="3">
        <v>23153000000</v>
      </c>
      <c r="I162" s="3">
        <v>0</v>
      </c>
      <c r="J162" s="3">
        <v>2044000000</v>
      </c>
      <c r="K162" s="3">
        <f>Project_Data_NYSE[[#This Row],[Gross Profit]]-Project_Data_NYSE[[#This Row],[ Sales, General and Admin. ]]-Project_Data_NYSE[[#This Row],[ Research and Development ]]-Project_Data_NYSE[[#This Row],[ Other Operating Items ]]</f>
        <v>10325000000</v>
      </c>
      <c r="L162" t="s">
        <v>46</v>
      </c>
      <c r="M162" t="s">
        <v>99</v>
      </c>
      <c r="N162" s="31">
        <f>Project_Data_NYSE[[#This Row],[Gross Profit]]/Project_Data_NYSE[[#This Row],[ Total Revenue ]]</f>
        <v>0.98960858058225376</v>
      </c>
      <c r="O162" s="31">
        <f>Project_Data_NYSE[[#This Row],[Operating Profit]]/Project_Data_NYSE[[#This Row],[ Total Revenue ]]</f>
        <v>0.28764451873519986</v>
      </c>
      <c r="Q162" t="s">
        <v>262</v>
      </c>
    </row>
    <row r="163" spans="1:17" x14ac:dyDescent="0.2">
      <c r="A163">
        <v>177</v>
      </c>
      <c r="B163" t="s">
        <v>98</v>
      </c>
      <c r="C163" t="s">
        <v>16</v>
      </c>
      <c r="D163" s="48">
        <v>42369</v>
      </c>
      <c r="E163" s="3">
        <v>34441000000</v>
      </c>
      <c r="F163" s="3">
        <v>475000000</v>
      </c>
      <c r="G163" s="3">
        <f>Project_Data_NYSE[[#This Row],[ Total Revenue ]]-Project_Data_NYSE[[#This Row],[ Cost of Goods Sold ]]</f>
        <v>33966000000</v>
      </c>
      <c r="H163" s="3">
        <v>22892000000</v>
      </c>
      <c r="I163" s="3">
        <v>0</v>
      </c>
      <c r="J163" s="3">
        <v>1988000000</v>
      </c>
      <c r="K163" s="3">
        <f>Project_Data_NYSE[[#This Row],[Gross Profit]]-Project_Data_NYSE[[#This Row],[ Sales, General and Admin. ]]-Project_Data_NYSE[[#This Row],[ Research and Development ]]-Project_Data_NYSE[[#This Row],[ Other Operating Items ]]</f>
        <v>9086000000</v>
      </c>
      <c r="L163" t="s">
        <v>46</v>
      </c>
      <c r="M163" t="s">
        <v>99</v>
      </c>
      <c r="N163" s="31">
        <f>Project_Data_NYSE[[#This Row],[Gross Profit]]/Project_Data_NYSE[[#This Row],[ Total Revenue ]]</f>
        <v>0.98620829824917977</v>
      </c>
      <c r="O163" s="31">
        <f>Project_Data_NYSE[[#This Row],[Operating Profit]]/Project_Data_NYSE[[#This Row],[ Total Revenue ]]</f>
        <v>0.26381347812200573</v>
      </c>
      <c r="Q163" t="s">
        <v>263</v>
      </c>
    </row>
    <row r="164" spans="1:17" x14ac:dyDescent="0.2">
      <c r="A164">
        <v>178</v>
      </c>
      <c r="B164" t="s">
        <v>100</v>
      </c>
      <c r="C164" t="s">
        <v>11</v>
      </c>
      <c r="D164" s="48">
        <v>41517</v>
      </c>
      <c r="E164" s="3">
        <v>2089100000</v>
      </c>
      <c r="F164" s="3">
        <v>1251500000</v>
      </c>
      <c r="G164" s="3">
        <f>Project_Data_NYSE[[#This Row],[ Total Revenue ]]-Project_Data_NYSE[[#This Row],[ Cost of Goods Sold ]]</f>
        <v>837600000</v>
      </c>
      <c r="H164" s="3">
        <v>607600000</v>
      </c>
      <c r="I164" s="3">
        <v>0</v>
      </c>
      <c r="J164" s="3">
        <v>0</v>
      </c>
      <c r="K164" s="3">
        <f>Project_Data_NYSE[[#This Row],[Gross Profit]]-Project_Data_NYSE[[#This Row],[ Sales, General and Admin. ]]-Project_Data_NYSE[[#This Row],[ Research and Development ]]-Project_Data_NYSE[[#This Row],[ Other Operating Items ]]</f>
        <v>230000000</v>
      </c>
      <c r="L164" t="s">
        <v>12</v>
      </c>
      <c r="M164" t="s">
        <v>69</v>
      </c>
      <c r="N164" s="31">
        <f>Project_Data_NYSE[[#This Row],[Gross Profit]]/Project_Data_NYSE[[#This Row],[ Total Revenue ]]</f>
        <v>0.40093820305394667</v>
      </c>
      <c r="O164" s="31">
        <f>Project_Data_NYSE[[#This Row],[Operating Profit]]/Project_Data_NYSE[[#This Row],[ Total Revenue ]]</f>
        <v>0.11009525633047725</v>
      </c>
      <c r="Q164" t="s">
        <v>265</v>
      </c>
    </row>
    <row r="165" spans="1:17" x14ac:dyDescent="0.2">
      <c r="A165">
        <v>179</v>
      </c>
      <c r="B165" t="s">
        <v>100</v>
      </c>
      <c r="C165" t="s">
        <v>14</v>
      </c>
      <c r="D165" s="48">
        <v>41882</v>
      </c>
      <c r="E165" s="3">
        <v>2393500000</v>
      </c>
      <c r="F165" s="3">
        <v>1414300000</v>
      </c>
      <c r="G165" s="3">
        <f>Project_Data_NYSE[[#This Row],[ Total Revenue ]]-Project_Data_NYSE[[#This Row],[ Cost of Goods Sold ]]</f>
        <v>979200000</v>
      </c>
      <c r="H165" s="3">
        <v>680300000</v>
      </c>
      <c r="I165" s="3">
        <v>0</v>
      </c>
      <c r="J165" s="3">
        <v>0</v>
      </c>
      <c r="K165" s="3">
        <f>Project_Data_NYSE[[#This Row],[Gross Profit]]-Project_Data_NYSE[[#This Row],[ Sales, General and Admin. ]]-Project_Data_NYSE[[#This Row],[ Research and Development ]]-Project_Data_NYSE[[#This Row],[ Other Operating Items ]]</f>
        <v>298900000</v>
      </c>
      <c r="L165" t="s">
        <v>12</v>
      </c>
      <c r="M165" t="s">
        <v>69</v>
      </c>
      <c r="N165" s="31">
        <f>Project_Data_NYSE[[#This Row],[Gross Profit]]/Project_Data_NYSE[[#This Row],[ Total Revenue ]]</f>
        <v>0.4091080008355964</v>
      </c>
      <c r="O165" s="31">
        <f>Project_Data_NYSE[[#This Row],[Operating Profit]]/Project_Data_NYSE[[#This Row],[ Total Revenue ]]</f>
        <v>0.12487988301650303</v>
      </c>
      <c r="Q165" t="s">
        <v>266</v>
      </c>
    </row>
    <row r="166" spans="1:17" x14ac:dyDescent="0.2">
      <c r="A166">
        <v>180</v>
      </c>
      <c r="B166" t="s">
        <v>100</v>
      </c>
      <c r="C166" t="s">
        <v>15</v>
      </c>
      <c r="D166" s="48">
        <v>42247</v>
      </c>
      <c r="E166" s="3">
        <v>2706700000</v>
      </c>
      <c r="F166" s="3">
        <v>1561100000</v>
      </c>
      <c r="G166" s="3">
        <f>Project_Data_NYSE[[#This Row],[ Total Revenue ]]-Project_Data_NYSE[[#This Row],[ Cost of Goods Sold ]]</f>
        <v>1145600000</v>
      </c>
      <c r="H166" s="3">
        <v>756900000</v>
      </c>
      <c r="I166" s="3">
        <v>0</v>
      </c>
      <c r="J166" s="3">
        <v>0</v>
      </c>
      <c r="K166" s="3">
        <f>Project_Data_NYSE[[#This Row],[Gross Profit]]-Project_Data_NYSE[[#This Row],[ Sales, General and Admin. ]]-Project_Data_NYSE[[#This Row],[ Research and Development ]]-Project_Data_NYSE[[#This Row],[ Other Operating Items ]]</f>
        <v>388700000</v>
      </c>
      <c r="L166" t="s">
        <v>12</v>
      </c>
      <c r="M166" t="s">
        <v>69</v>
      </c>
      <c r="N166" s="31">
        <f>Project_Data_NYSE[[#This Row],[Gross Profit]]/Project_Data_NYSE[[#This Row],[ Total Revenue ]]</f>
        <v>0.42324601913769533</v>
      </c>
      <c r="O166" s="31">
        <f>Project_Data_NYSE[[#This Row],[Operating Profit]]/Project_Data_NYSE[[#This Row],[ Total Revenue ]]</f>
        <v>0.14360660582997747</v>
      </c>
      <c r="Q166" t="s">
        <v>267</v>
      </c>
    </row>
    <row r="167" spans="1:17" x14ac:dyDescent="0.2">
      <c r="A167">
        <v>181</v>
      </c>
      <c r="B167" t="s">
        <v>100</v>
      </c>
      <c r="C167" t="s">
        <v>16</v>
      </c>
      <c r="D167" s="48">
        <v>42613</v>
      </c>
      <c r="E167" s="3">
        <v>3291300000</v>
      </c>
      <c r="F167" s="3">
        <v>1855100000</v>
      </c>
      <c r="G167" s="3">
        <f>Project_Data_NYSE[[#This Row],[ Total Revenue ]]-Project_Data_NYSE[[#This Row],[ Cost of Goods Sold ]]</f>
        <v>1436200000</v>
      </c>
      <c r="H167" s="3">
        <v>946000000</v>
      </c>
      <c r="I167" s="3">
        <v>0</v>
      </c>
      <c r="J167" s="3">
        <v>0</v>
      </c>
      <c r="K167" s="3">
        <f>Project_Data_NYSE[[#This Row],[Gross Profit]]-Project_Data_NYSE[[#This Row],[ Sales, General and Admin. ]]-Project_Data_NYSE[[#This Row],[ Research and Development ]]-Project_Data_NYSE[[#This Row],[ Other Operating Items ]]</f>
        <v>490200000</v>
      </c>
      <c r="L167" t="s">
        <v>12</v>
      </c>
      <c r="M167" t="s">
        <v>69</v>
      </c>
      <c r="N167" s="31">
        <f>Project_Data_NYSE[[#This Row],[Gross Profit]]/Project_Data_NYSE[[#This Row],[ Total Revenue ]]</f>
        <v>0.43636253152249871</v>
      </c>
      <c r="O167" s="31">
        <f>Project_Data_NYSE[[#This Row],[Operating Profit]]/Project_Data_NYSE[[#This Row],[ Total Revenue ]]</f>
        <v>0.14893810956157141</v>
      </c>
      <c r="Q167" t="s">
        <v>268</v>
      </c>
    </row>
    <row r="168" spans="1:17" x14ac:dyDescent="0.2">
      <c r="A168">
        <v>182</v>
      </c>
      <c r="B168" t="s">
        <v>101</v>
      </c>
      <c r="C168" t="s">
        <v>11</v>
      </c>
      <c r="D168" s="48">
        <v>41517</v>
      </c>
      <c r="E168" s="3">
        <v>9147530000</v>
      </c>
      <c r="F168" s="3">
        <v>4406595000</v>
      </c>
      <c r="G168" s="3">
        <f>Project_Data_NYSE[[#This Row],[ Total Revenue ]]-Project_Data_NYSE[[#This Row],[ Cost of Goods Sold ]]</f>
        <v>4740935000</v>
      </c>
      <c r="H168" s="3">
        <v>2967837000</v>
      </c>
      <c r="I168" s="3">
        <v>0</v>
      </c>
      <c r="J168" s="3">
        <v>0</v>
      </c>
      <c r="K168" s="3">
        <f>Project_Data_NYSE[[#This Row],[Gross Profit]]-Project_Data_NYSE[[#This Row],[ Sales, General and Admin. ]]-Project_Data_NYSE[[#This Row],[ Research and Development ]]-Project_Data_NYSE[[#This Row],[ Other Operating Items ]]</f>
        <v>1773098000</v>
      </c>
      <c r="L168" t="s">
        <v>18</v>
      </c>
      <c r="M168" t="s">
        <v>78</v>
      </c>
      <c r="N168" s="31">
        <f>Project_Data_NYSE[[#This Row],[Gross Profit]]/Project_Data_NYSE[[#This Row],[ Total Revenue ]]</f>
        <v>0.51827487857377896</v>
      </c>
      <c r="O168" s="31">
        <f>Project_Data_NYSE[[#This Row],[Operating Profit]]/Project_Data_NYSE[[#This Row],[ Total Revenue ]]</f>
        <v>0.19383352664599077</v>
      </c>
      <c r="Q168" t="s">
        <v>269</v>
      </c>
    </row>
    <row r="169" spans="1:17" x14ac:dyDescent="0.2">
      <c r="A169">
        <v>183</v>
      </c>
      <c r="B169" t="s">
        <v>101</v>
      </c>
      <c r="C169" t="s">
        <v>14</v>
      </c>
      <c r="D169" s="48">
        <v>41881</v>
      </c>
      <c r="E169" s="3">
        <v>9475313000</v>
      </c>
      <c r="F169" s="3">
        <v>4540406000</v>
      </c>
      <c r="G169" s="3">
        <f>Project_Data_NYSE[[#This Row],[ Total Revenue ]]-Project_Data_NYSE[[#This Row],[ Cost of Goods Sold ]]</f>
        <v>4934907000</v>
      </c>
      <c r="H169" s="3">
        <v>3104684000</v>
      </c>
      <c r="I169" s="3">
        <v>0</v>
      </c>
      <c r="J169" s="3">
        <v>0</v>
      </c>
      <c r="K169" s="3">
        <f>Project_Data_NYSE[[#This Row],[Gross Profit]]-Project_Data_NYSE[[#This Row],[ Sales, General and Admin. ]]-Project_Data_NYSE[[#This Row],[ Research and Development ]]-Project_Data_NYSE[[#This Row],[ Other Operating Items ]]</f>
        <v>1830223000</v>
      </c>
      <c r="L169" t="s">
        <v>18</v>
      </c>
      <c r="M169" t="s">
        <v>78</v>
      </c>
      <c r="N169" s="31">
        <f>Project_Data_NYSE[[#This Row],[Gross Profit]]/Project_Data_NYSE[[#This Row],[ Total Revenue ]]</f>
        <v>0.52081730703777274</v>
      </c>
      <c r="O169" s="31">
        <f>Project_Data_NYSE[[#This Row],[Operating Profit]]/Project_Data_NYSE[[#This Row],[ Total Revenue ]]</f>
        <v>0.19315699650238466</v>
      </c>
      <c r="Q169" t="s">
        <v>270</v>
      </c>
    </row>
    <row r="170" spans="1:17" x14ac:dyDescent="0.2">
      <c r="A170">
        <v>184</v>
      </c>
      <c r="B170" t="s">
        <v>101</v>
      </c>
      <c r="C170" t="s">
        <v>15</v>
      </c>
      <c r="D170" s="48">
        <v>42245</v>
      </c>
      <c r="E170" s="3">
        <v>10187340000</v>
      </c>
      <c r="F170" s="3">
        <v>4860309000</v>
      </c>
      <c r="G170" s="3">
        <f>Project_Data_NYSE[[#This Row],[ Total Revenue ]]-Project_Data_NYSE[[#This Row],[ Cost of Goods Sold ]]</f>
        <v>5327031000</v>
      </c>
      <c r="H170" s="3">
        <v>3373980000</v>
      </c>
      <c r="I170" s="3">
        <v>0</v>
      </c>
      <c r="J170" s="3">
        <v>0</v>
      </c>
      <c r="K170" s="3">
        <f>Project_Data_NYSE[[#This Row],[Gross Profit]]-Project_Data_NYSE[[#This Row],[ Sales, General and Admin. ]]-Project_Data_NYSE[[#This Row],[ Research and Development ]]-Project_Data_NYSE[[#This Row],[ Other Operating Items ]]</f>
        <v>1953051000</v>
      </c>
      <c r="L170" t="s">
        <v>18</v>
      </c>
      <c r="M170" t="s">
        <v>78</v>
      </c>
      <c r="N170" s="31">
        <f>Project_Data_NYSE[[#This Row],[Gross Profit]]/Project_Data_NYSE[[#This Row],[ Total Revenue ]]</f>
        <v>0.52290696099276157</v>
      </c>
      <c r="O170" s="31">
        <f>Project_Data_NYSE[[#This Row],[Operating Profit]]/Project_Data_NYSE[[#This Row],[ Total Revenue ]]</f>
        <v>0.19171353856845849</v>
      </c>
      <c r="Q170" t="s">
        <v>271</v>
      </c>
    </row>
    <row r="171" spans="1:17" x14ac:dyDescent="0.2">
      <c r="A171">
        <v>185</v>
      </c>
      <c r="B171" t="s">
        <v>101</v>
      </c>
      <c r="C171" t="s">
        <v>16</v>
      </c>
      <c r="D171" s="48">
        <v>42609</v>
      </c>
      <c r="E171" s="3">
        <v>10635676000</v>
      </c>
      <c r="F171" s="3">
        <v>5026940000</v>
      </c>
      <c r="G171" s="3">
        <f>Project_Data_NYSE[[#This Row],[ Total Revenue ]]-Project_Data_NYSE[[#This Row],[ Cost of Goods Sold ]]</f>
        <v>5608736000</v>
      </c>
      <c r="H171" s="3">
        <v>3548341000</v>
      </c>
      <c r="I171" s="3">
        <v>0</v>
      </c>
      <c r="J171" s="3">
        <v>0</v>
      </c>
      <c r="K171" s="3">
        <f>Project_Data_NYSE[[#This Row],[Gross Profit]]-Project_Data_NYSE[[#This Row],[ Sales, General and Admin. ]]-Project_Data_NYSE[[#This Row],[ Research and Development ]]-Project_Data_NYSE[[#This Row],[ Other Operating Items ]]</f>
        <v>2060395000</v>
      </c>
      <c r="L171" t="s">
        <v>18</v>
      </c>
      <c r="M171" t="s">
        <v>78</v>
      </c>
      <c r="N171" s="31">
        <f>Project_Data_NYSE[[#This Row],[Gross Profit]]/Project_Data_NYSE[[#This Row],[ Total Revenue ]]</f>
        <v>0.5273511528557282</v>
      </c>
      <c r="O171" s="31">
        <f>Project_Data_NYSE[[#This Row],[Operating Profit]]/Project_Data_NYSE[[#This Row],[ Total Revenue ]]</f>
        <v>0.19372487465770863</v>
      </c>
      <c r="Q171" t="s">
        <v>272</v>
      </c>
    </row>
    <row r="172" spans="1:17" x14ac:dyDescent="0.2">
      <c r="A172">
        <v>186</v>
      </c>
      <c r="B172" t="s">
        <v>102</v>
      </c>
      <c r="C172" t="s">
        <v>11</v>
      </c>
      <c r="D172" s="48">
        <v>41639</v>
      </c>
      <c r="E172" s="3">
        <v>86623000000</v>
      </c>
      <c r="F172" s="3">
        <v>73268000000</v>
      </c>
      <c r="G172" s="3">
        <f>Project_Data_NYSE[[#This Row],[ Total Revenue ]]-Project_Data_NYSE[[#This Row],[ Cost of Goods Sold ]]</f>
        <v>13355000000</v>
      </c>
      <c r="H172" s="3">
        <v>3742000000</v>
      </c>
      <c r="I172" s="3">
        <v>3071000000</v>
      </c>
      <c r="J172" s="3">
        <v>0</v>
      </c>
      <c r="K172" s="3">
        <f>Project_Data_NYSE[[#This Row],[Gross Profit]]-Project_Data_NYSE[[#This Row],[ Sales, General and Admin. ]]-Project_Data_NYSE[[#This Row],[ Research and Development ]]-Project_Data_NYSE[[#This Row],[ Other Operating Items ]]</f>
        <v>6542000000</v>
      </c>
      <c r="L172" t="s">
        <v>12</v>
      </c>
      <c r="M172" t="s">
        <v>90</v>
      </c>
      <c r="N172" s="31">
        <f>Project_Data_NYSE[[#This Row],[Gross Profit]]/Project_Data_NYSE[[#This Row],[ Total Revenue ]]</f>
        <v>0.15417383373930713</v>
      </c>
      <c r="O172" s="31">
        <f>Project_Data_NYSE[[#This Row],[Operating Profit]]/Project_Data_NYSE[[#This Row],[ Total Revenue ]]</f>
        <v>7.5522667190007275E-2</v>
      </c>
      <c r="Q172" t="s">
        <v>273</v>
      </c>
    </row>
    <row r="173" spans="1:17" x14ac:dyDescent="0.2">
      <c r="A173">
        <v>187</v>
      </c>
      <c r="B173" t="s">
        <v>102</v>
      </c>
      <c r="C173" t="s">
        <v>14</v>
      </c>
      <c r="D173" s="48">
        <v>42004</v>
      </c>
      <c r="E173" s="3">
        <v>90762000000</v>
      </c>
      <c r="F173" s="3">
        <v>76752000000</v>
      </c>
      <c r="G173" s="3">
        <f>Project_Data_NYSE[[#This Row],[ Total Revenue ]]-Project_Data_NYSE[[#This Row],[ Cost of Goods Sold ]]</f>
        <v>14010000000</v>
      </c>
      <c r="H173" s="3">
        <v>3480000000</v>
      </c>
      <c r="I173" s="3">
        <v>3047000000</v>
      </c>
      <c r="J173" s="3">
        <v>0</v>
      </c>
      <c r="K173" s="3">
        <f>Project_Data_NYSE[[#This Row],[Gross Profit]]-Project_Data_NYSE[[#This Row],[ Sales, General and Admin. ]]-Project_Data_NYSE[[#This Row],[ Research and Development ]]-Project_Data_NYSE[[#This Row],[ Other Operating Items ]]</f>
        <v>7483000000</v>
      </c>
      <c r="L173" t="s">
        <v>12</v>
      </c>
      <c r="M173" t="s">
        <v>90</v>
      </c>
      <c r="N173" s="31">
        <f>Project_Data_NYSE[[#This Row],[Gross Profit]]/Project_Data_NYSE[[#This Row],[ Total Revenue ]]</f>
        <v>0.15435975408210484</v>
      </c>
      <c r="O173" s="31">
        <f>Project_Data_NYSE[[#This Row],[Operating Profit]]/Project_Data_NYSE[[#This Row],[ Total Revenue ]]</f>
        <v>8.2446398272404756E-2</v>
      </c>
      <c r="Q173" t="s">
        <v>274</v>
      </c>
    </row>
    <row r="174" spans="1:17" x14ac:dyDescent="0.2">
      <c r="A174">
        <v>188</v>
      </c>
      <c r="B174" t="s">
        <v>102</v>
      </c>
      <c r="C174" t="s">
        <v>15</v>
      </c>
      <c r="D174" s="48">
        <v>42369</v>
      </c>
      <c r="E174" s="3">
        <v>96114000000</v>
      </c>
      <c r="F174" s="3">
        <v>82088000000</v>
      </c>
      <c r="G174" s="3">
        <f>Project_Data_NYSE[[#This Row],[ Total Revenue ]]-Project_Data_NYSE[[#This Row],[ Cost of Goods Sold ]]</f>
        <v>14026000000</v>
      </c>
      <c r="H174" s="3">
        <v>3251000000</v>
      </c>
      <c r="I174" s="3">
        <v>3331000000</v>
      </c>
      <c r="J174" s="3">
        <v>0</v>
      </c>
      <c r="K174" s="3">
        <f>Project_Data_NYSE[[#This Row],[Gross Profit]]-Project_Data_NYSE[[#This Row],[ Sales, General and Admin. ]]-Project_Data_NYSE[[#This Row],[ Research and Development ]]-Project_Data_NYSE[[#This Row],[ Other Operating Items ]]</f>
        <v>7444000000</v>
      </c>
      <c r="L174" t="s">
        <v>12</v>
      </c>
      <c r="M174" t="s">
        <v>90</v>
      </c>
      <c r="N174" s="31">
        <f>Project_Data_NYSE[[#This Row],[Gross Profit]]/Project_Data_NYSE[[#This Row],[ Total Revenue ]]</f>
        <v>0.1459308737540837</v>
      </c>
      <c r="O174" s="31">
        <f>Project_Data_NYSE[[#This Row],[Operating Profit]]/Project_Data_NYSE[[#This Row],[ Total Revenue ]]</f>
        <v>7.7449695153671685E-2</v>
      </c>
      <c r="Q174" t="s">
        <v>275</v>
      </c>
    </row>
    <row r="175" spans="1:17" x14ac:dyDescent="0.2">
      <c r="A175">
        <v>189</v>
      </c>
      <c r="B175" t="s">
        <v>102</v>
      </c>
      <c r="C175" t="s">
        <v>16</v>
      </c>
      <c r="D175" s="48">
        <v>42735</v>
      </c>
      <c r="E175" s="3">
        <v>94571000000</v>
      </c>
      <c r="F175" s="3">
        <v>80790000000</v>
      </c>
      <c r="G175" s="3">
        <f>Project_Data_NYSE[[#This Row],[ Total Revenue ]]-Project_Data_NYSE[[#This Row],[ Cost of Goods Sold ]]</f>
        <v>13781000000</v>
      </c>
      <c r="H175" s="3">
        <v>3313000000</v>
      </c>
      <c r="I175" s="3">
        <v>4627000000</v>
      </c>
      <c r="J175" s="3">
        <v>0</v>
      </c>
      <c r="K175" s="3">
        <f>Project_Data_NYSE[[#This Row],[Gross Profit]]-Project_Data_NYSE[[#This Row],[ Sales, General and Admin. ]]-Project_Data_NYSE[[#This Row],[ Research and Development ]]-Project_Data_NYSE[[#This Row],[ Other Operating Items ]]</f>
        <v>5841000000</v>
      </c>
      <c r="L175" t="s">
        <v>12</v>
      </c>
      <c r="M175" t="s">
        <v>90</v>
      </c>
      <c r="N175" s="31">
        <f>Project_Data_NYSE[[#This Row],[Gross Profit]]/Project_Data_NYSE[[#This Row],[ Total Revenue ]]</f>
        <v>0.14572120417464127</v>
      </c>
      <c r="O175" s="31">
        <f>Project_Data_NYSE[[#This Row],[Operating Profit]]/Project_Data_NYSE[[#This Row],[ Total Revenue ]]</f>
        <v>6.1763119772446098E-2</v>
      </c>
      <c r="Q175" t="s">
        <v>276</v>
      </c>
    </row>
    <row r="176" spans="1:17" x14ac:dyDescent="0.2">
      <c r="A176">
        <v>190</v>
      </c>
      <c r="B176" t="s">
        <v>103</v>
      </c>
      <c r="C176" t="s">
        <v>11</v>
      </c>
      <c r="D176" s="48">
        <v>41274</v>
      </c>
      <c r="E176" s="3">
        <v>100078000000</v>
      </c>
      <c r="F176" s="3">
        <v>3753000000</v>
      </c>
      <c r="G176" s="3">
        <f>Project_Data_NYSE[[#This Row],[ Total Revenue ]]-Project_Data_NYSE[[#This Row],[ Cost of Goods Sold ]]</f>
        <v>96325000000</v>
      </c>
      <c r="H176" s="3">
        <v>70829000000</v>
      </c>
      <c r="I176" s="3">
        <v>0</v>
      </c>
      <c r="J176" s="3">
        <v>9433000000</v>
      </c>
      <c r="K176" s="3">
        <f>Project_Data_NYSE[[#This Row],[Gross Profit]]-Project_Data_NYSE[[#This Row],[ Sales, General and Admin. ]]-Project_Data_NYSE[[#This Row],[ Research and Development ]]-Project_Data_NYSE[[#This Row],[ Other Operating Items ]]</f>
        <v>16063000000</v>
      </c>
      <c r="L176" t="s">
        <v>46</v>
      </c>
      <c r="M176" t="s">
        <v>104</v>
      </c>
      <c r="N176" s="31">
        <f>Project_Data_NYSE[[#This Row],[Gross Profit]]/Project_Data_NYSE[[#This Row],[ Total Revenue ]]</f>
        <v>0.96249925058454411</v>
      </c>
      <c r="O176" s="31">
        <f>Project_Data_NYSE[[#This Row],[Operating Profit]]/Project_Data_NYSE[[#This Row],[ Total Revenue ]]</f>
        <v>0.16050480625112412</v>
      </c>
      <c r="Q176" t="s">
        <v>278</v>
      </c>
    </row>
    <row r="177" spans="1:17" x14ac:dyDescent="0.2">
      <c r="A177">
        <v>191</v>
      </c>
      <c r="B177" t="s">
        <v>103</v>
      </c>
      <c r="C177" t="s">
        <v>14</v>
      </c>
      <c r="D177" s="48">
        <v>41639</v>
      </c>
      <c r="E177" s="3">
        <v>101697000000</v>
      </c>
      <c r="F177" s="3">
        <v>3034000000</v>
      </c>
      <c r="G177" s="3">
        <f>Project_Data_NYSE[[#This Row],[ Total Revenue ]]-Project_Data_NYSE[[#This Row],[ Cost of Goods Sold ]]</f>
        <v>98663000000</v>
      </c>
      <c r="H177" s="3">
        <v>68128000000</v>
      </c>
      <c r="I177" s="3">
        <v>0</v>
      </c>
      <c r="J177" s="3">
        <v>4642000000</v>
      </c>
      <c r="K177" s="3">
        <f>Project_Data_NYSE[[#This Row],[Gross Profit]]-Project_Data_NYSE[[#This Row],[ Sales, General and Admin. ]]-Project_Data_NYSE[[#This Row],[ Research and Development ]]-Project_Data_NYSE[[#This Row],[ Other Operating Items ]]</f>
        <v>25893000000</v>
      </c>
      <c r="L177" t="s">
        <v>46</v>
      </c>
      <c r="M177" t="s">
        <v>104</v>
      </c>
      <c r="N177" s="31">
        <f>Project_Data_NYSE[[#This Row],[Gross Profit]]/Project_Data_NYSE[[#This Row],[ Total Revenue ]]</f>
        <v>0.97016627825796242</v>
      </c>
      <c r="O177" s="31">
        <f>Project_Data_NYSE[[#This Row],[Operating Profit]]/Project_Data_NYSE[[#This Row],[ Total Revenue ]]</f>
        <v>0.25460928050974957</v>
      </c>
      <c r="Q177" t="s">
        <v>280</v>
      </c>
    </row>
    <row r="178" spans="1:17" x14ac:dyDescent="0.2">
      <c r="A178">
        <v>192</v>
      </c>
      <c r="B178" t="s">
        <v>103</v>
      </c>
      <c r="C178" t="s">
        <v>15</v>
      </c>
      <c r="D178" s="48">
        <v>42004</v>
      </c>
      <c r="E178" s="3">
        <v>95181000000</v>
      </c>
      <c r="F178" s="3">
        <v>2656000000</v>
      </c>
      <c r="G178" s="3">
        <f>Project_Data_NYSE[[#This Row],[ Total Revenue ]]-Project_Data_NYSE[[#This Row],[ Cost of Goods Sold ]]</f>
        <v>92525000000</v>
      </c>
      <c r="H178" s="3">
        <v>74181000000</v>
      </c>
      <c r="I178" s="3">
        <v>0</v>
      </c>
      <c r="J178" s="3">
        <v>3211000000</v>
      </c>
      <c r="K178" s="3">
        <f>Project_Data_NYSE[[#This Row],[Gross Profit]]-Project_Data_NYSE[[#This Row],[ Sales, General and Admin. ]]-Project_Data_NYSE[[#This Row],[ Research and Development ]]-Project_Data_NYSE[[#This Row],[ Other Operating Items ]]</f>
        <v>15133000000</v>
      </c>
      <c r="L178" t="s">
        <v>46</v>
      </c>
      <c r="M178" t="s">
        <v>104</v>
      </c>
      <c r="N178" s="31">
        <f>Project_Data_NYSE[[#This Row],[Gross Profit]]/Project_Data_NYSE[[#This Row],[ Total Revenue ]]</f>
        <v>0.97209527111503347</v>
      </c>
      <c r="O178" s="31">
        <f>Project_Data_NYSE[[#This Row],[Operating Profit]]/Project_Data_NYSE[[#This Row],[ Total Revenue ]]</f>
        <v>0.15899181559344827</v>
      </c>
      <c r="Q178" t="s">
        <v>282</v>
      </c>
    </row>
    <row r="179" spans="1:17" x14ac:dyDescent="0.2">
      <c r="A179">
        <v>193</v>
      </c>
      <c r="B179" t="s">
        <v>103</v>
      </c>
      <c r="C179" t="s">
        <v>16</v>
      </c>
      <c r="D179" s="48">
        <v>42369</v>
      </c>
      <c r="E179" s="3">
        <v>93056000000</v>
      </c>
      <c r="F179" s="3">
        <v>2204000000</v>
      </c>
      <c r="G179" s="3">
        <f>Project_Data_NYSE[[#This Row],[ Total Revenue ]]-Project_Data_NYSE[[#This Row],[ Cost of Goods Sold ]]</f>
        <v>90852000000</v>
      </c>
      <c r="H179" s="3">
        <v>56358000000</v>
      </c>
      <c r="I179" s="3">
        <v>0</v>
      </c>
      <c r="J179" s="3">
        <v>3995000000</v>
      </c>
      <c r="K179" s="3">
        <f>Project_Data_NYSE[[#This Row],[Gross Profit]]-Project_Data_NYSE[[#This Row],[ Sales, General and Admin. ]]-Project_Data_NYSE[[#This Row],[ Research and Development ]]-Project_Data_NYSE[[#This Row],[ Other Operating Items ]]</f>
        <v>30499000000</v>
      </c>
      <c r="L179" t="s">
        <v>46</v>
      </c>
      <c r="M179" t="s">
        <v>104</v>
      </c>
      <c r="N179" s="31">
        <f>Project_Data_NYSE[[#This Row],[Gross Profit]]/Project_Data_NYSE[[#This Row],[ Total Revenue ]]</f>
        <v>0.97631533700137552</v>
      </c>
      <c r="O179" s="31">
        <f>Project_Data_NYSE[[#This Row],[Operating Profit]]/Project_Data_NYSE[[#This Row],[ Total Revenue ]]</f>
        <v>0.3277488823933975</v>
      </c>
      <c r="Q179" t="s">
        <v>283</v>
      </c>
    </row>
    <row r="180" spans="1:17" x14ac:dyDescent="0.2">
      <c r="A180">
        <v>819</v>
      </c>
      <c r="B180" t="s">
        <v>312</v>
      </c>
      <c r="C180" t="s">
        <v>11</v>
      </c>
      <c r="D180" s="48">
        <v>41639</v>
      </c>
      <c r="E180" s="3">
        <v>41313000000</v>
      </c>
      <c r="F180" s="3">
        <v>32564000000</v>
      </c>
      <c r="G180" s="3">
        <f>Project_Data_NYSE[[#This Row],[ Total Revenue ]]-Project_Data_NYSE[[#This Row],[ Cost of Goods Sold ]]</f>
        <v>8749000000</v>
      </c>
      <c r="H180" s="3">
        <v>0</v>
      </c>
      <c r="I180" s="3">
        <v>0</v>
      </c>
      <c r="J180" s="3">
        <v>6688000000</v>
      </c>
      <c r="K180" s="3">
        <f>Project_Data_NYSE[[#This Row],[Gross Profit]]-Project_Data_NYSE[[#This Row],[ Sales, General and Admin. ]]-Project_Data_NYSE[[#This Row],[ Research and Development ]]-Project_Data_NYSE[[#This Row],[ Other Operating Items ]]</f>
        <v>2061000000</v>
      </c>
      <c r="L180" t="s">
        <v>24</v>
      </c>
      <c r="M180" t="s">
        <v>80</v>
      </c>
      <c r="N180" s="31">
        <f>Project_Data_NYSE[[#This Row],[Gross Profit]]/Project_Data_NYSE[[#This Row],[ Total Revenue ]]</f>
        <v>0.21177353375450828</v>
      </c>
      <c r="O180" s="31">
        <f>Project_Data_NYSE[[#This Row],[Operating Profit]]/Project_Data_NYSE[[#This Row],[ Total Revenue ]]</f>
        <v>4.9887444630019609E-2</v>
      </c>
      <c r="Q180" t="s">
        <v>284</v>
      </c>
    </row>
    <row r="181" spans="1:17" x14ac:dyDescent="0.2">
      <c r="A181">
        <v>195</v>
      </c>
      <c r="B181" t="s">
        <v>105</v>
      </c>
      <c r="C181" t="s">
        <v>14</v>
      </c>
      <c r="D181" s="48">
        <v>41639</v>
      </c>
      <c r="E181" s="3">
        <v>9413000000</v>
      </c>
      <c r="F181" s="3">
        <v>5251000000</v>
      </c>
      <c r="G181" s="3">
        <f>Project_Data_NYSE[[#This Row],[ Total Revenue ]]-Project_Data_NYSE[[#This Row],[ Cost of Goods Sold ]]</f>
        <v>4162000000</v>
      </c>
      <c r="H181" s="3">
        <v>3084000000</v>
      </c>
      <c r="I181" s="3">
        <v>582000000</v>
      </c>
      <c r="J181" s="3">
        <v>0</v>
      </c>
      <c r="K181" s="3">
        <f>Project_Data_NYSE[[#This Row],[Gross Profit]]-Project_Data_NYSE[[#This Row],[ Sales, General and Admin. ]]-Project_Data_NYSE[[#This Row],[ Research and Development ]]-Project_Data_NYSE[[#This Row],[ Other Operating Items ]]</f>
        <v>496000000</v>
      </c>
      <c r="L181" t="s">
        <v>24</v>
      </c>
      <c r="M181" t="s">
        <v>29</v>
      </c>
      <c r="N181" s="31">
        <f>Project_Data_NYSE[[#This Row],[Gross Profit]]/Project_Data_NYSE[[#This Row],[ Total Revenue ]]</f>
        <v>0.44215446722617657</v>
      </c>
      <c r="O181" s="31">
        <f>Project_Data_NYSE[[#This Row],[Operating Profit]]/Project_Data_NYSE[[#This Row],[ Total Revenue ]]</f>
        <v>5.2693084032720702E-2</v>
      </c>
      <c r="Q181" t="s">
        <v>286</v>
      </c>
    </row>
    <row r="182" spans="1:17" x14ac:dyDescent="0.2">
      <c r="A182">
        <v>196</v>
      </c>
      <c r="B182" t="s">
        <v>105</v>
      </c>
      <c r="C182" t="s">
        <v>15</v>
      </c>
      <c r="D182" s="48">
        <v>42004</v>
      </c>
      <c r="E182" s="3">
        <v>10719000000</v>
      </c>
      <c r="F182" s="3">
        <v>6138000000</v>
      </c>
      <c r="G182" s="3">
        <f>Project_Data_NYSE[[#This Row],[ Total Revenue ]]-Project_Data_NYSE[[#This Row],[ Cost of Goods Sold ]]</f>
        <v>4581000000</v>
      </c>
      <c r="H182" s="3">
        <v>3315000000</v>
      </c>
      <c r="I182" s="3">
        <v>610000000</v>
      </c>
      <c r="J182" s="3">
        <v>0</v>
      </c>
      <c r="K182" s="3">
        <f>Project_Data_NYSE[[#This Row],[Gross Profit]]-Project_Data_NYSE[[#This Row],[ Sales, General and Admin. ]]-Project_Data_NYSE[[#This Row],[ Research and Development ]]-Project_Data_NYSE[[#This Row],[ Other Operating Items ]]</f>
        <v>656000000</v>
      </c>
      <c r="L182" t="s">
        <v>24</v>
      </c>
      <c r="M182" t="s">
        <v>29</v>
      </c>
      <c r="N182" s="31">
        <f>Project_Data_NYSE[[#This Row],[Gross Profit]]/Project_Data_NYSE[[#This Row],[ Total Revenue ]]</f>
        <v>0.42737195633921077</v>
      </c>
      <c r="O182" s="31">
        <f>Project_Data_NYSE[[#This Row],[Operating Profit]]/Project_Data_NYSE[[#This Row],[ Total Revenue ]]</f>
        <v>6.1199738781602758E-2</v>
      </c>
      <c r="Q182" t="s">
        <v>287</v>
      </c>
    </row>
    <row r="183" spans="1:17" x14ac:dyDescent="0.2">
      <c r="A183">
        <v>129</v>
      </c>
      <c r="B183" t="s">
        <v>79</v>
      </c>
      <c r="C183" t="s">
        <v>14</v>
      </c>
      <c r="D183" s="48">
        <v>41639</v>
      </c>
      <c r="E183" s="3">
        <v>71023500000</v>
      </c>
      <c r="F183" s="3">
        <v>56237100000</v>
      </c>
      <c r="G183" s="3">
        <f>Project_Data_NYSE[[#This Row],[ Total Revenue ]]-Project_Data_NYSE[[#This Row],[ Cost of Goods Sold ]]</f>
        <v>14786400000</v>
      </c>
      <c r="H183" s="3">
        <v>9952900000</v>
      </c>
      <c r="I183" s="3">
        <v>0</v>
      </c>
      <c r="J183" s="3">
        <v>245300000</v>
      </c>
      <c r="K183" s="3">
        <f>Project_Data_NYSE[[#This Row],[Gross Profit]]-Project_Data_NYSE[[#This Row],[ Sales, General and Admin. ]]-Project_Data_NYSE[[#This Row],[ Research and Development ]]-Project_Data_NYSE[[#This Row],[ Other Operating Items ]]</f>
        <v>4588200000</v>
      </c>
      <c r="L183" t="s">
        <v>24</v>
      </c>
      <c r="M183" t="s">
        <v>80</v>
      </c>
      <c r="N183" s="31">
        <f>Project_Data_NYSE[[#This Row],[Gross Profit]]/Project_Data_NYSE[[#This Row],[ Total Revenue ]]</f>
        <v>0.20819024689011384</v>
      </c>
      <c r="O183" s="31">
        <f>Project_Data_NYSE[[#This Row],[Operating Profit]]/Project_Data_NYSE[[#This Row],[ Total Revenue ]]</f>
        <v>6.4601153139453846E-2</v>
      </c>
      <c r="Q183" t="s">
        <v>289</v>
      </c>
    </row>
    <row r="184" spans="1:17" x14ac:dyDescent="0.2">
      <c r="A184">
        <v>198</v>
      </c>
      <c r="B184" t="s">
        <v>106</v>
      </c>
      <c r="C184" t="s">
        <v>11</v>
      </c>
      <c r="D184" s="48">
        <v>41335</v>
      </c>
      <c r="E184" s="3">
        <v>10914585000</v>
      </c>
      <c r="F184" s="3">
        <v>6525830000</v>
      </c>
      <c r="G184" s="3">
        <f>Project_Data_NYSE[[#This Row],[ Total Revenue ]]-Project_Data_NYSE[[#This Row],[ Cost of Goods Sold ]]</f>
        <v>4388755000</v>
      </c>
      <c r="H184" s="3">
        <v>2750537000</v>
      </c>
      <c r="I184" s="3">
        <v>0</v>
      </c>
      <c r="J184" s="3">
        <v>0</v>
      </c>
      <c r="K184" s="3">
        <f>Project_Data_NYSE[[#This Row],[Gross Profit]]-Project_Data_NYSE[[#This Row],[ Sales, General and Admin. ]]-Project_Data_NYSE[[#This Row],[ Research and Development ]]-Project_Data_NYSE[[#This Row],[ Other Operating Items ]]</f>
        <v>1638218000</v>
      </c>
      <c r="L184" t="s">
        <v>18</v>
      </c>
      <c r="M184" t="s">
        <v>78</v>
      </c>
      <c r="N184" s="31">
        <f>Project_Data_NYSE[[#This Row],[Gross Profit]]/Project_Data_NYSE[[#This Row],[ Total Revenue ]]</f>
        <v>0.40210003403702477</v>
      </c>
      <c r="O184" s="31">
        <f>Project_Data_NYSE[[#This Row],[Operating Profit]]/Project_Data_NYSE[[#This Row],[ Total Revenue ]]</f>
        <v>0.15009439204513961</v>
      </c>
      <c r="Q184" t="s">
        <v>290</v>
      </c>
    </row>
    <row r="185" spans="1:17" x14ac:dyDescent="0.2">
      <c r="A185">
        <v>199</v>
      </c>
      <c r="B185" t="s">
        <v>106</v>
      </c>
      <c r="C185" t="s">
        <v>14</v>
      </c>
      <c r="D185" s="48">
        <v>41699</v>
      </c>
      <c r="E185" s="3">
        <v>11503963000</v>
      </c>
      <c r="F185" s="3">
        <v>6938381000</v>
      </c>
      <c r="G185" s="3">
        <f>Project_Data_NYSE[[#This Row],[ Total Revenue ]]-Project_Data_NYSE[[#This Row],[ Cost of Goods Sold ]]</f>
        <v>4565582000</v>
      </c>
      <c r="H185" s="3">
        <v>2950995000</v>
      </c>
      <c r="I185" s="3">
        <v>0</v>
      </c>
      <c r="J185" s="3">
        <v>0</v>
      </c>
      <c r="K185" s="3">
        <f>Project_Data_NYSE[[#This Row],[Gross Profit]]-Project_Data_NYSE[[#This Row],[ Sales, General and Admin. ]]-Project_Data_NYSE[[#This Row],[ Research and Development ]]-Project_Data_NYSE[[#This Row],[ Other Operating Items ]]</f>
        <v>1614587000</v>
      </c>
      <c r="L185" t="s">
        <v>18</v>
      </c>
      <c r="M185" t="s">
        <v>78</v>
      </c>
      <c r="N185" s="31">
        <f>Project_Data_NYSE[[#This Row],[Gross Profit]]/Project_Data_NYSE[[#This Row],[ Total Revenue ]]</f>
        <v>0.3968703654557999</v>
      </c>
      <c r="O185" s="31">
        <f>Project_Data_NYSE[[#This Row],[Operating Profit]]/Project_Data_NYSE[[#This Row],[ Total Revenue ]]</f>
        <v>0.14035050356125103</v>
      </c>
      <c r="Q185" t="s">
        <v>291</v>
      </c>
    </row>
    <row r="186" spans="1:17" x14ac:dyDescent="0.2">
      <c r="A186">
        <v>200</v>
      </c>
      <c r="B186" t="s">
        <v>106</v>
      </c>
      <c r="C186" t="s">
        <v>15</v>
      </c>
      <c r="D186" s="48">
        <v>42063</v>
      </c>
      <c r="E186" s="3">
        <v>11881176000</v>
      </c>
      <c r="F186" s="3">
        <v>7261397000</v>
      </c>
      <c r="G186" s="3">
        <f>Project_Data_NYSE[[#This Row],[ Total Revenue ]]-Project_Data_NYSE[[#This Row],[ Cost of Goods Sold ]]</f>
        <v>4619779000</v>
      </c>
      <c r="H186" s="3">
        <v>3065486000</v>
      </c>
      <c r="I186" s="3">
        <v>0</v>
      </c>
      <c r="J186" s="3">
        <v>0</v>
      </c>
      <c r="K186" s="3">
        <f>Project_Data_NYSE[[#This Row],[Gross Profit]]-Project_Data_NYSE[[#This Row],[ Sales, General and Admin. ]]-Project_Data_NYSE[[#This Row],[ Research and Development ]]-Project_Data_NYSE[[#This Row],[ Other Operating Items ]]</f>
        <v>1554293000</v>
      </c>
      <c r="L186" t="s">
        <v>18</v>
      </c>
      <c r="M186" t="s">
        <v>78</v>
      </c>
      <c r="N186" s="31">
        <f>Project_Data_NYSE[[#This Row],[Gross Profit]]/Project_Data_NYSE[[#This Row],[ Total Revenue ]]</f>
        <v>0.38883179577509835</v>
      </c>
      <c r="O186" s="31">
        <f>Project_Data_NYSE[[#This Row],[Operating Profit]]/Project_Data_NYSE[[#This Row],[ Total Revenue ]]</f>
        <v>0.13081979426952348</v>
      </c>
      <c r="Q186" t="s">
        <v>292</v>
      </c>
    </row>
    <row r="187" spans="1:17" x14ac:dyDescent="0.2">
      <c r="A187">
        <v>201</v>
      </c>
      <c r="B187" t="s">
        <v>106</v>
      </c>
      <c r="C187" t="s">
        <v>16</v>
      </c>
      <c r="D187" s="48">
        <v>42427</v>
      </c>
      <c r="E187" s="3">
        <v>12103887000</v>
      </c>
      <c r="F187" s="3">
        <v>7483577000</v>
      </c>
      <c r="G187" s="3">
        <f>Project_Data_NYSE[[#This Row],[ Total Revenue ]]-Project_Data_NYSE[[#This Row],[ Cost of Goods Sold ]]</f>
        <v>4620310000</v>
      </c>
      <c r="H187" s="3">
        <v>3205407000</v>
      </c>
      <c r="I187" s="3">
        <v>0</v>
      </c>
      <c r="J187" s="3">
        <v>0</v>
      </c>
      <c r="K187" s="3">
        <f>Project_Data_NYSE[[#This Row],[Gross Profit]]-Project_Data_NYSE[[#This Row],[ Sales, General and Admin. ]]-Project_Data_NYSE[[#This Row],[ Research and Development ]]-Project_Data_NYSE[[#This Row],[ Other Operating Items ]]</f>
        <v>1414903000</v>
      </c>
      <c r="L187" t="s">
        <v>18</v>
      </c>
      <c r="M187" t="s">
        <v>78</v>
      </c>
      <c r="N187" s="31">
        <f>Project_Data_NYSE[[#This Row],[Gross Profit]]/Project_Data_NYSE[[#This Row],[ Total Revenue ]]</f>
        <v>0.38172117766796732</v>
      </c>
      <c r="O187" s="31">
        <f>Project_Data_NYSE[[#This Row],[Operating Profit]]/Project_Data_NYSE[[#This Row],[ Total Revenue ]]</f>
        <v>0.11689658041255672</v>
      </c>
      <c r="Q187" t="s">
        <v>294</v>
      </c>
    </row>
    <row r="188" spans="1:17" x14ac:dyDescent="0.2">
      <c r="A188">
        <v>202</v>
      </c>
      <c r="B188" t="s">
        <v>107</v>
      </c>
      <c r="C188" t="s">
        <v>11</v>
      </c>
      <c r="D188" s="48">
        <v>41274</v>
      </c>
      <c r="E188" s="3">
        <v>10737000000</v>
      </c>
      <c r="F188" s="3">
        <v>429000000</v>
      </c>
      <c r="G188" s="3">
        <f>Project_Data_NYSE[[#This Row],[ Total Revenue ]]-Project_Data_NYSE[[#This Row],[ Cost of Goods Sold ]]</f>
        <v>10308000000</v>
      </c>
      <c r="H188" s="3">
        <v>5650000000</v>
      </c>
      <c r="I188" s="3">
        <v>0</v>
      </c>
      <c r="J188" s="3">
        <v>1167000000</v>
      </c>
      <c r="K188" s="3">
        <f>Project_Data_NYSE[[#This Row],[Gross Profit]]-Project_Data_NYSE[[#This Row],[ Sales, General and Admin. ]]-Project_Data_NYSE[[#This Row],[ Research and Development ]]-Project_Data_NYSE[[#This Row],[ Other Operating Items ]]</f>
        <v>3491000000</v>
      </c>
      <c r="L188" t="s">
        <v>46</v>
      </c>
      <c r="M188" t="s">
        <v>104</v>
      </c>
      <c r="N188" s="31">
        <f>Project_Data_NYSE[[#This Row],[Gross Profit]]/Project_Data_NYSE[[#This Row],[ Total Revenue ]]</f>
        <v>0.96004470522492313</v>
      </c>
      <c r="O188" s="31">
        <f>Project_Data_NYSE[[#This Row],[Operating Profit]]/Project_Data_NYSE[[#This Row],[ Total Revenue ]]</f>
        <v>0.32513737543075349</v>
      </c>
      <c r="Q188" t="s">
        <v>295</v>
      </c>
    </row>
    <row r="189" spans="1:17" x14ac:dyDescent="0.2">
      <c r="A189">
        <v>203</v>
      </c>
      <c r="B189" t="s">
        <v>107</v>
      </c>
      <c r="C189" t="s">
        <v>14</v>
      </c>
      <c r="D189" s="48">
        <v>41639</v>
      </c>
      <c r="E189" s="3">
        <v>10543000000</v>
      </c>
      <c r="F189" s="3">
        <v>301000000</v>
      </c>
      <c r="G189" s="3">
        <f>Project_Data_NYSE[[#This Row],[ Total Revenue ]]-Project_Data_NYSE[[#This Row],[ Cost of Goods Sold ]]</f>
        <v>10242000000</v>
      </c>
      <c r="H189" s="3">
        <v>5625000000</v>
      </c>
      <c r="I189" s="3">
        <v>0</v>
      </c>
      <c r="J189" s="3">
        <v>698000000</v>
      </c>
      <c r="K189" s="3">
        <f>Project_Data_NYSE[[#This Row],[Gross Profit]]-Project_Data_NYSE[[#This Row],[ Sales, General and Admin. ]]-Project_Data_NYSE[[#This Row],[ Research and Development ]]-Project_Data_NYSE[[#This Row],[ Other Operating Items ]]</f>
        <v>3919000000</v>
      </c>
      <c r="L189" t="s">
        <v>46</v>
      </c>
      <c r="M189" t="s">
        <v>104</v>
      </c>
      <c r="N189" s="31">
        <f>Project_Data_NYSE[[#This Row],[Gross Profit]]/Project_Data_NYSE[[#This Row],[ Total Revenue ]]</f>
        <v>0.97145025135160767</v>
      </c>
      <c r="O189" s="31">
        <f>Project_Data_NYSE[[#This Row],[Operating Profit]]/Project_Data_NYSE[[#This Row],[ Total Revenue ]]</f>
        <v>0.37171583040880207</v>
      </c>
      <c r="Q189" t="s">
        <v>296</v>
      </c>
    </row>
    <row r="190" spans="1:17" x14ac:dyDescent="0.2">
      <c r="A190">
        <v>204</v>
      </c>
      <c r="B190" t="s">
        <v>107</v>
      </c>
      <c r="C190" t="s">
        <v>15</v>
      </c>
      <c r="D190" s="48">
        <v>42004</v>
      </c>
      <c r="E190" s="3">
        <v>9998000000</v>
      </c>
      <c r="F190" s="3">
        <v>239000000</v>
      </c>
      <c r="G190" s="3">
        <f>Project_Data_NYSE[[#This Row],[ Total Revenue ]]-Project_Data_NYSE[[#This Row],[ Cost of Goods Sold ]]</f>
        <v>9759000000</v>
      </c>
      <c r="H190" s="3">
        <v>5715000000</v>
      </c>
      <c r="I190" s="3">
        <v>0</v>
      </c>
      <c r="J190" s="3">
        <v>342000000</v>
      </c>
      <c r="K190" s="3">
        <f>Project_Data_NYSE[[#This Row],[Gross Profit]]-Project_Data_NYSE[[#This Row],[ Sales, General and Admin. ]]-Project_Data_NYSE[[#This Row],[ Research and Development ]]-Project_Data_NYSE[[#This Row],[ Other Operating Items ]]</f>
        <v>3702000000</v>
      </c>
      <c r="L190" t="s">
        <v>46</v>
      </c>
      <c r="M190" t="s">
        <v>104</v>
      </c>
      <c r="N190" s="31">
        <f>Project_Data_NYSE[[#This Row],[Gross Profit]]/Project_Data_NYSE[[#This Row],[ Total Revenue ]]</f>
        <v>0.9760952190438088</v>
      </c>
      <c r="O190" s="31">
        <f>Project_Data_NYSE[[#This Row],[Operating Profit]]/Project_Data_NYSE[[#This Row],[ Total Revenue ]]</f>
        <v>0.37027405481096221</v>
      </c>
      <c r="Q190" t="s">
        <v>298</v>
      </c>
    </row>
    <row r="191" spans="1:17" x14ac:dyDescent="0.2">
      <c r="A191">
        <v>205</v>
      </c>
      <c r="B191" t="s">
        <v>107</v>
      </c>
      <c r="C191" t="s">
        <v>16</v>
      </c>
      <c r="D191" s="48">
        <v>42369</v>
      </c>
      <c r="E191" s="3">
        <v>10346000000</v>
      </c>
      <c r="F191" s="3">
        <v>233000000</v>
      </c>
      <c r="G191" s="3">
        <f>Project_Data_NYSE[[#This Row],[ Total Revenue ]]-Project_Data_NYSE[[#This Row],[ Cost of Goods Sold ]]</f>
        <v>10113000000</v>
      </c>
      <c r="H191" s="3">
        <v>5996000000</v>
      </c>
      <c r="I191" s="3">
        <v>0</v>
      </c>
      <c r="J191" s="3">
        <v>533000000</v>
      </c>
      <c r="K191" s="3">
        <f>Project_Data_NYSE[[#This Row],[Gross Profit]]-Project_Data_NYSE[[#This Row],[ Sales, General and Admin. ]]-Project_Data_NYSE[[#This Row],[ Research and Development ]]-Project_Data_NYSE[[#This Row],[ Other Operating Items ]]</f>
        <v>3584000000</v>
      </c>
      <c r="L191" t="s">
        <v>46</v>
      </c>
      <c r="M191" t="s">
        <v>104</v>
      </c>
      <c r="N191" s="31">
        <f>Project_Data_NYSE[[#This Row],[Gross Profit]]/Project_Data_NYSE[[#This Row],[ Total Revenue ]]</f>
        <v>0.9774792190218442</v>
      </c>
      <c r="O191" s="31">
        <f>Project_Data_NYSE[[#This Row],[Operating Profit]]/Project_Data_NYSE[[#This Row],[ Total Revenue ]]</f>
        <v>0.34641407307171856</v>
      </c>
      <c r="Q191" t="s">
        <v>299</v>
      </c>
    </row>
    <row r="192" spans="1:17" x14ac:dyDescent="0.2">
      <c r="A192">
        <v>206</v>
      </c>
      <c r="B192" t="s">
        <v>108</v>
      </c>
      <c r="C192" t="s">
        <v>11</v>
      </c>
      <c r="D192" s="48">
        <v>40971</v>
      </c>
      <c r="E192" s="3">
        <v>45457000000</v>
      </c>
      <c r="F192" s="3">
        <v>34473000000</v>
      </c>
      <c r="G192" s="3">
        <f>Project_Data_NYSE[[#This Row],[ Total Revenue ]]-Project_Data_NYSE[[#This Row],[ Cost of Goods Sold ]]</f>
        <v>10984000000</v>
      </c>
      <c r="H192" s="3">
        <v>8755000000</v>
      </c>
      <c r="I192" s="3">
        <v>0</v>
      </c>
      <c r="J192" s="3">
        <v>0</v>
      </c>
      <c r="K192" s="3">
        <f>Project_Data_NYSE[[#This Row],[Gross Profit]]-Project_Data_NYSE[[#This Row],[ Sales, General and Admin. ]]-Project_Data_NYSE[[#This Row],[ Research and Development ]]-Project_Data_NYSE[[#This Row],[ Other Operating Items ]]</f>
        <v>2229000000</v>
      </c>
      <c r="L192" t="s">
        <v>18</v>
      </c>
      <c r="M192" t="s">
        <v>109</v>
      </c>
      <c r="N192" s="31">
        <f>Project_Data_NYSE[[#This Row],[Gross Profit]]/Project_Data_NYSE[[#This Row],[ Total Revenue ]]</f>
        <v>0.24163495171260752</v>
      </c>
      <c r="O192" s="31">
        <f>Project_Data_NYSE[[#This Row],[Operating Profit]]/Project_Data_NYSE[[#This Row],[ Total Revenue ]]</f>
        <v>4.9035352090987083E-2</v>
      </c>
      <c r="Q192" t="s">
        <v>300</v>
      </c>
    </row>
    <row r="193" spans="1:17" x14ac:dyDescent="0.2">
      <c r="A193">
        <v>207</v>
      </c>
      <c r="B193" t="s">
        <v>108</v>
      </c>
      <c r="C193" t="s">
        <v>14</v>
      </c>
      <c r="D193" s="48">
        <v>41671</v>
      </c>
      <c r="E193" s="3">
        <v>40611000000</v>
      </c>
      <c r="F193" s="3">
        <v>31212000000</v>
      </c>
      <c r="G193" s="3">
        <f>Project_Data_NYSE[[#This Row],[ Total Revenue ]]-Project_Data_NYSE[[#This Row],[ Cost of Goods Sold ]]</f>
        <v>9399000000</v>
      </c>
      <c r="H193" s="3">
        <v>8106000000</v>
      </c>
      <c r="I193" s="3">
        <v>0</v>
      </c>
      <c r="J193" s="3">
        <v>0</v>
      </c>
      <c r="K193" s="3">
        <f>Project_Data_NYSE[[#This Row],[Gross Profit]]-Project_Data_NYSE[[#This Row],[ Sales, General and Admin. ]]-Project_Data_NYSE[[#This Row],[ Research and Development ]]-Project_Data_NYSE[[#This Row],[ Other Operating Items ]]</f>
        <v>1293000000</v>
      </c>
      <c r="L193" t="s">
        <v>18</v>
      </c>
      <c r="M193" t="s">
        <v>109</v>
      </c>
      <c r="N193" s="31">
        <f>Project_Data_NYSE[[#This Row],[Gross Profit]]/Project_Data_NYSE[[#This Row],[ Total Revenue ]]</f>
        <v>0.23143975770111547</v>
      </c>
      <c r="O193" s="31">
        <f>Project_Data_NYSE[[#This Row],[Operating Profit]]/Project_Data_NYSE[[#This Row],[ Total Revenue ]]</f>
        <v>3.1838664401270589E-2</v>
      </c>
      <c r="Q193" t="s">
        <v>302</v>
      </c>
    </row>
    <row r="194" spans="1:17" x14ac:dyDescent="0.2">
      <c r="A194">
        <v>208</v>
      </c>
      <c r="B194" t="s">
        <v>108</v>
      </c>
      <c r="C194" t="s">
        <v>15</v>
      </c>
      <c r="D194" s="48">
        <v>42035</v>
      </c>
      <c r="E194" s="3">
        <v>40339000000</v>
      </c>
      <c r="F194" s="3">
        <v>31292000000</v>
      </c>
      <c r="G194" s="3">
        <f>Project_Data_NYSE[[#This Row],[ Total Revenue ]]-Project_Data_NYSE[[#This Row],[ Cost of Goods Sold ]]</f>
        <v>9047000000</v>
      </c>
      <c r="H194" s="3">
        <v>7592000000</v>
      </c>
      <c r="I194" s="3">
        <v>0</v>
      </c>
      <c r="J194" s="3">
        <v>0</v>
      </c>
      <c r="K194" s="3">
        <f>Project_Data_NYSE[[#This Row],[Gross Profit]]-Project_Data_NYSE[[#This Row],[ Sales, General and Admin. ]]-Project_Data_NYSE[[#This Row],[ Research and Development ]]-Project_Data_NYSE[[#This Row],[ Other Operating Items ]]</f>
        <v>1455000000</v>
      </c>
      <c r="L194" t="s">
        <v>18</v>
      </c>
      <c r="M194" t="s">
        <v>109</v>
      </c>
      <c r="N194" s="31">
        <f>Project_Data_NYSE[[#This Row],[Gross Profit]]/Project_Data_NYSE[[#This Row],[ Total Revenue ]]</f>
        <v>0.22427427551501028</v>
      </c>
      <c r="O194" s="31">
        <f>Project_Data_NYSE[[#This Row],[Operating Profit]]/Project_Data_NYSE[[#This Row],[ Total Revenue ]]</f>
        <v>3.6069312575919082E-2</v>
      </c>
      <c r="Q194" t="s">
        <v>304</v>
      </c>
    </row>
    <row r="195" spans="1:17" x14ac:dyDescent="0.2">
      <c r="A195">
        <v>209</v>
      </c>
      <c r="B195" t="s">
        <v>108</v>
      </c>
      <c r="C195" t="s">
        <v>16</v>
      </c>
      <c r="D195" s="48">
        <v>42399</v>
      </c>
      <c r="E195" s="3">
        <v>39528000000</v>
      </c>
      <c r="F195" s="3">
        <v>30337000000</v>
      </c>
      <c r="G195" s="3">
        <f>Project_Data_NYSE[[#This Row],[ Total Revenue ]]-Project_Data_NYSE[[#This Row],[ Cost of Goods Sold ]]</f>
        <v>9191000000</v>
      </c>
      <c r="H195" s="3">
        <v>7618000000</v>
      </c>
      <c r="I195" s="3">
        <v>0</v>
      </c>
      <c r="J195" s="3">
        <v>0</v>
      </c>
      <c r="K195" s="3">
        <f>Project_Data_NYSE[[#This Row],[Gross Profit]]-Project_Data_NYSE[[#This Row],[ Sales, General and Admin. ]]-Project_Data_NYSE[[#This Row],[ Research and Development ]]-Project_Data_NYSE[[#This Row],[ Other Operating Items ]]</f>
        <v>1573000000</v>
      </c>
      <c r="L195" t="s">
        <v>18</v>
      </c>
      <c r="M195" t="s">
        <v>109</v>
      </c>
      <c r="N195" s="31">
        <f>Project_Data_NYSE[[#This Row],[Gross Profit]]/Project_Data_NYSE[[#This Row],[ Total Revenue ]]</f>
        <v>0.23251872090669906</v>
      </c>
      <c r="O195" s="31">
        <f>Project_Data_NYSE[[#This Row],[Operating Profit]]/Project_Data_NYSE[[#This Row],[ Total Revenue ]]</f>
        <v>3.979457599676179E-2</v>
      </c>
      <c r="Q195" t="s">
        <v>305</v>
      </c>
    </row>
    <row r="196" spans="1:17" x14ac:dyDescent="0.2">
      <c r="A196">
        <v>131</v>
      </c>
      <c r="B196" t="s">
        <v>79</v>
      </c>
      <c r="C196" t="s">
        <v>16</v>
      </c>
      <c r="D196" s="48">
        <v>42369</v>
      </c>
      <c r="E196" s="3">
        <v>79156500000</v>
      </c>
      <c r="F196" s="3">
        <v>61116900000</v>
      </c>
      <c r="G196" s="3">
        <f>Project_Data_NYSE[[#This Row],[ Total Revenue ]]-Project_Data_NYSE[[#This Row],[ Cost of Goods Sold ]]</f>
        <v>18039600000</v>
      </c>
      <c r="H196" s="3">
        <v>12534800000</v>
      </c>
      <c r="I196" s="3">
        <v>0</v>
      </c>
      <c r="J196" s="3">
        <v>230100000</v>
      </c>
      <c r="K196" s="3">
        <f>Project_Data_NYSE[[#This Row],[Gross Profit]]-Project_Data_NYSE[[#This Row],[ Sales, General and Admin. ]]-Project_Data_NYSE[[#This Row],[ Research and Development ]]-Project_Data_NYSE[[#This Row],[ Other Operating Items ]]</f>
        <v>5274700000</v>
      </c>
      <c r="L196" t="s">
        <v>24</v>
      </c>
      <c r="M196" t="s">
        <v>80</v>
      </c>
      <c r="N196" s="31">
        <f>Project_Data_NYSE[[#This Row],[Gross Profit]]/Project_Data_NYSE[[#This Row],[ Total Revenue ]]</f>
        <v>0.22789789846696101</v>
      </c>
      <c r="O196" s="31">
        <f>Project_Data_NYSE[[#This Row],[Operating Profit]]/Project_Data_NYSE[[#This Row],[ Total Revenue ]]</f>
        <v>6.6636346983507358E-2</v>
      </c>
      <c r="Q196" t="s">
        <v>306</v>
      </c>
    </row>
    <row r="197" spans="1:17" x14ac:dyDescent="0.2">
      <c r="A197">
        <v>315</v>
      </c>
      <c r="B197" t="s">
        <v>148</v>
      </c>
      <c r="C197" t="s">
        <v>14</v>
      </c>
      <c r="D197" s="48">
        <v>41639</v>
      </c>
      <c r="E197" s="3">
        <v>32380000000</v>
      </c>
      <c r="F197" s="3">
        <v>20865000000</v>
      </c>
      <c r="G197" s="3">
        <f>Project_Data_NYSE[[#This Row],[ Total Revenue ]]-Project_Data_NYSE[[#This Row],[ Cost of Goods Sold ]]</f>
        <v>11515000000</v>
      </c>
      <c r="H197" s="3">
        <v>0</v>
      </c>
      <c r="I197" s="3">
        <v>0</v>
      </c>
      <c r="J197" s="3">
        <v>9339000000</v>
      </c>
      <c r="K197" s="3">
        <f>Project_Data_NYSE[[#This Row],[Gross Profit]]-Project_Data_NYSE[[#This Row],[ Sales, General and Admin. ]]-Project_Data_NYSE[[#This Row],[ Research and Development ]]-Project_Data_NYSE[[#This Row],[ Other Operating Items ]]</f>
        <v>2176000000</v>
      </c>
      <c r="L197" t="s">
        <v>24</v>
      </c>
      <c r="M197" t="s">
        <v>80</v>
      </c>
      <c r="N197" s="31">
        <f>Project_Data_NYSE[[#This Row],[Gross Profit]]/Project_Data_NYSE[[#This Row],[ Total Revenue ]]</f>
        <v>0.35562075355157502</v>
      </c>
      <c r="O197" s="31">
        <f>Project_Data_NYSE[[#This Row],[Operating Profit]]/Project_Data_NYSE[[#This Row],[ Total Revenue ]]</f>
        <v>6.7201976528721438E-2</v>
      </c>
      <c r="Q197" t="s">
        <v>307</v>
      </c>
    </row>
    <row r="198" spans="1:17" x14ac:dyDescent="0.2">
      <c r="A198">
        <v>130</v>
      </c>
      <c r="B198" t="s">
        <v>79</v>
      </c>
      <c r="C198" t="s">
        <v>15</v>
      </c>
      <c r="D198" s="48">
        <v>42004</v>
      </c>
      <c r="E198" s="3">
        <v>73874100000</v>
      </c>
      <c r="F198" s="3">
        <v>56854900000</v>
      </c>
      <c r="G198" s="3">
        <f>Project_Data_NYSE[[#This Row],[ Total Revenue ]]-Project_Data_NYSE[[#This Row],[ Cost of Goods Sold ]]</f>
        <v>17019200000</v>
      </c>
      <c r="H198" s="3">
        <v>11748400000</v>
      </c>
      <c r="I198" s="3">
        <v>0</v>
      </c>
      <c r="J198" s="3">
        <v>220900000</v>
      </c>
      <c r="K198" s="3">
        <f>Project_Data_NYSE[[#This Row],[Gross Profit]]-Project_Data_NYSE[[#This Row],[ Sales, General and Admin. ]]-Project_Data_NYSE[[#This Row],[ Research and Development ]]-Project_Data_NYSE[[#This Row],[ Other Operating Items ]]</f>
        <v>5049900000</v>
      </c>
      <c r="L198" t="s">
        <v>24</v>
      </c>
      <c r="M198" t="s">
        <v>80</v>
      </c>
      <c r="N198" s="31">
        <f>Project_Data_NYSE[[#This Row],[Gross Profit]]/Project_Data_NYSE[[#This Row],[ Total Revenue ]]</f>
        <v>0.23038114846746019</v>
      </c>
      <c r="O198" s="31">
        <f>Project_Data_NYSE[[#This Row],[Operating Profit]]/Project_Data_NYSE[[#This Row],[ Total Revenue ]]</f>
        <v>6.8358193196262296E-2</v>
      </c>
      <c r="Q198" t="s">
        <v>309</v>
      </c>
    </row>
    <row r="199" spans="1:17" x14ac:dyDescent="0.2">
      <c r="A199">
        <v>809</v>
      </c>
      <c r="B199" t="s">
        <v>309</v>
      </c>
      <c r="C199" t="s">
        <v>15</v>
      </c>
      <c r="D199" s="48">
        <v>42000</v>
      </c>
      <c r="E199" s="3">
        <v>10371390000</v>
      </c>
      <c r="F199" s="3">
        <v>7460075000</v>
      </c>
      <c r="G199" s="3">
        <f>Project_Data_NYSE[[#This Row],[ Total Revenue ]]-Project_Data_NYSE[[#This Row],[ Cost of Goods Sold ]]</f>
        <v>2911315000</v>
      </c>
      <c r="H199" s="3">
        <v>2196173000</v>
      </c>
      <c r="I199" s="3">
        <v>0</v>
      </c>
      <c r="J199" s="3">
        <v>0</v>
      </c>
      <c r="K199" s="3">
        <f>Project_Data_NYSE[[#This Row],[Gross Profit]]-Project_Data_NYSE[[#This Row],[ Sales, General and Admin. ]]-Project_Data_NYSE[[#This Row],[ Research and Development ]]-Project_Data_NYSE[[#This Row],[ Other Operating Items ]]</f>
        <v>715142000</v>
      </c>
      <c r="L199" t="s">
        <v>24</v>
      </c>
      <c r="M199" t="s">
        <v>27</v>
      </c>
      <c r="N199" s="31">
        <f>Project_Data_NYSE[[#This Row],[Gross Profit]]/Project_Data_NYSE[[#This Row],[ Total Revenue ]]</f>
        <v>0.28070634697952734</v>
      </c>
      <c r="O199" s="31">
        <f>Project_Data_NYSE[[#This Row],[Operating Profit]]/Project_Data_NYSE[[#This Row],[ Total Revenue ]]</f>
        <v>6.8953341837497198E-2</v>
      </c>
      <c r="Q199" t="s">
        <v>310</v>
      </c>
    </row>
    <row r="200" spans="1:17" x14ac:dyDescent="0.2">
      <c r="A200">
        <v>1597</v>
      </c>
      <c r="B200" t="s">
        <v>527</v>
      </c>
      <c r="C200" t="s">
        <v>16</v>
      </c>
      <c r="D200" s="48">
        <v>42735</v>
      </c>
      <c r="E200" s="3">
        <v>184840000000</v>
      </c>
      <c r="F200" s="3">
        <v>117038000000</v>
      </c>
      <c r="G200" s="3">
        <f>Project_Data_NYSE[[#This Row],[ Total Revenue ]]-Project_Data_NYSE[[#This Row],[ Cost of Goods Sold ]]</f>
        <v>67802000000</v>
      </c>
      <c r="H200" s="3">
        <v>0</v>
      </c>
      <c r="I200" s="3">
        <v>0</v>
      </c>
      <c r="J200" s="3">
        <v>54872000000</v>
      </c>
      <c r="K200" s="3">
        <f>Project_Data_NYSE[[#This Row],[Gross Profit]]-Project_Data_NYSE[[#This Row],[ Sales, General and Admin. ]]-Project_Data_NYSE[[#This Row],[ Research and Development ]]-Project_Data_NYSE[[#This Row],[ Other Operating Items ]]</f>
        <v>12930000000</v>
      </c>
      <c r="L200" t="s">
        <v>24</v>
      </c>
      <c r="M200" t="s">
        <v>80</v>
      </c>
      <c r="N200" s="31">
        <f>Project_Data_NYSE[[#This Row],[Gross Profit]]/Project_Data_NYSE[[#This Row],[ Total Revenue ]]</f>
        <v>0.36681454230686</v>
      </c>
      <c r="O200" s="31">
        <f>Project_Data_NYSE[[#This Row],[Operating Profit]]/Project_Data_NYSE[[#This Row],[ Total Revenue ]]</f>
        <v>6.9952391257303612E-2</v>
      </c>
      <c r="Q200" t="s">
        <v>311</v>
      </c>
    </row>
    <row r="201" spans="1:17" x14ac:dyDescent="0.2">
      <c r="A201">
        <v>1596</v>
      </c>
      <c r="B201" t="s">
        <v>527</v>
      </c>
      <c r="C201" t="s">
        <v>15</v>
      </c>
      <c r="D201" s="48">
        <v>42369</v>
      </c>
      <c r="E201" s="3">
        <v>157107000000</v>
      </c>
      <c r="F201" s="3">
        <v>103875000000</v>
      </c>
      <c r="G201" s="3">
        <f>Project_Data_NYSE[[#This Row],[ Total Revenue ]]-Project_Data_NYSE[[#This Row],[ Cost of Goods Sold ]]</f>
        <v>53232000000</v>
      </c>
      <c r="H201" s="3">
        <v>0</v>
      </c>
      <c r="I201" s="3">
        <v>0</v>
      </c>
      <c r="J201" s="3">
        <v>42211000000</v>
      </c>
      <c r="K201" s="3">
        <f>Project_Data_NYSE[[#This Row],[Gross Profit]]-Project_Data_NYSE[[#This Row],[ Sales, General and Admin. ]]-Project_Data_NYSE[[#This Row],[ Research and Development ]]-Project_Data_NYSE[[#This Row],[ Other Operating Items ]]</f>
        <v>11021000000</v>
      </c>
      <c r="L201" t="s">
        <v>24</v>
      </c>
      <c r="M201" t="s">
        <v>80</v>
      </c>
      <c r="N201" s="31">
        <f>Project_Data_NYSE[[#This Row],[Gross Profit]]/Project_Data_NYSE[[#This Row],[ Total Revenue ]]</f>
        <v>0.33882640493421678</v>
      </c>
      <c r="O201" s="31">
        <f>Project_Data_NYSE[[#This Row],[Operating Profit]]/Project_Data_NYSE[[#This Row],[ Total Revenue ]]</f>
        <v>7.0149643236774931E-2</v>
      </c>
      <c r="Q201" t="s">
        <v>312</v>
      </c>
    </row>
    <row r="202" spans="1:17" x14ac:dyDescent="0.2">
      <c r="A202">
        <v>808</v>
      </c>
      <c r="B202" t="s">
        <v>309</v>
      </c>
      <c r="C202" t="s">
        <v>14</v>
      </c>
      <c r="D202" s="48">
        <v>41636</v>
      </c>
      <c r="E202" s="3">
        <v>9560647000</v>
      </c>
      <c r="F202" s="3">
        <v>6904633000</v>
      </c>
      <c r="G202" s="3">
        <f>Project_Data_NYSE[[#This Row],[ Total Revenue ]]-Project_Data_NYSE[[#This Row],[ Cost of Goods Sold ]]</f>
        <v>2656014000</v>
      </c>
      <c r="H202" s="3">
        <v>1978960000</v>
      </c>
      <c r="I202" s="3">
        <v>0</v>
      </c>
      <c r="J202" s="3">
        <v>0</v>
      </c>
      <c r="K202" s="3">
        <f>Project_Data_NYSE[[#This Row],[Gross Profit]]-Project_Data_NYSE[[#This Row],[ Sales, General and Admin. ]]-Project_Data_NYSE[[#This Row],[ Research and Development ]]-Project_Data_NYSE[[#This Row],[ Other Operating Items ]]</f>
        <v>677054000</v>
      </c>
      <c r="L202" t="s">
        <v>24</v>
      </c>
      <c r="M202" t="s">
        <v>27</v>
      </c>
      <c r="N202" s="31">
        <f>Project_Data_NYSE[[#This Row],[Gross Profit]]/Project_Data_NYSE[[#This Row],[ Total Revenue ]]</f>
        <v>0.27780693084892688</v>
      </c>
      <c r="O202" s="31">
        <f>Project_Data_NYSE[[#This Row],[Operating Profit]]/Project_Data_NYSE[[#This Row],[ Total Revenue ]]</f>
        <v>7.0816755393228098E-2</v>
      </c>
      <c r="Q202" t="s">
        <v>313</v>
      </c>
    </row>
    <row r="203" spans="1:17" x14ac:dyDescent="0.2">
      <c r="A203">
        <v>807</v>
      </c>
      <c r="B203" t="s">
        <v>309</v>
      </c>
      <c r="C203" t="s">
        <v>11</v>
      </c>
      <c r="D203" s="48">
        <v>41272</v>
      </c>
      <c r="E203" s="3">
        <v>8939967000</v>
      </c>
      <c r="F203" s="3">
        <v>6432454000</v>
      </c>
      <c r="G203" s="3">
        <f>Project_Data_NYSE[[#This Row],[ Total Revenue ]]-Project_Data_NYSE[[#This Row],[ Cost of Goods Sold ]]</f>
        <v>2507513000</v>
      </c>
      <c r="H203" s="3">
        <v>1873360000</v>
      </c>
      <c r="I203" s="3">
        <v>0</v>
      </c>
      <c r="J203" s="3">
        <v>0</v>
      </c>
      <c r="K203" s="3">
        <f>Project_Data_NYSE[[#This Row],[Gross Profit]]-Project_Data_NYSE[[#This Row],[ Sales, General and Admin. ]]-Project_Data_NYSE[[#This Row],[ Research and Development ]]-Project_Data_NYSE[[#This Row],[ Other Operating Items ]]</f>
        <v>634153000</v>
      </c>
      <c r="L203" t="s">
        <v>24</v>
      </c>
      <c r="M203" t="s">
        <v>27</v>
      </c>
      <c r="N203" s="31">
        <f>Project_Data_NYSE[[#This Row],[Gross Profit]]/Project_Data_NYSE[[#This Row],[ Total Revenue ]]</f>
        <v>0.2804834738204291</v>
      </c>
      <c r="O203" s="31">
        <f>Project_Data_NYSE[[#This Row],[Operating Profit]]/Project_Data_NYSE[[#This Row],[ Total Revenue ]]</f>
        <v>7.0934601883877194E-2</v>
      </c>
      <c r="Q203" t="s">
        <v>314</v>
      </c>
    </row>
    <row r="204" spans="1:17" x14ac:dyDescent="0.2">
      <c r="A204">
        <v>218</v>
      </c>
      <c r="B204" t="s">
        <v>112</v>
      </c>
      <c r="C204" t="s">
        <v>11</v>
      </c>
      <c r="D204" s="48">
        <v>41639</v>
      </c>
      <c r="E204" s="3">
        <v>22364000000</v>
      </c>
      <c r="F204" s="3">
        <v>18553000000</v>
      </c>
      <c r="G204" s="3">
        <f>Project_Data_NYSE[[#This Row],[ Total Revenue ]]-Project_Data_NYSE[[#This Row],[ Cost of Goods Sold ]]</f>
        <v>3811000000</v>
      </c>
      <c r="H204" s="3">
        <v>1306000000</v>
      </c>
      <c r="I204" s="3">
        <v>556000000</v>
      </c>
      <c r="J204" s="3">
        <v>0</v>
      </c>
      <c r="K204" s="3">
        <f>Project_Data_NYSE[[#This Row],[Gross Profit]]-Project_Data_NYSE[[#This Row],[ Sales, General and Admin. ]]-Project_Data_NYSE[[#This Row],[ Research and Development ]]-Project_Data_NYSE[[#This Row],[ Other Operating Items ]]</f>
        <v>1949000000</v>
      </c>
      <c r="L204" t="s">
        <v>82</v>
      </c>
      <c r="M204" t="s">
        <v>113</v>
      </c>
      <c r="N204" s="31">
        <f>Project_Data_NYSE[[#This Row],[Gross Profit]]/Project_Data_NYSE[[#This Row],[ Total Revenue ]]</f>
        <v>0.17040779824718297</v>
      </c>
      <c r="O204" s="31">
        <f>Project_Data_NYSE[[#This Row],[Operating Profit]]/Project_Data_NYSE[[#This Row],[ Total Revenue ]]</f>
        <v>8.7148989447326061E-2</v>
      </c>
      <c r="Q204" t="s">
        <v>315</v>
      </c>
    </row>
    <row r="205" spans="1:17" x14ac:dyDescent="0.2">
      <c r="A205">
        <v>219</v>
      </c>
      <c r="B205" t="s">
        <v>112</v>
      </c>
      <c r="C205" t="s">
        <v>14</v>
      </c>
      <c r="D205" s="48">
        <v>42004</v>
      </c>
      <c r="E205" s="3">
        <v>24551000000</v>
      </c>
      <c r="F205" s="3">
        <v>19746000000</v>
      </c>
      <c r="G205" s="3">
        <f>Project_Data_NYSE[[#This Row],[ Total Revenue ]]-Project_Data_NYSE[[#This Row],[ Cost of Goods Sold ]]</f>
        <v>4805000000</v>
      </c>
      <c r="H205" s="3">
        <v>1333000000</v>
      </c>
      <c r="I205" s="3">
        <v>613000000</v>
      </c>
      <c r="J205" s="3">
        <v>0</v>
      </c>
      <c r="K205" s="3">
        <f>Project_Data_NYSE[[#This Row],[Gross Profit]]-Project_Data_NYSE[[#This Row],[ Sales, General and Admin. ]]-Project_Data_NYSE[[#This Row],[ Research and Development ]]-Project_Data_NYSE[[#This Row],[ Other Operating Items ]]</f>
        <v>2859000000</v>
      </c>
      <c r="L205" t="s">
        <v>82</v>
      </c>
      <c r="M205" t="s">
        <v>113</v>
      </c>
      <c r="N205" s="31">
        <f>Project_Data_NYSE[[#This Row],[Gross Profit]]/Project_Data_NYSE[[#This Row],[ Total Revenue ]]</f>
        <v>0.19571504215714228</v>
      </c>
      <c r="O205" s="31">
        <f>Project_Data_NYSE[[#This Row],[Operating Profit]]/Project_Data_NYSE[[#This Row],[ Total Revenue ]]</f>
        <v>0.11645146837196041</v>
      </c>
      <c r="Q205" t="s">
        <v>316</v>
      </c>
    </row>
    <row r="206" spans="1:17" x14ac:dyDescent="0.2">
      <c r="A206">
        <v>220</v>
      </c>
      <c r="B206" t="s">
        <v>112</v>
      </c>
      <c r="C206" t="s">
        <v>15</v>
      </c>
      <c r="D206" s="48">
        <v>42369</v>
      </c>
      <c r="E206" s="3">
        <v>15742000000</v>
      </c>
      <c r="F206" s="3">
        <v>14415000000</v>
      </c>
      <c r="G206" s="3">
        <f>Project_Data_NYSE[[#This Row],[ Total Revenue ]]-Project_Data_NYSE[[#This Row],[ Cost of Goods Sold ]]</f>
        <v>1327000000</v>
      </c>
      <c r="H206" s="3">
        <v>969000000</v>
      </c>
      <c r="I206" s="3">
        <v>466000000</v>
      </c>
      <c r="J206" s="3">
        <v>0</v>
      </c>
      <c r="K206" s="3">
        <f>Project_Data_NYSE[[#This Row],[Gross Profit]]-Project_Data_NYSE[[#This Row],[ Sales, General and Admin. ]]-Project_Data_NYSE[[#This Row],[ Research and Development ]]-Project_Data_NYSE[[#This Row],[ Other Operating Items ]]</f>
        <v>-108000000</v>
      </c>
      <c r="L206" t="s">
        <v>82</v>
      </c>
      <c r="M206" t="s">
        <v>113</v>
      </c>
      <c r="N206" s="31">
        <f>Project_Data_NYSE[[#This Row],[Gross Profit]]/Project_Data_NYSE[[#This Row],[ Total Revenue ]]</f>
        <v>8.4296785668911189E-2</v>
      </c>
      <c r="O206" s="31">
        <f>Project_Data_NYSE[[#This Row],[Operating Profit]]/Project_Data_NYSE[[#This Row],[ Total Revenue ]]</f>
        <v>-6.8606276203786046E-3</v>
      </c>
      <c r="Q206" t="s">
        <v>318</v>
      </c>
    </row>
    <row r="207" spans="1:17" x14ac:dyDescent="0.2">
      <c r="A207">
        <v>221</v>
      </c>
      <c r="B207" t="s">
        <v>112</v>
      </c>
      <c r="C207" t="s">
        <v>16</v>
      </c>
      <c r="D207" s="48">
        <v>42735</v>
      </c>
      <c r="E207" s="3">
        <v>9841000000</v>
      </c>
      <c r="F207" s="3">
        <v>9973000000</v>
      </c>
      <c r="G207" s="3">
        <f>Project_Data_NYSE[[#This Row],[ Total Revenue ]]-Project_Data_NYSE[[#This Row],[ Cost of Goods Sold ]]</f>
        <v>-132000000</v>
      </c>
      <c r="H207" s="3">
        <v>815000000</v>
      </c>
      <c r="I207" s="3">
        <v>384000000</v>
      </c>
      <c r="J207" s="3">
        <v>0</v>
      </c>
      <c r="K207" s="3">
        <f>Project_Data_NYSE[[#This Row],[Gross Profit]]-Project_Data_NYSE[[#This Row],[ Sales, General and Admin. ]]-Project_Data_NYSE[[#This Row],[ Research and Development ]]-Project_Data_NYSE[[#This Row],[ Other Operating Items ]]</f>
        <v>-1331000000</v>
      </c>
      <c r="L207" t="s">
        <v>82</v>
      </c>
      <c r="M207" t="s">
        <v>113</v>
      </c>
      <c r="N207" s="31">
        <f>Project_Data_NYSE[[#This Row],[Gross Profit]]/Project_Data_NYSE[[#This Row],[ Total Revenue ]]</f>
        <v>-1.3413271009043796E-2</v>
      </c>
      <c r="O207" s="31">
        <f>Project_Data_NYSE[[#This Row],[Operating Profit]]/Project_Data_NYSE[[#This Row],[ Total Revenue ]]</f>
        <v>-0.13525048267452494</v>
      </c>
      <c r="Q207" t="s">
        <v>319</v>
      </c>
    </row>
    <row r="208" spans="1:17" x14ac:dyDescent="0.2">
      <c r="A208">
        <v>128</v>
      </c>
      <c r="B208" t="s">
        <v>79</v>
      </c>
      <c r="C208" t="s">
        <v>11</v>
      </c>
      <c r="D208" s="48">
        <v>41274</v>
      </c>
      <c r="E208" s="3">
        <v>61497200000</v>
      </c>
      <c r="F208" s="3">
        <v>48213600000</v>
      </c>
      <c r="G208" s="3">
        <f>Project_Data_NYSE[[#This Row],[ Total Revenue ]]-Project_Data_NYSE[[#This Row],[ Cost of Goods Sold ]]</f>
        <v>13283600000</v>
      </c>
      <c r="H208" s="3">
        <v>8680500000</v>
      </c>
      <c r="I208" s="3">
        <v>0</v>
      </c>
      <c r="J208" s="3">
        <v>233000000</v>
      </c>
      <c r="K208" s="3">
        <f>Project_Data_NYSE[[#This Row],[Gross Profit]]-Project_Data_NYSE[[#This Row],[ Sales, General and Admin. ]]-Project_Data_NYSE[[#This Row],[ Research and Development ]]-Project_Data_NYSE[[#This Row],[ Other Operating Items ]]</f>
        <v>4370100000</v>
      </c>
      <c r="L208" t="s">
        <v>24</v>
      </c>
      <c r="M208" t="s">
        <v>80</v>
      </c>
      <c r="N208" s="31">
        <f>Project_Data_NYSE[[#This Row],[Gross Profit]]/Project_Data_NYSE[[#This Row],[ Total Revenue ]]</f>
        <v>0.21600333023292118</v>
      </c>
      <c r="O208" s="31">
        <f>Project_Data_NYSE[[#This Row],[Operating Profit]]/Project_Data_NYSE[[#This Row],[ Total Revenue ]]</f>
        <v>7.1061771918071073E-2</v>
      </c>
      <c r="Q208" t="s">
        <v>320</v>
      </c>
    </row>
    <row r="209" spans="1:17" x14ac:dyDescent="0.2">
      <c r="A209">
        <v>20</v>
      </c>
      <c r="B209" t="s">
        <v>28</v>
      </c>
      <c r="C209" t="s">
        <v>11</v>
      </c>
      <c r="D209" s="48">
        <v>41274</v>
      </c>
      <c r="E209" s="3">
        <v>19050000000</v>
      </c>
      <c r="F209" s="3">
        <v>8899000000</v>
      </c>
      <c r="G209" s="3">
        <f>Project_Data_NYSE[[#This Row],[ Total Revenue ]]-Project_Data_NYSE[[#This Row],[ Cost of Goods Sold ]]</f>
        <v>10151000000</v>
      </c>
      <c r="H209" s="3">
        <v>6735000000</v>
      </c>
      <c r="I209" s="3">
        <v>1461000000</v>
      </c>
      <c r="J209" s="3">
        <v>595000000</v>
      </c>
      <c r="K209" s="3">
        <f>Project_Data_NYSE[[#This Row],[Gross Profit]]-Project_Data_NYSE[[#This Row],[ Sales, General and Admin. ]]-Project_Data_NYSE[[#This Row],[ Research and Development ]]-Project_Data_NYSE[[#This Row],[ Other Operating Items ]]</f>
        <v>1360000000</v>
      </c>
      <c r="L209" t="s">
        <v>24</v>
      </c>
      <c r="M209" t="s">
        <v>29</v>
      </c>
      <c r="N209" s="31">
        <f>Project_Data_NYSE[[#This Row],[Gross Profit]]/Project_Data_NYSE[[#This Row],[ Total Revenue ]]</f>
        <v>0.53286089238845147</v>
      </c>
      <c r="O209" s="31">
        <f>Project_Data_NYSE[[#This Row],[Operating Profit]]/Project_Data_NYSE[[#This Row],[ Total Revenue ]]</f>
        <v>7.1391076115485563E-2</v>
      </c>
      <c r="Q209" t="s">
        <v>321</v>
      </c>
    </row>
    <row r="210" spans="1:17" x14ac:dyDescent="0.2">
      <c r="A210">
        <v>810</v>
      </c>
      <c r="B210" t="s">
        <v>309</v>
      </c>
      <c r="C210" t="s">
        <v>16</v>
      </c>
      <c r="D210" s="48">
        <v>42364</v>
      </c>
      <c r="E210" s="3">
        <v>10629719000</v>
      </c>
      <c r="F210" s="3">
        <v>7617460000</v>
      </c>
      <c r="G210" s="3">
        <f>Project_Data_NYSE[[#This Row],[ Total Revenue ]]-Project_Data_NYSE[[#This Row],[ Cost of Goods Sold ]]</f>
        <v>3012259000</v>
      </c>
      <c r="H210" s="3">
        <v>2243356000</v>
      </c>
      <c r="I210" s="3">
        <v>0</v>
      </c>
      <c r="J210" s="3">
        <v>0</v>
      </c>
      <c r="K210" s="3">
        <f>Project_Data_NYSE[[#This Row],[Gross Profit]]-Project_Data_NYSE[[#This Row],[ Sales, General and Admin. ]]-Project_Data_NYSE[[#This Row],[ Research and Development ]]-Project_Data_NYSE[[#This Row],[ Other Operating Items ]]</f>
        <v>768903000</v>
      </c>
      <c r="L210" t="s">
        <v>24</v>
      </c>
      <c r="M210" t="s">
        <v>27</v>
      </c>
      <c r="N210" s="31">
        <f>Project_Data_NYSE[[#This Row],[Gross Profit]]/Project_Data_NYSE[[#This Row],[ Total Revenue ]]</f>
        <v>0.28338086829952891</v>
      </c>
      <c r="O210" s="31">
        <f>Project_Data_NYSE[[#This Row],[Operating Profit]]/Project_Data_NYSE[[#This Row],[ Total Revenue ]]</f>
        <v>7.2335214129366915E-2</v>
      </c>
      <c r="Q210" t="s">
        <v>323</v>
      </c>
    </row>
    <row r="211" spans="1:17" x14ac:dyDescent="0.2">
      <c r="A211">
        <v>776</v>
      </c>
      <c r="B211" t="s">
        <v>298</v>
      </c>
      <c r="C211" t="s">
        <v>11</v>
      </c>
      <c r="D211" s="48">
        <v>41545</v>
      </c>
      <c r="E211" s="3">
        <v>2492300000</v>
      </c>
      <c r="F211" s="3">
        <v>1330900000</v>
      </c>
      <c r="G211" s="3">
        <f>Project_Data_NYSE[[#This Row],[ Total Revenue ]]-Project_Data_NYSE[[#This Row],[ Cost of Goods Sold ]]</f>
        <v>1161400000</v>
      </c>
      <c r="H211" s="3">
        <v>661100000</v>
      </c>
      <c r="I211" s="3">
        <v>197600000</v>
      </c>
      <c r="J211" s="3">
        <v>112600000</v>
      </c>
      <c r="K211" s="3">
        <f>Project_Data_NYSE[[#This Row],[Gross Profit]]-Project_Data_NYSE[[#This Row],[ Sales, General and Admin. ]]-Project_Data_NYSE[[#This Row],[ Research and Development ]]-Project_Data_NYSE[[#This Row],[ Other Operating Items ]]</f>
        <v>190100000</v>
      </c>
      <c r="L211" t="s">
        <v>24</v>
      </c>
      <c r="M211" t="s">
        <v>29</v>
      </c>
      <c r="N211" s="31">
        <f>Project_Data_NYSE[[#This Row],[Gross Profit]]/Project_Data_NYSE[[#This Row],[ Total Revenue ]]</f>
        <v>0.46599526541748587</v>
      </c>
      <c r="O211" s="31">
        <f>Project_Data_NYSE[[#This Row],[Operating Profit]]/Project_Data_NYSE[[#This Row],[ Total Revenue ]]</f>
        <v>7.627492677446536E-2</v>
      </c>
      <c r="Q211" t="s">
        <v>324</v>
      </c>
    </row>
    <row r="212" spans="1:17" x14ac:dyDescent="0.2">
      <c r="A212">
        <v>230</v>
      </c>
      <c r="B212" t="s">
        <v>115</v>
      </c>
      <c r="C212" t="s">
        <v>11</v>
      </c>
      <c r="D212" s="48">
        <v>41274</v>
      </c>
      <c r="E212" s="3">
        <v>8735700000</v>
      </c>
      <c r="F212" s="3">
        <v>7174000000</v>
      </c>
      <c r="G212" s="3">
        <f>Project_Data_NYSE[[#This Row],[ Total Revenue ]]-Project_Data_NYSE[[#This Row],[ Cost of Goods Sold ]]</f>
        <v>1561700000</v>
      </c>
      <c r="H212" s="3">
        <v>488300000</v>
      </c>
      <c r="I212" s="3">
        <v>0</v>
      </c>
      <c r="J212" s="3">
        <v>282900000</v>
      </c>
      <c r="K212" s="3">
        <f>Project_Data_NYSE[[#This Row],[Gross Profit]]-Project_Data_NYSE[[#This Row],[ Sales, General and Admin. ]]-Project_Data_NYSE[[#This Row],[ Research and Development ]]-Project_Data_NYSE[[#This Row],[ Other Operating Items ]]</f>
        <v>790500000</v>
      </c>
      <c r="L212" t="s">
        <v>58</v>
      </c>
      <c r="M212" t="s">
        <v>116</v>
      </c>
      <c r="N212" s="31">
        <f>Project_Data_NYSE[[#This Row],[Gross Profit]]/Project_Data_NYSE[[#This Row],[ Total Revenue ]]</f>
        <v>0.17877216479503646</v>
      </c>
      <c r="O212" s="31">
        <f>Project_Data_NYSE[[#This Row],[Operating Profit]]/Project_Data_NYSE[[#This Row],[ Total Revenue ]]</f>
        <v>9.0490744874480583E-2</v>
      </c>
      <c r="Q212" t="s">
        <v>325</v>
      </c>
    </row>
    <row r="213" spans="1:17" x14ac:dyDescent="0.2">
      <c r="A213">
        <v>231</v>
      </c>
      <c r="B213" t="s">
        <v>115</v>
      </c>
      <c r="C213" t="s">
        <v>14</v>
      </c>
      <c r="D213" s="48">
        <v>41639</v>
      </c>
      <c r="E213" s="3">
        <v>8468100000</v>
      </c>
      <c r="F213" s="3">
        <v>6875400000</v>
      </c>
      <c r="G213" s="3">
        <f>Project_Data_NYSE[[#This Row],[ Total Revenue ]]-Project_Data_NYSE[[#This Row],[ Cost of Goods Sold ]]</f>
        <v>1592700000</v>
      </c>
      <c r="H213" s="3">
        <v>497400000</v>
      </c>
      <c r="I213" s="3">
        <v>0</v>
      </c>
      <c r="J213" s="3">
        <v>299900000</v>
      </c>
      <c r="K213" s="3">
        <f>Project_Data_NYSE[[#This Row],[Gross Profit]]-Project_Data_NYSE[[#This Row],[ Sales, General and Admin. ]]-Project_Data_NYSE[[#This Row],[ Research and Development ]]-Project_Data_NYSE[[#This Row],[ Other Operating Items ]]</f>
        <v>795400000</v>
      </c>
      <c r="L213" t="s">
        <v>58</v>
      </c>
      <c r="M213" t="s">
        <v>116</v>
      </c>
      <c r="N213" s="31">
        <f>Project_Data_NYSE[[#This Row],[Gross Profit]]/Project_Data_NYSE[[#This Row],[ Total Revenue ]]</f>
        <v>0.18808233251851064</v>
      </c>
      <c r="O213" s="31">
        <f>Project_Data_NYSE[[#This Row],[Operating Profit]]/Project_Data_NYSE[[#This Row],[ Total Revenue ]]</f>
        <v>9.3928980526918671E-2</v>
      </c>
      <c r="Q213" t="s">
        <v>326</v>
      </c>
    </row>
    <row r="214" spans="1:17" x14ac:dyDescent="0.2">
      <c r="A214">
        <v>232</v>
      </c>
      <c r="B214" t="s">
        <v>115</v>
      </c>
      <c r="C214" t="s">
        <v>15</v>
      </c>
      <c r="D214" s="48">
        <v>42004</v>
      </c>
      <c r="E214" s="3">
        <v>8570000000</v>
      </c>
      <c r="F214" s="3">
        <v>6903500000</v>
      </c>
      <c r="G214" s="3">
        <f>Project_Data_NYSE[[#This Row],[ Total Revenue ]]-Project_Data_NYSE[[#This Row],[ Cost of Goods Sold ]]</f>
        <v>1666500000</v>
      </c>
      <c r="H214" s="3">
        <v>547000000</v>
      </c>
      <c r="I214" s="3">
        <v>0</v>
      </c>
      <c r="J214" s="3">
        <v>280900000</v>
      </c>
      <c r="K214" s="3">
        <f>Project_Data_NYSE[[#This Row],[Gross Profit]]-Project_Data_NYSE[[#This Row],[ Sales, General and Admin. ]]-Project_Data_NYSE[[#This Row],[ Research and Development ]]-Project_Data_NYSE[[#This Row],[ Other Operating Items ]]</f>
        <v>838600000</v>
      </c>
      <c r="L214" t="s">
        <v>58</v>
      </c>
      <c r="M214" t="s">
        <v>116</v>
      </c>
      <c r="N214" s="31">
        <f>Project_Data_NYSE[[#This Row],[Gross Profit]]/Project_Data_NYSE[[#This Row],[ Total Revenue ]]</f>
        <v>0.19445740956826138</v>
      </c>
      <c r="O214" s="31">
        <f>Project_Data_NYSE[[#This Row],[Operating Profit]]/Project_Data_NYSE[[#This Row],[ Total Revenue ]]</f>
        <v>9.7852975495915984E-2</v>
      </c>
      <c r="Q214" t="s">
        <v>327</v>
      </c>
    </row>
    <row r="215" spans="1:17" x14ac:dyDescent="0.2">
      <c r="A215">
        <v>233</v>
      </c>
      <c r="B215" t="s">
        <v>115</v>
      </c>
      <c r="C215" t="s">
        <v>16</v>
      </c>
      <c r="D215" s="48">
        <v>42369</v>
      </c>
      <c r="E215" s="3">
        <v>7997000000</v>
      </c>
      <c r="F215" s="3">
        <v>6460300000</v>
      </c>
      <c r="G215" s="3">
        <f>Project_Data_NYSE[[#This Row],[ Total Revenue ]]-Project_Data_NYSE[[#This Row],[ Cost of Goods Sold ]]</f>
        <v>1536700000</v>
      </c>
      <c r="H215" s="3">
        <v>646000000</v>
      </c>
      <c r="I215" s="3">
        <v>0</v>
      </c>
      <c r="J215" s="3">
        <v>285500000</v>
      </c>
      <c r="K215" s="3">
        <f>Project_Data_NYSE[[#This Row],[Gross Profit]]-Project_Data_NYSE[[#This Row],[ Sales, General and Admin. ]]-Project_Data_NYSE[[#This Row],[ Research and Development ]]-Project_Data_NYSE[[#This Row],[ Other Operating Items ]]</f>
        <v>605200000</v>
      </c>
      <c r="L215" t="s">
        <v>58</v>
      </c>
      <c r="M215" t="s">
        <v>116</v>
      </c>
      <c r="N215" s="31">
        <f>Project_Data_NYSE[[#This Row],[Gross Profit]]/Project_Data_NYSE[[#This Row],[ Total Revenue ]]</f>
        <v>0.1921595598349381</v>
      </c>
      <c r="O215" s="31">
        <f>Project_Data_NYSE[[#This Row],[Operating Profit]]/Project_Data_NYSE[[#This Row],[ Total Revenue ]]</f>
        <v>7.5678379392272108E-2</v>
      </c>
      <c r="Q215" t="s">
        <v>329</v>
      </c>
    </row>
    <row r="216" spans="1:17" x14ac:dyDescent="0.2">
      <c r="A216">
        <v>1594</v>
      </c>
      <c r="B216" t="s">
        <v>527</v>
      </c>
      <c r="C216" t="s">
        <v>11</v>
      </c>
      <c r="D216" s="48">
        <v>41639</v>
      </c>
      <c r="E216" s="3">
        <v>122489000000</v>
      </c>
      <c r="F216" s="3">
        <v>89659000000</v>
      </c>
      <c r="G216" s="3">
        <f>Project_Data_NYSE[[#This Row],[ Total Revenue ]]-Project_Data_NYSE[[#This Row],[ Cost of Goods Sold ]]</f>
        <v>32830000000</v>
      </c>
      <c r="H216" s="3">
        <v>0</v>
      </c>
      <c r="I216" s="3">
        <v>0</v>
      </c>
      <c r="J216" s="3">
        <v>23207000000</v>
      </c>
      <c r="K216" s="3">
        <f>Project_Data_NYSE[[#This Row],[Gross Profit]]-Project_Data_NYSE[[#This Row],[ Sales, General and Admin. ]]-Project_Data_NYSE[[#This Row],[ Research and Development ]]-Project_Data_NYSE[[#This Row],[ Other Operating Items ]]</f>
        <v>9623000000</v>
      </c>
      <c r="L216" t="s">
        <v>24</v>
      </c>
      <c r="M216" t="s">
        <v>80</v>
      </c>
      <c r="N216" s="31">
        <f>Project_Data_NYSE[[#This Row],[Gross Profit]]/Project_Data_NYSE[[#This Row],[ Total Revenue ]]</f>
        <v>0.2680240674672828</v>
      </c>
      <c r="O216" s="31">
        <f>Project_Data_NYSE[[#This Row],[Operating Profit]]/Project_Data_NYSE[[#This Row],[ Total Revenue ]]</f>
        <v>7.8562156601817312E-2</v>
      </c>
      <c r="Q216" t="s">
        <v>330</v>
      </c>
    </row>
    <row r="217" spans="1:17" x14ac:dyDescent="0.2">
      <c r="A217">
        <v>1595</v>
      </c>
      <c r="B217" t="s">
        <v>527</v>
      </c>
      <c r="C217" t="s">
        <v>14</v>
      </c>
      <c r="D217" s="48">
        <v>42004</v>
      </c>
      <c r="E217" s="3">
        <v>130474000000</v>
      </c>
      <c r="F217" s="3">
        <v>93633000000</v>
      </c>
      <c r="G217" s="3">
        <f>Project_Data_NYSE[[#This Row],[ Total Revenue ]]-Project_Data_NYSE[[#This Row],[ Cost of Goods Sold ]]</f>
        <v>36841000000</v>
      </c>
      <c r="H217" s="3">
        <v>0</v>
      </c>
      <c r="I217" s="3">
        <v>0</v>
      </c>
      <c r="J217" s="3">
        <v>26567000000</v>
      </c>
      <c r="K217" s="3">
        <f>Project_Data_NYSE[[#This Row],[Gross Profit]]-Project_Data_NYSE[[#This Row],[ Sales, General and Admin. ]]-Project_Data_NYSE[[#This Row],[ Research and Development ]]-Project_Data_NYSE[[#This Row],[ Other Operating Items ]]</f>
        <v>10274000000</v>
      </c>
      <c r="L217" t="s">
        <v>24</v>
      </c>
      <c r="M217" t="s">
        <v>80</v>
      </c>
      <c r="N217" s="31">
        <f>Project_Data_NYSE[[#This Row],[Gross Profit]]/Project_Data_NYSE[[#This Row],[ Total Revenue ]]</f>
        <v>0.28236276959394208</v>
      </c>
      <c r="O217" s="31">
        <f>Project_Data_NYSE[[#This Row],[Operating Profit]]/Project_Data_NYSE[[#This Row],[ Total Revenue ]]</f>
        <v>7.8743657740239434E-2</v>
      </c>
      <c r="Q217" t="s">
        <v>331</v>
      </c>
    </row>
    <row r="218" spans="1:17" x14ac:dyDescent="0.2">
      <c r="A218">
        <v>314</v>
      </c>
      <c r="B218" t="s">
        <v>148</v>
      </c>
      <c r="C218" t="s">
        <v>11</v>
      </c>
      <c r="D218" s="48">
        <v>41274</v>
      </c>
      <c r="E218" s="3">
        <v>29119000000</v>
      </c>
      <c r="F218" s="3">
        <v>17900000000</v>
      </c>
      <c r="G218" s="3">
        <f>Project_Data_NYSE[[#This Row],[ Total Revenue ]]-Project_Data_NYSE[[#This Row],[ Cost of Goods Sold ]]</f>
        <v>11219000000</v>
      </c>
      <c r="H218" s="3">
        <v>0</v>
      </c>
      <c r="I218" s="3">
        <v>0</v>
      </c>
      <c r="J218" s="3">
        <v>8742000000</v>
      </c>
      <c r="K218" s="3">
        <f>Project_Data_NYSE[[#This Row],[Gross Profit]]-Project_Data_NYSE[[#This Row],[ Sales, General and Admin. ]]-Project_Data_NYSE[[#This Row],[ Research and Development ]]-Project_Data_NYSE[[#This Row],[ Other Operating Items ]]</f>
        <v>2477000000</v>
      </c>
      <c r="L218" t="s">
        <v>24</v>
      </c>
      <c r="M218" t="s">
        <v>80</v>
      </c>
      <c r="N218" s="31">
        <f>Project_Data_NYSE[[#This Row],[Gross Profit]]/Project_Data_NYSE[[#This Row],[ Total Revenue ]]</f>
        <v>0.38528108794944882</v>
      </c>
      <c r="O218" s="31">
        <f>Project_Data_NYSE[[#This Row],[Operating Profit]]/Project_Data_NYSE[[#This Row],[ Total Revenue ]]</f>
        <v>8.5064734365877956E-2</v>
      </c>
      <c r="Q218" t="s">
        <v>332</v>
      </c>
    </row>
    <row r="219" spans="1:17" x14ac:dyDescent="0.2">
      <c r="A219">
        <v>317</v>
      </c>
      <c r="B219" t="s">
        <v>148</v>
      </c>
      <c r="C219" t="s">
        <v>16</v>
      </c>
      <c r="D219" s="48">
        <v>42369</v>
      </c>
      <c r="E219" s="3">
        <v>37876000000</v>
      </c>
      <c r="F219" s="3">
        <v>23290000000</v>
      </c>
      <c r="G219" s="3">
        <f>Project_Data_NYSE[[#This Row],[ Total Revenue ]]-Project_Data_NYSE[[#This Row],[ Cost of Goods Sold ]]</f>
        <v>14586000000</v>
      </c>
      <c r="H219" s="3">
        <v>0</v>
      </c>
      <c r="I219" s="3">
        <v>0</v>
      </c>
      <c r="J219" s="3">
        <v>11259000000</v>
      </c>
      <c r="K219" s="3">
        <f>Project_Data_NYSE[[#This Row],[Gross Profit]]-Project_Data_NYSE[[#This Row],[ Sales, General and Admin. ]]-Project_Data_NYSE[[#This Row],[ Research and Development ]]-Project_Data_NYSE[[#This Row],[ Other Operating Items ]]</f>
        <v>3327000000</v>
      </c>
      <c r="L219" t="s">
        <v>24</v>
      </c>
      <c r="M219" t="s">
        <v>80</v>
      </c>
      <c r="N219" s="31">
        <f>Project_Data_NYSE[[#This Row],[Gross Profit]]/Project_Data_NYSE[[#This Row],[ Total Revenue ]]</f>
        <v>0.38509874326750448</v>
      </c>
      <c r="O219" s="31">
        <f>Project_Data_NYSE[[#This Row],[Operating Profit]]/Project_Data_NYSE[[#This Row],[ Total Revenue ]]</f>
        <v>8.7839264969901784E-2</v>
      </c>
      <c r="Q219" t="s">
        <v>334</v>
      </c>
    </row>
    <row r="220" spans="1:17" x14ac:dyDescent="0.2">
      <c r="A220">
        <v>316</v>
      </c>
      <c r="B220" t="s">
        <v>148</v>
      </c>
      <c r="C220" t="s">
        <v>15</v>
      </c>
      <c r="D220" s="48">
        <v>42004</v>
      </c>
      <c r="E220" s="3">
        <v>34914000000</v>
      </c>
      <c r="F220" s="3">
        <v>21334000000</v>
      </c>
      <c r="G220" s="3">
        <f>Project_Data_NYSE[[#This Row],[ Total Revenue ]]-Project_Data_NYSE[[#This Row],[ Cost of Goods Sold ]]</f>
        <v>13580000000</v>
      </c>
      <c r="H220" s="3">
        <v>0</v>
      </c>
      <c r="I220" s="3">
        <v>0</v>
      </c>
      <c r="J220" s="3">
        <v>10276000000</v>
      </c>
      <c r="K220" s="3">
        <f>Project_Data_NYSE[[#This Row],[Gross Profit]]-Project_Data_NYSE[[#This Row],[ Sales, General and Admin. ]]-Project_Data_NYSE[[#This Row],[ Research and Development ]]-Project_Data_NYSE[[#This Row],[ Other Operating Items ]]</f>
        <v>3304000000</v>
      </c>
      <c r="L220" t="s">
        <v>24</v>
      </c>
      <c r="M220" t="s">
        <v>80</v>
      </c>
      <c r="N220" s="31">
        <f>Project_Data_NYSE[[#This Row],[Gross Profit]]/Project_Data_NYSE[[#This Row],[ Total Revenue ]]</f>
        <v>0.38895571976857424</v>
      </c>
      <c r="O220" s="31">
        <f>Project_Data_NYSE[[#This Row],[Operating Profit]]/Project_Data_NYSE[[#This Row],[ Total Revenue ]]</f>
        <v>9.4632525634415987E-2</v>
      </c>
      <c r="Q220" t="s">
        <v>335</v>
      </c>
    </row>
    <row r="221" spans="1:17" x14ac:dyDescent="0.2">
      <c r="A221">
        <v>1280</v>
      </c>
      <c r="B221" t="s">
        <v>443</v>
      </c>
      <c r="C221" t="s">
        <v>11</v>
      </c>
      <c r="D221" s="48">
        <v>41273</v>
      </c>
      <c r="E221" s="3">
        <v>2105188000</v>
      </c>
      <c r="F221" s="3">
        <v>1143659000</v>
      </c>
      <c r="G221" s="3">
        <f>Project_Data_NYSE[[#This Row],[ Total Revenue ]]-Project_Data_NYSE[[#This Row],[ Cost of Goods Sold ]]</f>
        <v>961529000</v>
      </c>
      <c r="H221" s="3">
        <v>627370000</v>
      </c>
      <c r="I221" s="3">
        <v>131835000</v>
      </c>
      <c r="J221" s="3">
        <v>0</v>
      </c>
      <c r="K221" s="3">
        <f>Project_Data_NYSE[[#This Row],[Gross Profit]]-Project_Data_NYSE[[#This Row],[ Sales, General and Admin. ]]-Project_Data_NYSE[[#This Row],[ Research and Development ]]-Project_Data_NYSE[[#This Row],[ Other Operating Items ]]</f>
        <v>202324000</v>
      </c>
      <c r="L221" t="s">
        <v>24</v>
      </c>
      <c r="M221" t="s">
        <v>29</v>
      </c>
      <c r="N221" s="31">
        <f>Project_Data_NYSE[[#This Row],[Gross Profit]]/Project_Data_NYSE[[#This Row],[ Total Revenue ]]</f>
        <v>0.45674258071013135</v>
      </c>
      <c r="O221" s="31">
        <f>Project_Data_NYSE[[#This Row],[Operating Profit]]/Project_Data_NYSE[[#This Row],[ Total Revenue ]]</f>
        <v>9.6107331031717827E-2</v>
      </c>
      <c r="Q221" t="s">
        <v>336</v>
      </c>
    </row>
    <row r="222" spans="1:17" x14ac:dyDescent="0.2">
      <c r="A222">
        <v>511</v>
      </c>
      <c r="B222" t="s">
        <v>216</v>
      </c>
      <c r="C222" t="s">
        <v>16</v>
      </c>
      <c r="D222" s="48">
        <v>42369</v>
      </c>
      <c r="E222" s="3">
        <v>13781837000</v>
      </c>
      <c r="F222" s="3">
        <v>9824834000</v>
      </c>
      <c r="G222" s="3">
        <f>Project_Data_NYSE[[#This Row],[ Total Revenue ]]-Project_Data_NYSE[[#This Row],[ Cost of Goods Sold ]]</f>
        <v>3957003000</v>
      </c>
      <c r="H222" s="3">
        <v>1947135000</v>
      </c>
      <c r="I222" s="3">
        <v>0</v>
      </c>
      <c r="J222" s="3">
        <v>638024000</v>
      </c>
      <c r="K222" s="3">
        <f>Project_Data_NYSE[[#This Row],[Gross Profit]]-Project_Data_NYSE[[#This Row],[ Sales, General and Admin. ]]-Project_Data_NYSE[[#This Row],[ Research and Development ]]-Project_Data_NYSE[[#This Row],[ Other Operating Items ]]</f>
        <v>1371844000</v>
      </c>
      <c r="L222" t="s">
        <v>24</v>
      </c>
      <c r="M222" t="s">
        <v>198</v>
      </c>
      <c r="N222" s="31">
        <f>Project_Data_NYSE[[#This Row],[Gross Profit]]/Project_Data_NYSE[[#This Row],[ Total Revenue ]]</f>
        <v>0.28711723988609067</v>
      </c>
      <c r="O222" s="31">
        <f>Project_Data_NYSE[[#This Row],[Operating Profit]]/Project_Data_NYSE[[#This Row],[ Total Revenue ]]</f>
        <v>9.9539996010691467E-2</v>
      </c>
      <c r="Q222" t="s">
        <v>337</v>
      </c>
    </row>
    <row r="223" spans="1:17" x14ac:dyDescent="0.2">
      <c r="A223">
        <v>1282</v>
      </c>
      <c r="B223" t="s">
        <v>443</v>
      </c>
      <c r="C223" t="s">
        <v>15</v>
      </c>
      <c r="D223" s="48">
        <v>42001</v>
      </c>
      <c r="E223" s="3">
        <v>2237219000</v>
      </c>
      <c r="F223" s="3">
        <v>1232611000</v>
      </c>
      <c r="G223" s="3">
        <f>Project_Data_NYSE[[#This Row],[ Total Revenue ]]-Project_Data_NYSE[[#This Row],[ Cost of Goods Sold ]]</f>
        <v>1004608000</v>
      </c>
      <c r="H223" s="3">
        <v>659335000</v>
      </c>
      <c r="I223" s="3">
        <v>121141000</v>
      </c>
      <c r="J223" s="3">
        <v>0</v>
      </c>
      <c r="K223" s="3">
        <f>Project_Data_NYSE[[#This Row],[Gross Profit]]-Project_Data_NYSE[[#This Row],[ Sales, General and Admin. ]]-Project_Data_NYSE[[#This Row],[ Research and Development ]]-Project_Data_NYSE[[#This Row],[ Other Operating Items ]]</f>
        <v>224132000</v>
      </c>
      <c r="L223" t="s">
        <v>24</v>
      </c>
      <c r="M223" t="s">
        <v>29</v>
      </c>
      <c r="N223" s="31">
        <f>Project_Data_NYSE[[#This Row],[Gross Profit]]/Project_Data_NYSE[[#This Row],[ Total Revenue ]]</f>
        <v>0.44904320944887383</v>
      </c>
      <c r="O223" s="31">
        <f>Project_Data_NYSE[[#This Row],[Operating Profit]]/Project_Data_NYSE[[#This Row],[ Total Revenue ]]</f>
        <v>0.10018330793722027</v>
      </c>
      <c r="Q223" t="s">
        <v>338</v>
      </c>
    </row>
    <row r="224" spans="1:17" x14ac:dyDescent="0.2">
      <c r="A224">
        <v>242</v>
      </c>
      <c r="B224" t="s">
        <v>119</v>
      </c>
      <c r="C224" t="s">
        <v>11</v>
      </c>
      <c r="D224" s="48">
        <v>41639</v>
      </c>
      <c r="E224" s="3">
        <v>7436600000</v>
      </c>
      <c r="F224" s="3">
        <v>5879100000</v>
      </c>
      <c r="G224" s="3">
        <f>Project_Data_NYSE[[#This Row],[ Total Revenue ]]-Project_Data_NYSE[[#This Row],[ Cost of Goods Sold ]]</f>
        <v>1557500000</v>
      </c>
      <c r="H224" s="3">
        <v>702300000</v>
      </c>
      <c r="I224" s="3">
        <v>0</v>
      </c>
      <c r="J224" s="3">
        <v>0</v>
      </c>
      <c r="K224" s="3">
        <f>Project_Data_NYSE[[#This Row],[Gross Profit]]-Project_Data_NYSE[[#This Row],[ Sales, General and Admin. ]]-Project_Data_NYSE[[#This Row],[ Research and Development ]]-Project_Data_NYSE[[#This Row],[ Other Operating Items ]]</f>
        <v>855200000</v>
      </c>
      <c r="L224" t="s">
        <v>18</v>
      </c>
      <c r="M224" t="s">
        <v>120</v>
      </c>
      <c r="N224" s="31">
        <f>Project_Data_NYSE[[#This Row],[Gross Profit]]/Project_Data_NYSE[[#This Row],[ Total Revenue ]]</f>
        <v>0.20943710835596913</v>
      </c>
      <c r="O224" s="31">
        <f>Project_Data_NYSE[[#This Row],[Operating Profit]]/Project_Data_NYSE[[#This Row],[ Total Revenue ]]</f>
        <v>0.11499878976951833</v>
      </c>
      <c r="Q224" t="s">
        <v>339</v>
      </c>
    </row>
    <row r="225" spans="1:17" x14ac:dyDescent="0.2">
      <c r="A225">
        <v>243</v>
      </c>
      <c r="B225" t="s">
        <v>119</v>
      </c>
      <c r="C225" t="s">
        <v>14</v>
      </c>
      <c r="D225" s="48">
        <v>42004</v>
      </c>
      <c r="E225" s="3">
        <v>8305100000</v>
      </c>
      <c r="F225" s="3">
        <v>6548700000</v>
      </c>
      <c r="G225" s="3">
        <f>Project_Data_NYSE[[#This Row],[ Total Revenue ]]-Project_Data_NYSE[[#This Row],[ Cost of Goods Sold ]]</f>
        <v>1756400000</v>
      </c>
      <c r="H225" s="3">
        <v>792700000</v>
      </c>
      <c r="I225" s="3">
        <v>0</v>
      </c>
      <c r="J225" s="3">
        <v>0</v>
      </c>
      <c r="K225" s="3">
        <f>Project_Data_NYSE[[#This Row],[Gross Profit]]-Project_Data_NYSE[[#This Row],[ Sales, General and Admin. ]]-Project_Data_NYSE[[#This Row],[ Research and Development ]]-Project_Data_NYSE[[#This Row],[ Other Operating Items ]]</f>
        <v>963700000</v>
      </c>
      <c r="L225" t="s">
        <v>18</v>
      </c>
      <c r="M225" t="s">
        <v>120</v>
      </c>
      <c r="N225" s="31">
        <f>Project_Data_NYSE[[#This Row],[Gross Profit]]/Project_Data_NYSE[[#This Row],[ Total Revenue ]]</f>
        <v>0.21148450951824782</v>
      </c>
      <c r="O225" s="31">
        <f>Project_Data_NYSE[[#This Row],[Operating Profit]]/Project_Data_NYSE[[#This Row],[ Total Revenue ]]</f>
        <v>0.11603713380934606</v>
      </c>
      <c r="Q225" t="s">
        <v>341</v>
      </c>
    </row>
    <row r="226" spans="1:17" x14ac:dyDescent="0.2">
      <c r="A226">
        <v>244</v>
      </c>
      <c r="B226" t="s">
        <v>119</v>
      </c>
      <c r="C226" t="s">
        <v>15</v>
      </c>
      <c r="D226" s="48">
        <v>42369</v>
      </c>
      <c r="E226" s="3">
        <v>8023200000</v>
      </c>
      <c r="F226" s="3">
        <v>6320100000</v>
      </c>
      <c r="G226" s="3">
        <f>Project_Data_NYSE[[#This Row],[ Total Revenue ]]-Project_Data_NYSE[[#This Row],[ Cost of Goods Sold ]]</f>
        <v>1703100000</v>
      </c>
      <c r="H226" s="3">
        <v>763400000</v>
      </c>
      <c r="I226" s="3">
        <v>0</v>
      </c>
      <c r="J226" s="3">
        <v>0</v>
      </c>
      <c r="K226" s="3">
        <f>Project_Data_NYSE[[#This Row],[Gross Profit]]-Project_Data_NYSE[[#This Row],[ Sales, General and Admin. ]]-Project_Data_NYSE[[#This Row],[ Research and Development ]]-Project_Data_NYSE[[#This Row],[ Other Operating Items ]]</f>
        <v>939700000</v>
      </c>
      <c r="L226" t="s">
        <v>18</v>
      </c>
      <c r="M226" t="s">
        <v>120</v>
      </c>
      <c r="N226" s="31">
        <f>Project_Data_NYSE[[#This Row],[Gross Profit]]/Project_Data_NYSE[[#This Row],[ Total Revenue ]]</f>
        <v>0.21227191145677535</v>
      </c>
      <c r="O226" s="31">
        <f>Project_Data_NYSE[[#This Row],[Operating Profit]]/Project_Data_NYSE[[#This Row],[ Total Revenue ]]</f>
        <v>0.11712284375311596</v>
      </c>
      <c r="Q226" t="s">
        <v>342</v>
      </c>
    </row>
    <row r="227" spans="1:17" x14ac:dyDescent="0.2">
      <c r="A227">
        <v>245</v>
      </c>
      <c r="B227" t="s">
        <v>119</v>
      </c>
      <c r="C227" t="s">
        <v>16</v>
      </c>
      <c r="D227" s="48">
        <v>42735</v>
      </c>
      <c r="E227" s="3">
        <v>9071000000</v>
      </c>
      <c r="F227" s="3">
        <v>7137900000</v>
      </c>
      <c r="G227" s="3">
        <f>Project_Data_NYSE[[#This Row],[ Total Revenue ]]-Project_Data_NYSE[[#This Row],[ Cost of Goods Sold ]]</f>
        <v>1933100000</v>
      </c>
      <c r="H227" s="3">
        <v>1707200000</v>
      </c>
      <c r="I227" s="3">
        <v>0</v>
      </c>
      <c r="J227" s="3">
        <v>0</v>
      </c>
      <c r="K227" s="3">
        <f>Project_Data_NYSE[[#This Row],[Gross Profit]]-Project_Data_NYSE[[#This Row],[ Sales, General and Admin. ]]-Project_Data_NYSE[[#This Row],[ Research and Development ]]-Project_Data_NYSE[[#This Row],[ Other Operating Items ]]</f>
        <v>225900000</v>
      </c>
      <c r="L227" t="s">
        <v>18</v>
      </c>
      <c r="M227" t="s">
        <v>120</v>
      </c>
      <c r="N227" s="31">
        <f>Project_Data_NYSE[[#This Row],[Gross Profit]]/Project_Data_NYSE[[#This Row],[ Total Revenue ]]</f>
        <v>0.21310770587586816</v>
      </c>
      <c r="O227" s="31">
        <f>Project_Data_NYSE[[#This Row],[Operating Profit]]/Project_Data_NYSE[[#This Row],[ Total Revenue ]]</f>
        <v>2.4903538749862199E-2</v>
      </c>
      <c r="Q227" t="s">
        <v>343</v>
      </c>
    </row>
    <row r="228" spans="1:17" x14ac:dyDescent="0.2">
      <c r="A228">
        <v>246</v>
      </c>
      <c r="B228" t="s">
        <v>121</v>
      </c>
      <c r="C228" t="s">
        <v>11</v>
      </c>
      <c r="D228" s="48">
        <v>41274</v>
      </c>
      <c r="E228" s="3">
        <v>1847186000</v>
      </c>
      <c r="F228" s="3">
        <v>667208000</v>
      </c>
      <c r="G228" s="3">
        <f>Project_Data_NYSE[[#This Row],[ Total Revenue ]]-Project_Data_NYSE[[#This Row],[ Cost of Goods Sold ]]</f>
        <v>1179978000</v>
      </c>
      <c r="H228" s="3">
        <v>93782000</v>
      </c>
      <c r="I228" s="3">
        <v>0</v>
      </c>
      <c r="J228" s="3">
        <v>445875000</v>
      </c>
      <c r="K228" s="3">
        <f>Project_Data_NYSE[[#This Row],[Gross Profit]]-Project_Data_NYSE[[#This Row],[ Sales, General and Admin. ]]-Project_Data_NYSE[[#This Row],[ Research and Development ]]-Project_Data_NYSE[[#This Row],[ Other Operating Items ]]</f>
        <v>640321000</v>
      </c>
      <c r="L228" t="s">
        <v>51</v>
      </c>
      <c r="M228" t="s">
        <v>52</v>
      </c>
      <c r="N228" s="31">
        <f>Project_Data_NYSE[[#This Row],[Gross Profit]]/Project_Data_NYSE[[#This Row],[ Total Revenue ]]</f>
        <v>0.63879760890348891</v>
      </c>
      <c r="O228" s="31">
        <f>Project_Data_NYSE[[#This Row],[Operating Profit]]/Project_Data_NYSE[[#This Row],[ Total Revenue ]]</f>
        <v>0.34664673725331396</v>
      </c>
      <c r="Q228" t="s">
        <v>344</v>
      </c>
    </row>
    <row r="229" spans="1:17" x14ac:dyDescent="0.2">
      <c r="A229">
        <v>247</v>
      </c>
      <c r="B229" t="s">
        <v>121</v>
      </c>
      <c r="C229" t="s">
        <v>14</v>
      </c>
      <c r="D229" s="48">
        <v>41639</v>
      </c>
      <c r="E229" s="3">
        <v>2135539000</v>
      </c>
      <c r="F229" s="3">
        <v>771403000</v>
      </c>
      <c r="G229" s="3">
        <f>Project_Data_NYSE[[#This Row],[ Total Revenue ]]-Project_Data_NYSE[[#This Row],[ Cost of Goods Sold ]]</f>
        <v>1364136000</v>
      </c>
      <c r="H229" s="3">
        <v>117073000</v>
      </c>
      <c r="I229" s="3">
        <v>0</v>
      </c>
      <c r="J229" s="3">
        <v>560637000</v>
      </c>
      <c r="K229" s="3">
        <f>Project_Data_NYSE[[#This Row],[Gross Profit]]-Project_Data_NYSE[[#This Row],[ Sales, General and Admin. ]]-Project_Data_NYSE[[#This Row],[ Research and Development ]]-Project_Data_NYSE[[#This Row],[ Other Operating Items ]]</f>
        <v>686426000</v>
      </c>
      <c r="L229" t="s">
        <v>51</v>
      </c>
      <c r="M229" t="s">
        <v>52</v>
      </c>
      <c r="N229" s="31">
        <f>Project_Data_NYSE[[#This Row],[Gross Profit]]/Project_Data_NYSE[[#This Row],[ Total Revenue ]]</f>
        <v>0.63877831310971145</v>
      </c>
      <c r="O229" s="31">
        <f>Project_Data_NYSE[[#This Row],[Operating Profit]]/Project_Data_NYSE[[#This Row],[ Total Revenue ]]</f>
        <v>0.3214298591596782</v>
      </c>
      <c r="Q229" t="s">
        <v>346</v>
      </c>
    </row>
    <row r="230" spans="1:17" x14ac:dyDescent="0.2">
      <c r="A230">
        <v>248</v>
      </c>
      <c r="B230" t="s">
        <v>121</v>
      </c>
      <c r="C230" t="s">
        <v>15</v>
      </c>
      <c r="D230" s="48">
        <v>42004</v>
      </c>
      <c r="E230" s="3">
        <v>2396998000</v>
      </c>
      <c r="F230" s="3">
        <v>864526000</v>
      </c>
      <c r="G230" s="3">
        <f>Project_Data_NYSE[[#This Row],[ Total Revenue ]]-Project_Data_NYSE[[#This Row],[ Cost of Goods Sold ]]</f>
        <v>1532472000</v>
      </c>
      <c r="H230" s="3">
        <v>102077000</v>
      </c>
      <c r="I230" s="3">
        <v>0</v>
      </c>
      <c r="J230" s="3">
        <v>628573000</v>
      </c>
      <c r="K230" s="3">
        <f>Project_Data_NYSE[[#This Row],[Gross Profit]]-Project_Data_NYSE[[#This Row],[ Sales, General and Admin. ]]-Project_Data_NYSE[[#This Row],[ Research and Development ]]-Project_Data_NYSE[[#This Row],[ Other Operating Items ]]</f>
        <v>801822000</v>
      </c>
      <c r="L230" t="s">
        <v>51</v>
      </c>
      <c r="M230" t="s">
        <v>52</v>
      </c>
      <c r="N230" s="31">
        <f>Project_Data_NYSE[[#This Row],[Gross Profit]]/Project_Data_NYSE[[#This Row],[ Total Revenue ]]</f>
        <v>0.63932969489336244</v>
      </c>
      <c r="O230" s="31">
        <f>Project_Data_NYSE[[#This Row],[Operating Profit]]/Project_Data_NYSE[[#This Row],[ Total Revenue ]]</f>
        <v>0.33451091740585515</v>
      </c>
      <c r="Q230" t="s">
        <v>347</v>
      </c>
    </row>
    <row r="231" spans="1:17" x14ac:dyDescent="0.2">
      <c r="A231">
        <v>249</v>
      </c>
      <c r="B231" t="s">
        <v>121</v>
      </c>
      <c r="C231" t="s">
        <v>16</v>
      </c>
      <c r="D231" s="48">
        <v>42369</v>
      </c>
      <c r="E231" s="3">
        <v>2490821000</v>
      </c>
      <c r="F231" s="3">
        <v>904336000</v>
      </c>
      <c r="G231" s="3">
        <f>Project_Data_NYSE[[#This Row],[ Total Revenue ]]-Project_Data_NYSE[[#This Row],[ Cost of Goods Sold ]]</f>
        <v>1586485000</v>
      </c>
      <c r="H231" s="3">
        <v>97578000</v>
      </c>
      <c r="I231" s="3">
        <v>0</v>
      </c>
      <c r="J231" s="3">
        <v>639542000</v>
      </c>
      <c r="K231" s="3">
        <f>Project_Data_NYSE[[#This Row],[Gross Profit]]-Project_Data_NYSE[[#This Row],[ Sales, General and Admin. ]]-Project_Data_NYSE[[#This Row],[ Research and Development ]]-Project_Data_NYSE[[#This Row],[ Other Operating Items ]]</f>
        <v>849365000</v>
      </c>
      <c r="L231" t="s">
        <v>51</v>
      </c>
      <c r="M231" t="s">
        <v>52</v>
      </c>
      <c r="N231" s="31">
        <f>Project_Data_NYSE[[#This Row],[Gross Profit]]/Project_Data_NYSE[[#This Row],[ Total Revenue ]]</f>
        <v>0.63693256159314537</v>
      </c>
      <c r="O231" s="31">
        <f>Project_Data_NYSE[[#This Row],[Operating Profit]]/Project_Data_NYSE[[#This Row],[ Total Revenue ]]</f>
        <v>0.34099800828722737</v>
      </c>
      <c r="Q231" t="s">
        <v>348</v>
      </c>
    </row>
    <row r="232" spans="1:17" x14ac:dyDescent="0.2">
      <c r="A232">
        <v>254</v>
      </c>
      <c r="B232" t="s">
        <v>122</v>
      </c>
      <c r="C232" t="s">
        <v>11</v>
      </c>
      <c r="D232" s="48">
        <v>41420</v>
      </c>
      <c r="E232" s="3">
        <v>13469300000</v>
      </c>
      <c r="F232" s="3">
        <v>10104400000</v>
      </c>
      <c r="G232" s="3">
        <f>Project_Data_NYSE[[#This Row],[ Total Revenue ]]-Project_Data_NYSE[[#This Row],[ Cost of Goods Sold ]]</f>
        <v>3364900000</v>
      </c>
      <c r="H232" s="3">
        <v>2065900000</v>
      </c>
      <c r="I232" s="3">
        <v>0</v>
      </c>
      <c r="J232" s="3">
        <v>0</v>
      </c>
      <c r="K232" s="3">
        <f>Project_Data_NYSE[[#This Row],[Gross Profit]]-Project_Data_NYSE[[#This Row],[ Sales, General and Admin. ]]-Project_Data_NYSE[[#This Row],[ Research and Development ]]-Project_Data_NYSE[[#This Row],[ Other Operating Items ]]</f>
        <v>1299000000</v>
      </c>
      <c r="L232" t="s">
        <v>35</v>
      </c>
      <c r="M232" t="s">
        <v>123</v>
      </c>
      <c r="N232" s="31">
        <f>Project_Data_NYSE[[#This Row],[Gross Profit]]/Project_Data_NYSE[[#This Row],[ Total Revenue ]]</f>
        <v>0.24981996094823042</v>
      </c>
      <c r="O232" s="31">
        <f>Project_Data_NYSE[[#This Row],[Operating Profit]]/Project_Data_NYSE[[#This Row],[ Total Revenue ]]</f>
        <v>9.6441537422137749E-2</v>
      </c>
      <c r="Q232" t="s">
        <v>349</v>
      </c>
    </row>
    <row r="233" spans="1:17" x14ac:dyDescent="0.2">
      <c r="A233">
        <v>255</v>
      </c>
      <c r="B233" t="s">
        <v>122</v>
      </c>
      <c r="C233" t="s">
        <v>14</v>
      </c>
      <c r="D233" s="48">
        <v>41784</v>
      </c>
      <c r="E233" s="3">
        <v>11838200000</v>
      </c>
      <c r="F233" s="3">
        <v>8910800000</v>
      </c>
      <c r="G233" s="3">
        <f>Project_Data_NYSE[[#This Row],[ Total Revenue ]]-Project_Data_NYSE[[#This Row],[ Cost of Goods Sold ]]</f>
        <v>2927400000</v>
      </c>
      <c r="H233" s="3">
        <v>1778900000</v>
      </c>
      <c r="I233" s="3">
        <v>0</v>
      </c>
      <c r="J233" s="3">
        <v>0</v>
      </c>
      <c r="K233" s="3">
        <f>Project_Data_NYSE[[#This Row],[Gross Profit]]-Project_Data_NYSE[[#This Row],[ Sales, General and Admin. ]]-Project_Data_NYSE[[#This Row],[ Research and Development ]]-Project_Data_NYSE[[#This Row],[ Other Operating Items ]]</f>
        <v>1148500000</v>
      </c>
      <c r="L233" t="s">
        <v>35</v>
      </c>
      <c r="M233" t="s">
        <v>123</v>
      </c>
      <c r="N233" s="31">
        <f>Project_Data_NYSE[[#This Row],[Gross Profit]]/Project_Data_NYSE[[#This Row],[ Total Revenue ]]</f>
        <v>0.24728421550573568</v>
      </c>
      <c r="O233" s="31">
        <f>Project_Data_NYSE[[#This Row],[Operating Profit]]/Project_Data_NYSE[[#This Row],[ Total Revenue ]]</f>
        <v>9.7016438309878189E-2</v>
      </c>
      <c r="Q233" t="s">
        <v>350</v>
      </c>
    </row>
    <row r="234" spans="1:17" x14ac:dyDescent="0.2">
      <c r="A234">
        <v>256</v>
      </c>
      <c r="B234" t="s">
        <v>122</v>
      </c>
      <c r="C234" t="s">
        <v>15</v>
      </c>
      <c r="D234" s="48">
        <v>42155</v>
      </c>
      <c r="E234" s="3">
        <v>11937000000</v>
      </c>
      <c r="F234" s="3">
        <v>9061400000</v>
      </c>
      <c r="G234" s="3">
        <f>Project_Data_NYSE[[#This Row],[ Total Revenue ]]-Project_Data_NYSE[[#This Row],[ Cost of Goods Sold ]]</f>
        <v>2875600000</v>
      </c>
      <c r="H234" s="3">
        <v>1545300000</v>
      </c>
      <c r="I234" s="3">
        <v>0</v>
      </c>
      <c r="J234" s="3">
        <v>0</v>
      </c>
      <c r="K234" s="3">
        <f>Project_Data_NYSE[[#This Row],[Gross Profit]]-Project_Data_NYSE[[#This Row],[ Sales, General and Admin. ]]-Project_Data_NYSE[[#This Row],[ Research and Development ]]-Project_Data_NYSE[[#This Row],[ Other Operating Items ]]</f>
        <v>1330300000</v>
      </c>
      <c r="L234" t="s">
        <v>35</v>
      </c>
      <c r="M234" t="s">
        <v>123</v>
      </c>
      <c r="N234" s="31">
        <f>Project_Data_NYSE[[#This Row],[Gross Profit]]/Project_Data_NYSE[[#This Row],[ Total Revenue ]]</f>
        <v>0.24089804808578369</v>
      </c>
      <c r="O234" s="31">
        <f>Project_Data_NYSE[[#This Row],[Operating Profit]]/Project_Data_NYSE[[#This Row],[ Total Revenue ]]</f>
        <v>0.1114434112423557</v>
      </c>
      <c r="Q234" t="s">
        <v>351</v>
      </c>
    </row>
    <row r="235" spans="1:17" x14ac:dyDescent="0.2">
      <c r="A235">
        <v>257</v>
      </c>
      <c r="B235" t="s">
        <v>122</v>
      </c>
      <c r="C235" t="s">
        <v>16</v>
      </c>
      <c r="D235" s="48">
        <v>42519</v>
      </c>
      <c r="E235" s="3">
        <v>11642900000</v>
      </c>
      <c r="F235" s="3">
        <v>8552100000</v>
      </c>
      <c r="G235" s="3">
        <f>Project_Data_NYSE[[#This Row],[ Total Revenue ]]-Project_Data_NYSE[[#This Row],[ Cost of Goods Sold ]]</f>
        <v>3090800000</v>
      </c>
      <c r="H235" s="3">
        <v>2209400000</v>
      </c>
      <c r="I235" s="3">
        <v>0</v>
      </c>
      <c r="J235" s="3">
        <v>0</v>
      </c>
      <c r="K235" s="3">
        <f>Project_Data_NYSE[[#This Row],[Gross Profit]]-Project_Data_NYSE[[#This Row],[ Sales, General and Admin. ]]-Project_Data_NYSE[[#This Row],[ Research and Development ]]-Project_Data_NYSE[[#This Row],[ Other Operating Items ]]</f>
        <v>881400000</v>
      </c>
      <c r="L235" t="s">
        <v>35</v>
      </c>
      <c r="M235" t="s">
        <v>123</v>
      </c>
      <c r="N235" s="31">
        <f>Project_Data_NYSE[[#This Row],[Gross Profit]]/Project_Data_NYSE[[#This Row],[ Total Revenue ]]</f>
        <v>0.26546650748524853</v>
      </c>
      <c r="O235" s="31">
        <f>Project_Data_NYSE[[#This Row],[Operating Profit]]/Project_Data_NYSE[[#This Row],[ Total Revenue ]]</f>
        <v>7.570278882409022E-2</v>
      </c>
      <c r="Q235" t="s">
        <v>352</v>
      </c>
    </row>
    <row r="236" spans="1:17" x14ac:dyDescent="0.2">
      <c r="A236">
        <v>21</v>
      </c>
      <c r="B236" t="s">
        <v>28</v>
      </c>
      <c r="C236" t="s">
        <v>14</v>
      </c>
      <c r="D236" s="48">
        <v>41639</v>
      </c>
      <c r="E236" s="3">
        <v>19657000000</v>
      </c>
      <c r="F236" s="3">
        <v>9193000000</v>
      </c>
      <c r="G236" s="3">
        <f>Project_Data_NYSE[[#This Row],[ Total Revenue ]]-Project_Data_NYSE[[#This Row],[ Cost of Goods Sold ]]</f>
        <v>10464000000</v>
      </c>
      <c r="H236" s="3">
        <v>6372000000</v>
      </c>
      <c r="I236" s="3">
        <v>1371000000</v>
      </c>
      <c r="J236" s="3">
        <v>588000000</v>
      </c>
      <c r="K236" s="3">
        <f>Project_Data_NYSE[[#This Row],[Gross Profit]]-Project_Data_NYSE[[#This Row],[ Sales, General and Admin. ]]-Project_Data_NYSE[[#This Row],[ Research and Development ]]-Project_Data_NYSE[[#This Row],[ Other Operating Items ]]</f>
        <v>2133000000</v>
      </c>
      <c r="L236" t="s">
        <v>24</v>
      </c>
      <c r="M236" t="s">
        <v>29</v>
      </c>
      <c r="N236" s="31">
        <f>Project_Data_NYSE[[#This Row],[Gross Profit]]/Project_Data_NYSE[[#This Row],[ Total Revenue ]]</f>
        <v>0.53232945006867782</v>
      </c>
      <c r="O236" s="31">
        <f>Project_Data_NYSE[[#This Row],[Operating Profit]]/Project_Data_NYSE[[#This Row],[ Total Revenue ]]</f>
        <v>0.10851096301571959</v>
      </c>
      <c r="Q236" t="s">
        <v>354</v>
      </c>
    </row>
    <row r="237" spans="1:17" x14ac:dyDescent="0.2">
      <c r="A237">
        <v>1536</v>
      </c>
      <c r="B237" t="s">
        <v>512</v>
      </c>
      <c r="C237" t="s">
        <v>15</v>
      </c>
      <c r="D237" s="48">
        <v>42004</v>
      </c>
      <c r="E237" s="3">
        <v>16889600000</v>
      </c>
      <c r="F237" s="3">
        <v>9397600000</v>
      </c>
      <c r="G237" s="3">
        <f>Project_Data_NYSE[[#This Row],[ Total Revenue ]]-Project_Data_NYSE[[#This Row],[ Cost of Goods Sold ]]</f>
        <v>7492000000</v>
      </c>
      <c r="H237" s="3">
        <v>4896100000</v>
      </c>
      <c r="I237" s="3">
        <v>691100000</v>
      </c>
      <c r="J237" s="3">
        <v>0</v>
      </c>
      <c r="K237" s="3">
        <f>Project_Data_NYSE[[#This Row],[Gross Profit]]-Project_Data_NYSE[[#This Row],[ Sales, General and Admin. ]]-Project_Data_NYSE[[#This Row],[ Research and Development ]]-Project_Data_NYSE[[#This Row],[ Other Operating Items ]]</f>
        <v>1904800000</v>
      </c>
      <c r="L237" t="s">
        <v>24</v>
      </c>
      <c r="M237" t="s">
        <v>29</v>
      </c>
      <c r="N237" s="31">
        <f>Project_Data_NYSE[[#This Row],[Gross Profit]]/Project_Data_NYSE[[#This Row],[ Total Revenue ]]</f>
        <v>0.44358658582796512</v>
      </c>
      <c r="O237" s="31">
        <f>Project_Data_NYSE[[#This Row],[Operating Profit]]/Project_Data_NYSE[[#This Row],[ Total Revenue ]]</f>
        <v>0.11277946191739295</v>
      </c>
      <c r="Q237" t="s">
        <v>355</v>
      </c>
    </row>
    <row r="238" spans="1:17" x14ac:dyDescent="0.2">
      <c r="A238">
        <v>237</v>
      </c>
      <c r="B238" t="s">
        <v>117</v>
      </c>
      <c r="C238" t="s">
        <v>16</v>
      </c>
      <c r="D238" s="48">
        <v>42369</v>
      </c>
      <c r="E238" s="3">
        <v>16560000000</v>
      </c>
      <c r="F238" s="3">
        <v>3909000000</v>
      </c>
      <c r="G238" s="3">
        <f>Project_Data_NYSE[[#This Row],[ Total Revenue ]]-Project_Data_NYSE[[#This Row],[ Cost of Goods Sold ]]</f>
        <v>12651000000</v>
      </c>
      <c r="H238" s="3">
        <v>4841000000</v>
      </c>
      <c r="I238" s="3">
        <v>5920000000</v>
      </c>
      <c r="J238" s="3">
        <v>0</v>
      </c>
      <c r="K238" s="3">
        <f>Project_Data_NYSE[[#This Row],[Gross Profit]]-Project_Data_NYSE[[#This Row],[ Sales, General and Admin. ]]-Project_Data_NYSE[[#This Row],[ Research and Development ]]-Project_Data_NYSE[[#This Row],[ Other Operating Items ]]</f>
        <v>1890000000</v>
      </c>
      <c r="L238" t="s">
        <v>24</v>
      </c>
      <c r="M238" t="s">
        <v>27</v>
      </c>
      <c r="N238" s="31">
        <f>Project_Data_NYSE[[#This Row],[Gross Profit]]/Project_Data_NYSE[[#This Row],[ Total Revenue ]]</f>
        <v>0.76394927536231882</v>
      </c>
      <c r="O238" s="31">
        <f>Project_Data_NYSE[[#This Row],[Operating Profit]]/Project_Data_NYSE[[#This Row],[ Total Revenue ]]</f>
        <v>0.11413043478260869</v>
      </c>
      <c r="Q238" t="s">
        <v>356</v>
      </c>
    </row>
    <row r="239" spans="1:17" x14ac:dyDescent="0.2">
      <c r="A239">
        <v>1281</v>
      </c>
      <c r="B239" t="s">
        <v>443</v>
      </c>
      <c r="C239" t="s">
        <v>14</v>
      </c>
      <c r="D239" s="48">
        <v>41637</v>
      </c>
      <c r="E239" s="3">
        <v>2157586000</v>
      </c>
      <c r="F239" s="3">
        <v>1181444000</v>
      </c>
      <c r="G239" s="3">
        <f>Project_Data_NYSE[[#This Row],[ Total Revenue ]]-Project_Data_NYSE[[#This Row],[ Cost of Goods Sold ]]</f>
        <v>976142000</v>
      </c>
      <c r="H239" s="3">
        <v>581898000</v>
      </c>
      <c r="I239" s="3">
        <v>132400000</v>
      </c>
      <c r="J239" s="3">
        <v>0</v>
      </c>
      <c r="K239" s="3">
        <f>Project_Data_NYSE[[#This Row],[Gross Profit]]-Project_Data_NYSE[[#This Row],[ Sales, General and Admin. ]]-Project_Data_NYSE[[#This Row],[ Research and Development ]]-Project_Data_NYSE[[#This Row],[ Other Operating Items ]]</f>
        <v>261844000</v>
      </c>
      <c r="L239" t="s">
        <v>24</v>
      </c>
      <c r="M239" t="s">
        <v>29</v>
      </c>
      <c r="N239" s="31">
        <f>Project_Data_NYSE[[#This Row],[Gross Profit]]/Project_Data_NYSE[[#This Row],[ Total Revenue ]]</f>
        <v>0.45242321742910829</v>
      </c>
      <c r="O239" s="31">
        <f>Project_Data_NYSE[[#This Row],[Operating Profit]]/Project_Data_NYSE[[#This Row],[ Total Revenue ]]</f>
        <v>0.12135970478117675</v>
      </c>
      <c r="Q239" t="s">
        <v>357</v>
      </c>
    </row>
    <row r="240" spans="1:17" x14ac:dyDescent="0.2">
      <c r="A240">
        <v>262</v>
      </c>
      <c r="B240" t="s">
        <v>125</v>
      </c>
      <c r="C240" t="s">
        <v>11</v>
      </c>
      <c r="D240" s="48">
        <v>41639</v>
      </c>
      <c r="E240" s="3">
        <v>55656000000</v>
      </c>
      <c r="F240" s="3">
        <v>41454000000</v>
      </c>
      <c r="G240" s="3">
        <f>Project_Data_NYSE[[#This Row],[ Total Revenue ]]-Project_Data_NYSE[[#This Row],[ Cost of Goods Sold ]]</f>
        <v>14202000000</v>
      </c>
      <c r="H240" s="3">
        <v>6528000000</v>
      </c>
      <c r="I240" s="3">
        <v>2046000000</v>
      </c>
      <c r="J240" s="3">
        <v>0</v>
      </c>
      <c r="K240" s="3">
        <f>Project_Data_NYSE[[#This Row],[Gross Profit]]-Project_Data_NYSE[[#This Row],[ Sales, General and Admin. ]]-Project_Data_NYSE[[#This Row],[ Research and Development ]]-Project_Data_NYSE[[#This Row],[ Other Operating Items ]]</f>
        <v>5628000000</v>
      </c>
      <c r="L240" t="s">
        <v>12</v>
      </c>
      <c r="M240" t="s">
        <v>126</v>
      </c>
      <c r="N240" s="31">
        <f>Project_Data_NYSE[[#This Row],[Gross Profit]]/Project_Data_NYSE[[#This Row],[ Total Revenue ]]</f>
        <v>0.25517464424320829</v>
      </c>
      <c r="O240" s="31">
        <f>Project_Data_NYSE[[#This Row],[Operating Profit]]/Project_Data_NYSE[[#This Row],[ Total Revenue ]]</f>
        <v>0.10112117291936179</v>
      </c>
      <c r="Q240" t="s">
        <v>358</v>
      </c>
    </row>
    <row r="241" spans="1:17" x14ac:dyDescent="0.2">
      <c r="A241">
        <v>263</v>
      </c>
      <c r="B241" t="s">
        <v>125</v>
      </c>
      <c r="C241" t="s">
        <v>14</v>
      </c>
      <c r="D241" s="48">
        <v>42004</v>
      </c>
      <c r="E241" s="3">
        <v>55184000000</v>
      </c>
      <c r="F241" s="3">
        <v>41342000000</v>
      </c>
      <c r="G241" s="3">
        <f>Project_Data_NYSE[[#This Row],[ Total Revenue ]]-Project_Data_NYSE[[#This Row],[ Cost of Goods Sold ]]</f>
        <v>13842000000</v>
      </c>
      <c r="H241" s="3">
        <v>8148000000</v>
      </c>
      <c r="I241" s="3">
        <v>2380000000</v>
      </c>
      <c r="J241" s="3">
        <v>0</v>
      </c>
      <c r="K241" s="3">
        <f>Project_Data_NYSE[[#This Row],[Gross Profit]]-Project_Data_NYSE[[#This Row],[ Sales, General and Admin. ]]-Project_Data_NYSE[[#This Row],[ Research and Development ]]-Project_Data_NYSE[[#This Row],[ Other Operating Items ]]</f>
        <v>3314000000</v>
      </c>
      <c r="L241" t="s">
        <v>12</v>
      </c>
      <c r="M241" t="s">
        <v>126</v>
      </c>
      <c r="N241" s="31">
        <f>Project_Data_NYSE[[#This Row],[Gross Profit]]/Project_Data_NYSE[[#This Row],[ Total Revenue ]]</f>
        <v>0.25083357494926067</v>
      </c>
      <c r="O241" s="31">
        <f>Project_Data_NYSE[[#This Row],[Operating Profit]]/Project_Data_NYSE[[#This Row],[ Total Revenue ]]</f>
        <v>6.0053638735865465E-2</v>
      </c>
      <c r="Q241" t="s">
        <v>359</v>
      </c>
    </row>
    <row r="242" spans="1:17" x14ac:dyDescent="0.2">
      <c r="A242">
        <v>264</v>
      </c>
      <c r="B242" t="s">
        <v>125</v>
      </c>
      <c r="C242" t="s">
        <v>15</v>
      </c>
      <c r="D242" s="48">
        <v>42369</v>
      </c>
      <c r="E242" s="3">
        <v>47011000000</v>
      </c>
      <c r="F242" s="3">
        <v>34133000000</v>
      </c>
      <c r="G242" s="3">
        <f>Project_Data_NYSE[[#This Row],[ Total Revenue ]]-Project_Data_NYSE[[#This Row],[ Cost of Goods Sold ]]</f>
        <v>12878000000</v>
      </c>
      <c r="H242" s="3">
        <v>6974000000</v>
      </c>
      <c r="I242" s="3">
        <v>2119000000</v>
      </c>
      <c r="J242" s="3">
        <v>0</v>
      </c>
      <c r="K242" s="3">
        <f>Project_Data_NYSE[[#This Row],[Gross Profit]]-Project_Data_NYSE[[#This Row],[ Sales, General and Admin. ]]-Project_Data_NYSE[[#This Row],[ Research and Development ]]-Project_Data_NYSE[[#This Row],[ Other Operating Items ]]</f>
        <v>3785000000</v>
      </c>
      <c r="L242" t="s">
        <v>12</v>
      </c>
      <c r="M242" t="s">
        <v>126</v>
      </c>
      <c r="N242" s="31">
        <f>Project_Data_NYSE[[#This Row],[Gross Profit]]/Project_Data_NYSE[[#This Row],[ Total Revenue ]]</f>
        <v>0.27393588734551488</v>
      </c>
      <c r="O242" s="31">
        <f>Project_Data_NYSE[[#This Row],[Operating Profit]]/Project_Data_NYSE[[#This Row],[ Total Revenue ]]</f>
        <v>8.0513071408819206E-2</v>
      </c>
      <c r="Q242" t="s">
        <v>360</v>
      </c>
    </row>
    <row r="243" spans="1:17" x14ac:dyDescent="0.2">
      <c r="A243">
        <v>265</v>
      </c>
      <c r="B243" t="s">
        <v>125</v>
      </c>
      <c r="C243" t="s">
        <v>16</v>
      </c>
      <c r="D243" s="48">
        <v>42735</v>
      </c>
      <c r="E243" s="3">
        <v>38537000000</v>
      </c>
      <c r="F243" s="3">
        <v>28905000000</v>
      </c>
      <c r="G243" s="3">
        <f>Project_Data_NYSE[[#This Row],[ Total Revenue ]]-Project_Data_NYSE[[#This Row],[ Cost of Goods Sold ]]</f>
        <v>9632000000</v>
      </c>
      <c r="H243" s="3">
        <v>6588000000</v>
      </c>
      <c r="I243" s="3">
        <v>1951000000</v>
      </c>
      <c r="J243" s="3">
        <v>0</v>
      </c>
      <c r="K243" s="3">
        <f>Project_Data_NYSE[[#This Row],[Gross Profit]]-Project_Data_NYSE[[#This Row],[ Sales, General and Admin. ]]-Project_Data_NYSE[[#This Row],[ Research and Development ]]-Project_Data_NYSE[[#This Row],[ Other Operating Items ]]</f>
        <v>1093000000</v>
      </c>
      <c r="L243" t="s">
        <v>12</v>
      </c>
      <c r="M243" t="s">
        <v>126</v>
      </c>
      <c r="N243" s="31">
        <f>Project_Data_NYSE[[#This Row],[Gross Profit]]/Project_Data_NYSE[[#This Row],[ Total Revenue ]]</f>
        <v>0.24994161455224848</v>
      </c>
      <c r="O243" s="31">
        <f>Project_Data_NYSE[[#This Row],[Operating Profit]]/Project_Data_NYSE[[#This Row],[ Total Revenue ]]</f>
        <v>2.8362353063289825E-2</v>
      </c>
      <c r="Q243" t="s">
        <v>361</v>
      </c>
    </row>
    <row r="244" spans="1:17" x14ac:dyDescent="0.2">
      <c r="A244">
        <v>266</v>
      </c>
      <c r="B244" t="s">
        <v>127</v>
      </c>
      <c r="C244" t="s">
        <v>11</v>
      </c>
      <c r="D244" s="48">
        <v>41274</v>
      </c>
      <c r="E244" s="3">
        <v>17936000000</v>
      </c>
      <c r="F244" s="3">
        <v>12620000000</v>
      </c>
      <c r="G244" s="3">
        <f>Project_Data_NYSE[[#This Row],[ Total Revenue ]]-Project_Data_NYSE[[#This Row],[ Cost of Goods Sold ]]</f>
        <v>5316000000</v>
      </c>
      <c r="H244" s="3">
        <v>2096000000</v>
      </c>
      <c r="I244" s="3">
        <v>0</v>
      </c>
      <c r="J244" s="3">
        <v>-6000000</v>
      </c>
      <c r="K244" s="3">
        <f>Project_Data_NYSE[[#This Row],[Gross Profit]]-Project_Data_NYSE[[#This Row],[ Sales, General and Admin. ]]-Project_Data_NYSE[[#This Row],[ Research and Development ]]-Project_Data_NYSE[[#This Row],[ Other Operating Items ]]</f>
        <v>3226000000</v>
      </c>
      <c r="L244" t="s">
        <v>46</v>
      </c>
      <c r="M244" t="s">
        <v>49</v>
      </c>
      <c r="N244" s="31">
        <f>Project_Data_NYSE[[#This Row],[Gross Profit]]/Project_Data_NYSE[[#This Row],[ Total Revenue ]]</f>
        <v>0.29638715432649421</v>
      </c>
      <c r="O244" s="31">
        <f>Project_Data_NYSE[[#This Row],[Operating Profit]]/Project_Data_NYSE[[#This Row],[ Total Revenue ]]</f>
        <v>0.17986173059768065</v>
      </c>
      <c r="Q244" t="s">
        <v>363</v>
      </c>
    </row>
    <row r="245" spans="1:17" x14ac:dyDescent="0.2">
      <c r="A245">
        <v>267</v>
      </c>
      <c r="B245" t="s">
        <v>127</v>
      </c>
      <c r="C245" t="s">
        <v>14</v>
      </c>
      <c r="D245" s="48">
        <v>41639</v>
      </c>
      <c r="E245" s="3">
        <v>19261000000</v>
      </c>
      <c r="F245" s="3">
        <v>12522000000</v>
      </c>
      <c r="G245" s="3">
        <f>Project_Data_NYSE[[#This Row],[ Total Revenue ]]-Project_Data_NYSE[[#This Row],[ Cost of Goods Sold ]]</f>
        <v>6739000000</v>
      </c>
      <c r="H245" s="3">
        <v>2211000000</v>
      </c>
      <c r="I245" s="3">
        <v>0</v>
      </c>
      <c r="J245" s="3">
        <v>15000000</v>
      </c>
      <c r="K245" s="3">
        <f>Project_Data_NYSE[[#This Row],[Gross Profit]]-Project_Data_NYSE[[#This Row],[ Sales, General and Admin. ]]-Project_Data_NYSE[[#This Row],[ Research and Development ]]-Project_Data_NYSE[[#This Row],[ Other Operating Items ]]</f>
        <v>4513000000</v>
      </c>
      <c r="L245" t="s">
        <v>46</v>
      </c>
      <c r="M245" t="s">
        <v>49</v>
      </c>
      <c r="N245" s="31">
        <f>Project_Data_NYSE[[#This Row],[Gross Profit]]/Project_Data_NYSE[[#This Row],[ Total Revenue ]]</f>
        <v>0.34987799179689527</v>
      </c>
      <c r="O245" s="31">
        <f>Project_Data_NYSE[[#This Row],[Operating Profit]]/Project_Data_NYSE[[#This Row],[ Total Revenue ]]</f>
        <v>0.2343076683453611</v>
      </c>
      <c r="Q245" t="s">
        <v>364</v>
      </c>
    </row>
    <row r="246" spans="1:17" x14ac:dyDescent="0.2">
      <c r="A246">
        <v>268</v>
      </c>
      <c r="B246" t="s">
        <v>127</v>
      </c>
      <c r="C246" t="s">
        <v>15</v>
      </c>
      <c r="D246" s="48">
        <v>42004</v>
      </c>
      <c r="E246" s="3">
        <v>19171000000</v>
      </c>
      <c r="F246" s="3">
        <v>13241000000</v>
      </c>
      <c r="G246" s="3">
        <f>Project_Data_NYSE[[#This Row],[ Total Revenue ]]-Project_Data_NYSE[[#This Row],[ Cost of Goods Sold ]]</f>
        <v>5930000000</v>
      </c>
      <c r="H246" s="3">
        <v>2245000000</v>
      </c>
      <c r="I246" s="3">
        <v>0</v>
      </c>
      <c r="J246" s="3">
        <v>-82000000</v>
      </c>
      <c r="K246" s="3">
        <f>Project_Data_NYSE[[#This Row],[Gross Profit]]-Project_Data_NYSE[[#This Row],[ Sales, General and Admin. ]]-Project_Data_NYSE[[#This Row],[ Research and Development ]]-Project_Data_NYSE[[#This Row],[ Other Operating Items ]]</f>
        <v>3767000000</v>
      </c>
      <c r="L246" t="s">
        <v>46</v>
      </c>
      <c r="M246" t="s">
        <v>49</v>
      </c>
      <c r="N246" s="31">
        <f>Project_Data_NYSE[[#This Row],[Gross Profit]]/Project_Data_NYSE[[#This Row],[ Total Revenue ]]</f>
        <v>0.30932137082051014</v>
      </c>
      <c r="O246" s="31">
        <f>Project_Data_NYSE[[#This Row],[Operating Profit]]/Project_Data_NYSE[[#This Row],[ Total Revenue ]]</f>
        <v>0.19649470554483334</v>
      </c>
      <c r="Q246" t="s">
        <v>366</v>
      </c>
    </row>
    <row r="247" spans="1:17" x14ac:dyDescent="0.2">
      <c r="A247">
        <v>269</v>
      </c>
      <c r="B247" t="s">
        <v>127</v>
      </c>
      <c r="C247" t="s">
        <v>16</v>
      </c>
      <c r="D247" s="48">
        <v>42369</v>
      </c>
      <c r="E247" s="3">
        <v>18987000000</v>
      </c>
      <c r="F247" s="3">
        <v>12968000000</v>
      </c>
      <c r="G247" s="3">
        <f>Project_Data_NYSE[[#This Row],[ Total Revenue ]]-Project_Data_NYSE[[#This Row],[ Cost of Goods Sold ]]</f>
        <v>6019000000</v>
      </c>
      <c r="H247" s="3">
        <v>2270000000</v>
      </c>
      <c r="I247" s="3">
        <v>0</v>
      </c>
      <c r="J247" s="3">
        <v>120000000</v>
      </c>
      <c r="K247" s="3">
        <f>Project_Data_NYSE[[#This Row],[Gross Profit]]-Project_Data_NYSE[[#This Row],[ Sales, General and Admin. ]]-Project_Data_NYSE[[#This Row],[ Research and Development ]]-Project_Data_NYSE[[#This Row],[ Other Operating Items ]]</f>
        <v>3629000000</v>
      </c>
      <c r="L247" t="s">
        <v>46</v>
      </c>
      <c r="M247" t="s">
        <v>49</v>
      </c>
      <c r="N247" s="31">
        <f>Project_Data_NYSE[[#This Row],[Gross Profit]]/Project_Data_NYSE[[#This Row],[ Total Revenue ]]</f>
        <v>0.31700637278137672</v>
      </c>
      <c r="O247" s="31">
        <f>Project_Data_NYSE[[#This Row],[Operating Profit]]/Project_Data_NYSE[[#This Row],[ Total Revenue ]]</f>
        <v>0.1911307736872597</v>
      </c>
      <c r="Q247" t="s">
        <v>367</v>
      </c>
    </row>
    <row r="248" spans="1:17" x14ac:dyDescent="0.2">
      <c r="A248">
        <v>270</v>
      </c>
      <c r="B248" t="s">
        <v>128</v>
      </c>
      <c r="C248" t="s">
        <v>11</v>
      </c>
      <c r="D248" s="48">
        <v>41274</v>
      </c>
      <c r="E248" s="3">
        <v>6514099000</v>
      </c>
      <c r="F248" s="3">
        <v>5745428000</v>
      </c>
      <c r="G248" s="3">
        <f>Project_Data_NYSE[[#This Row],[ Total Revenue ]]-Project_Data_NYSE[[#This Row],[ Cost of Goods Sold ]]</f>
        <v>768671000</v>
      </c>
      <c r="H248" s="3">
        <v>0</v>
      </c>
      <c r="I248" s="3">
        <v>0</v>
      </c>
      <c r="J248" s="3">
        <v>169645000</v>
      </c>
      <c r="K248" s="3">
        <f>Project_Data_NYSE[[#This Row],[Gross Profit]]-Project_Data_NYSE[[#This Row],[ Sales, General and Admin. ]]-Project_Data_NYSE[[#This Row],[ Research and Development ]]-Project_Data_NYSE[[#This Row],[ Other Operating Items ]]</f>
        <v>599026000</v>
      </c>
      <c r="L248" t="s">
        <v>51</v>
      </c>
      <c r="M248" t="s">
        <v>129</v>
      </c>
      <c r="N248" s="31">
        <f>Project_Data_NYSE[[#This Row],[Gross Profit]]/Project_Data_NYSE[[#This Row],[ Total Revenue ]]</f>
        <v>0.11800112340939246</v>
      </c>
      <c r="O248" s="31">
        <f>Project_Data_NYSE[[#This Row],[Operating Profit]]/Project_Data_NYSE[[#This Row],[ Total Revenue ]]</f>
        <v>9.1958381350974241E-2</v>
      </c>
      <c r="Q248" t="s">
        <v>368</v>
      </c>
    </row>
    <row r="249" spans="1:17" x14ac:dyDescent="0.2">
      <c r="A249">
        <v>271</v>
      </c>
      <c r="B249" t="s">
        <v>128</v>
      </c>
      <c r="C249" t="s">
        <v>14</v>
      </c>
      <c r="D249" s="48">
        <v>41639</v>
      </c>
      <c r="E249" s="3">
        <v>7184794000</v>
      </c>
      <c r="F249" s="3">
        <v>6293699000</v>
      </c>
      <c r="G249" s="3">
        <f>Project_Data_NYSE[[#This Row],[ Total Revenue ]]-Project_Data_NYSE[[#This Row],[ Cost of Goods Sold ]]</f>
        <v>891095000</v>
      </c>
      <c r="H249" s="3">
        <v>0</v>
      </c>
      <c r="I249" s="3">
        <v>0</v>
      </c>
      <c r="J249" s="3">
        <v>190390000</v>
      </c>
      <c r="K249" s="3">
        <f>Project_Data_NYSE[[#This Row],[Gross Profit]]-Project_Data_NYSE[[#This Row],[ Sales, General and Admin. ]]-Project_Data_NYSE[[#This Row],[ Research and Development ]]-Project_Data_NYSE[[#This Row],[ Other Operating Items ]]</f>
        <v>700705000</v>
      </c>
      <c r="L249" t="s">
        <v>51</v>
      </c>
      <c r="M249" t="s">
        <v>129</v>
      </c>
      <c r="N249" s="31">
        <f>Project_Data_NYSE[[#This Row],[Gross Profit]]/Project_Data_NYSE[[#This Row],[ Total Revenue ]]</f>
        <v>0.12402512862581724</v>
      </c>
      <c r="O249" s="31">
        <f>Project_Data_NYSE[[#This Row],[Operating Profit]]/Project_Data_NYSE[[#This Row],[ Total Revenue ]]</f>
        <v>9.7526108612160628E-2</v>
      </c>
      <c r="Q249" t="s">
        <v>369</v>
      </c>
    </row>
    <row r="250" spans="1:17" x14ac:dyDescent="0.2">
      <c r="A250">
        <v>272</v>
      </c>
      <c r="B250" t="s">
        <v>128</v>
      </c>
      <c r="C250" t="s">
        <v>15</v>
      </c>
      <c r="D250" s="48">
        <v>42004</v>
      </c>
      <c r="E250" s="3">
        <v>9049918000</v>
      </c>
      <c r="F250" s="3">
        <v>8050222000</v>
      </c>
      <c r="G250" s="3">
        <f>Project_Data_NYSE[[#This Row],[ Total Revenue ]]-Project_Data_NYSE[[#This Row],[ Cost of Goods Sold ]]</f>
        <v>999696000</v>
      </c>
      <c r="H250" s="3">
        <v>0</v>
      </c>
      <c r="I250" s="3">
        <v>0</v>
      </c>
      <c r="J250" s="3">
        <v>265101000</v>
      </c>
      <c r="K250" s="3">
        <f>Project_Data_NYSE[[#This Row],[Gross Profit]]-Project_Data_NYSE[[#This Row],[ Sales, General and Admin. ]]-Project_Data_NYSE[[#This Row],[ Research and Development ]]-Project_Data_NYSE[[#This Row],[ Other Operating Items ]]</f>
        <v>734595000</v>
      </c>
      <c r="L250" t="s">
        <v>51</v>
      </c>
      <c r="M250" t="s">
        <v>129</v>
      </c>
      <c r="N250" s="31">
        <f>Project_Data_NYSE[[#This Row],[Gross Profit]]/Project_Data_NYSE[[#This Row],[ Total Revenue ]]</f>
        <v>0.11046464730398663</v>
      </c>
      <c r="O250" s="31">
        <f>Project_Data_NYSE[[#This Row],[Operating Profit]]/Project_Data_NYSE[[#This Row],[ Total Revenue ]]</f>
        <v>8.1171453708199351E-2</v>
      </c>
      <c r="Q250" t="s">
        <v>370</v>
      </c>
    </row>
    <row r="251" spans="1:17" x14ac:dyDescent="0.2">
      <c r="A251">
        <v>273</v>
      </c>
      <c r="B251" t="s">
        <v>128</v>
      </c>
      <c r="C251" t="s">
        <v>16</v>
      </c>
      <c r="D251" s="48">
        <v>42369</v>
      </c>
      <c r="E251" s="3">
        <v>10855810000</v>
      </c>
      <c r="F251" s="3">
        <v>9716541000</v>
      </c>
      <c r="G251" s="3">
        <f>Project_Data_NYSE[[#This Row],[ Total Revenue ]]-Project_Data_NYSE[[#This Row],[ Cost of Goods Sold ]]</f>
        <v>1139269000</v>
      </c>
      <c r="H251" s="3">
        <v>0</v>
      </c>
      <c r="I251" s="3">
        <v>0</v>
      </c>
      <c r="J251" s="3">
        <v>314096000</v>
      </c>
      <c r="K251" s="3">
        <f>Project_Data_NYSE[[#This Row],[Gross Profit]]-Project_Data_NYSE[[#This Row],[ Sales, General and Admin. ]]-Project_Data_NYSE[[#This Row],[ Research and Development ]]-Project_Data_NYSE[[#This Row],[ Other Operating Items ]]</f>
        <v>825173000</v>
      </c>
      <c r="L251" t="s">
        <v>51</v>
      </c>
      <c r="M251" t="s">
        <v>129</v>
      </c>
      <c r="N251" s="31">
        <f>Project_Data_NYSE[[#This Row],[Gross Profit]]/Project_Data_NYSE[[#This Row],[ Total Revenue ]]</f>
        <v>0.10494555450030905</v>
      </c>
      <c r="O251" s="31">
        <f>Project_Data_NYSE[[#This Row],[Operating Profit]]/Project_Data_NYSE[[#This Row],[ Total Revenue ]]</f>
        <v>7.6012107802181511E-2</v>
      </c>
      <c r="Q251" t="s">
        <v>371</v>
      </c>
    </row>
    <row r="252" spans="1:17" x14ac:dyDescent="0.2">
      <c r="A252">
        <v>274</v>
      </c>
      <c r="B252" t="s">
        <v>130</v>
      </c>
      <c r="C252" t="s">
        <v>11</v>
      </c>
      <c r="D252" s="48">
        <v>41274</v>
      </c>
      <c r="E252" s="3">
        <v>2432680000</v>
      </c>
      <c r="F252" s="3">
        <v>728989000</v>
      </c>
      <c r="G252" s="3">
        <f>Project_Data_NYSE[[#This Row],[ Total Revenue ]]-Project_Data_NYSE[[#This Row],[ Cost of Goods Sold ]]</f>
        <v>1703691000</v>
      </c>
      <c r="H252" s="3">
        <v>212572000</v>
      </c>
      <c r="I252" s="3">
        <v>0</v>
      </c>
      <c r="J252" s="3">
        <v>622592000</v>
      </c>
      <c r="K252" s="3">
        <f>Project_Data_NYSE[[#This Row],[Gross Profit]]-Project_Data_NYSE[[#This Row],[ Sales, General and Admin. ]]-Project_Data_NYSE[[#This Row],[ Research and Development ]]-Project_Data_NYSE[[#This Row],[ Other Operating Items ]]</f>
        <v>868527000</v>
      </c>
      <c r="L252" t="s">
        <v>51</v>
      </c>
      <c r="M252" t="s">
        <v>52</v>
      </c>
      <c r="N252" s="31">
        <f>Project_Data_NYSE[[#This Row],[Gross Profit]]/Project_Data_NYSE[[#This Row],[ Total Revenue ]]</f>
        <v>0.70033502145781612</v>
      </c>
      <c r="O252" s="31">
        <f>Project_Data_NYSE[[#This Row],[Operating Profit]]/Project_Data_NYSE[[#This Row],[ Total Revenue ]]</f>
        <v>0.35702476281302925</v>
      </c>
      <c r="Q252" t="s">
        <v>372</v>
      </c>
    </row>
    <row r="253" spans="1:17" x14ac:dyDescent="0.2">
      <c r="A253">
        <v>275</v>
      </c>
      <c r="B253" t="s">
        <v>130</v>
      </c>
      <c r="C253" t="s">
        <v>14</v>
      </c>
      <c r="D253" s="48">
        <v>41639</v>
      </c>
      <c r="E253" s="3">
        <v>2865751000</v>
      </c>
      <c r="F253" s="3">
        <v>991017000</v>
      </c>
      <c r="G253" s="3">
        <f>Project_Data_NYSE[[#This Row],[ Total Revenue ]]-Project_Data_NYSE[[#This Row],[ Cost of Goods Sold ]]</f>
        <v>1874734000</v>
      </c>
      <c r="H253" s="3">
        <v>213519000</v>
      </c>
      <c r="I253" s="3">
        <v>0</v>
      </c>
      <c r="J253" s="3">
        <v>741342000</v>
      </c>
      <c r="K253" s="3">
        <f>Project_Data_NYSE[[#This Row],[Gross Profit]]-Project_Data_NYSE[[#This Row],[ Sales, General and Admin. ]]-Project_Data_NYSE[[#This Row],[ Research and Development ]]-Project_Data_NYSE[[#This Row],[ Other Operating Items ]]</f>
        <v>919873000</v>
      </c>
      <c r="L253" t="s">
        <v>51</v>
      </c>
      <c r="M253" t="s">
        <v>52</v>
      </c>
      <c r="N253" s="31">
        <f>Project_Data_NYSE[[#This Row],[Gross Profit]]/Project_Data_NYSE[[#This Row],[ Total Revenue ]]</f>
        <v>0.65418593590301455</v>
      </c>
      <c r="O253" s="31">
        <f>Project_Data_NYSE[[#This Row],[Operating Profit]]/Project_Data_NYSE[[#This Row],[ Total Revenue ]]</f>
        <v>0.32098845991853442</v>
      </c>
      <c r="Q253" t="s">
        <v>373</v>
      </c>
    </row>
    <row r="254" spans="1:17" x14ac:dyDescent="0.2">
      <c r="A254">
        <v>276</v>
      </c>
      <c r="B254" t="s">
        <v>130</v>
      </c>
      <c r="C254" t="s">
        <v>15</v>
      </c>
      <c r="D254" s="48">
        <v>42004</v>
      </c>
      <c r="E254" s="3">
        <v>3538756000</v>
      </c>
      <c r="F254" s="3">
        <v>1306606000</v>
      </c>
      <c r="G254" s="3">
        <f>Project_Data_NYSE[[#This Row],[ Total Revenue ]]-Project_Data_NYSE[[#This Row],[ Cost of Goods Sold ]]</f>
        <v>2232150000</v>
      </c>
      <c r="H254" s="3">
        <v>257296000</v>
      </c>
      <c r="I254" s="3">
        <v>0</v>
      </c>
      <c r="J254" s="3">
        <v>985781000</v>
      </c>
      <c r="K254" s="3">
        <f>Project_Data_NYSE[[#This Row],[Gross Profit]]-Project_Data_NYSE[[#This Row],[ Sales, General and Admin. ]]-Project_Data_NYSE[[#This Row],[ Research and Development ]]-Project_Data_NYSE[[#This Row],[ Other Operating Items ]]</f>
        <v>989073000</v>
      </c>
      <c r="L254" t="s">
        <v>51</v>
      </c>
      <c r="M254" t="s">
        <v>52</v>
      </c>
      <c r="N254" s="31">
        <f>Project_Data_NYSE[[#This Row],[Gross Profit]]/Project_Data_NYSE[[#This Row],[ Total Revenue ]]</f>
        <v>0.63077250875731472</v>
      </c>
      <c r="O254" s="31">
        <f>Project_Data_NYSE[[#This Row],[Operating Profit]]/Project_Data_NYSE[[#This Row],[ Total Revenue ]]</f>
        <v>0.2794973713926589</v>
      </c>
      <c r="Q254" t="s">
        <v>374</v>
      </c>
    </row>
    <row r="255" spans="1:17" x14ac:dyDescent="0.2">
      <c r="A255">
        <v>277</v>
      </c>
      <c r="B255" t="s">
        <v>130</v>
      </c>
      <c r="C255" t="s">
        <v>16</v>
      </c>
      <c r="D255" s="48">
        <v>42369</v>
      </c>
      <c r="E255" s="3">
        <v>3663851000</v>
      </c>
      <c r="F255" s="3">
        <v>1321426000</v>
      </c>
      <c r="G255" s="3">
        <f>Project_Data_NYSE[[#This Row],[ Total Revenue ]]-Project_Data_NYSE[[#This Row],[ Cost of Goods Sold ]]</f>
        <v>2342425000</v>
      </c>
      <c r="H255" s="3">
        <v>310921000</v>
      </c>
      <c r="I255" s="3">
        <v>0</v>
      </c>
      <c r="J255" s="3">
        <v>1036178000</v>
      </c>
      <c r="K255" s="3">
        <f>Project_Data_NYSE[[#This Row],[Gross Profit]]-Project_Data_NYSE[[#This Row],[ Sales, General and Admin. ]]-Project_Data_NYSE[[#This Row],[ Research and Development ]]-Project_Data_NYSE[[#This Row],[ Other Operating Items ]]</f>
        <v>995326000</v>
      </c>
      <c r="L255" t="s">
        <v>51</v>
      </c>
      <c r="M255" t="s">
        <v>52</v>
      </c>
      <c r="N255" s="31">
        <f>Project_Data_NYSE[[#This Row],[Gross Profit]]/Project_Data_NYSE[[#This Row],[ Total Revenue ]]</f>
        <v>0.6393341323105115</v>
      </c>
      <c r="O255" s="31">
        <f>Project_Data_NYSE[[#This Row],[Operating Profit]]/Project_Data_NYSE[[#This Row],[ Total Revenue ]]</f>
        <v>0.27166115652628886</v>
      </c>
      <c r="Q255" t="s">
        <v>375</v>
      </c>
    </row>
    <row r="256" spans="1:17" x14ac:dyDescent="0.2">
      <c r="A256">
        <v>278</v>
      </c>
      <c r="B256" t="s">
        <v>131</v>
      </c>
      <c r="C256" t="s">
        <v>11</v>
      </c>
      <c r="D256" s="48">
        <v>41608</v>
      </c>
      <c r="E256" s="3">
        <v>15456000000</v>
      </c>
      <c r="F256" s="3">
        <v>10645000000</v>
      </c>
      <c r="G256" s="3">
        <f>Project_Data_NYSE[[#This Row],[ Total Revenue ]]-Project_Data_NYSE[[#This Row],[ Cost of Goods Sold ]]</f>
        <v>4811000000</v>
      </c>
      <c r="H256" s="3">
        <v>1879000000</v>
      </c>
      <c r="I256" s="3">
        <v>0</v>
      </c>
      <c r="J256" s="3">
        <v>1590000000</v>
      </c>
      <c r="K256" s="3">
        <f>Project_Data_NYSE[[#This Row],[Gross Profit]]-Project_Data_NYSE[[#This Row],[ Sales, General and Admin. ]]-Project_Data_NYSE[[#This Row],[ Research and Development ]]-Project_Data_NYSE[[#This Row],[ Other Operating Items ]]</f>
        <v>1342000000</v>
      </c>
      <c r="L256" t="s">
        <v>18</v>
      </c>
      <c r="M256" t="s">
        <v>132</v>
      </c>
      <c r="N256" s="31">
        <f>Project_Data_NYSE[[#This Row],[Gross Profit]]/Project_Data_NYSE[[#This Row],[ Total Revenue ]]</f>
        <v>0.31127070393374739</v>
      </c>
      <c r="O256" s="31">
        <f>Project_Data_NYSE[[#This Row],[Operating Profit]]/Project_Data_NYSE[[#This Row],[ Total Revenue ]]</f>
        <v>8.6827122153209105E-2</v>
      </c>
      <c r="Q256" t="s">
        <v>376</v>
      </c>
    </row>
    <row r="257" spans="1:17" x14ac:dyDescent="0.2">
      <c r="A257">
        <v>279</v>
      </c>
      <c r="B257" t="s">
        <v>131</v>
      </c>
      <c r="C257" t="s">
        <v>14</v>
      </c>
      <c r="D257" s="48">
        <v>41973</v>
      </c>
      <c r="E257" s="3">
        <v>15884000000</v>
      </c>
      <c r="F257" s="3">
        <v>10421000000</v>
      </c>
      <c r="G257" s="3">
        <f>Project_Data_NYSE[[#This Row],[ Total Revenue ]]-Project_Data_NYSE[[#This Row],[ Cost of Goods Sold ]]</f>
        <v>5463000000</v>
      </c>
      <c r="H257" s="3">
        <v>2054000000</v>
      </c>
      <c r="I257" s="3">
        <v>0</v>
      </c>
      <c r="J257" s="3">
        <v>1637000000</v>
      </c>
      <c r="K257" s="3">
        <f>Project_Data_NYSE[[#This Row],[Gross Profit]]-Project_Data_NYSE[[#This Row],[ Sales, General and Admin. ]]-Project_Data_NYSE[[#This Row],[ Research and Development ]]-Project_Data_NYSE[[#This Row],[ Other Operating Items ]]</f>
        <v>1772000000</v>
      </c>
      <c r="L257" t="s">
        <v>18</v>
      </c>
      <c r="M257" t="s">
        <v>132</v>
      </c>
      <c r="N257" s="31">
        <f>Project_Data_NYSE[[#This Row],[Gross Profit]]/Project_Data_NYSE[[#This Row],[ Total Revenue ]]</f>
        <v>0.34393099974817426</v>
      </c>
      <c r="O257" s="31">
        <f>Project_Data_NYSE[[#This Row],[Operating Profit]]/Project_Data_NYSE[[#This Row],[ Total Revenue ]]</f>
        <v>0.11155880130949383</v>
      </c>
      <c r="Q257" t="s">
        <v>377</v>
      </c>
    </row>
    <row r="258" spans="1:17" x14ac:dyDescent="0.2">
      <c r="A258">
        <v>280</v>
      </c>
      <c r="B258" t="s">
        <v>131</v>
      </c>
      <c r="C258" t="s">
        <v>15</v>
      </c>
      <c r="D258" s="48">
        <v>42338</v>
      </c>
      <c r="E258" s="3">
        <v>15714000000</v>
      </c>
      <c r="F258" s="3">
        <v>9447000000</v>
      </c>
      <c r="G258" s="3">
        <f>Project_Data_NYSE[[#This Row],[ Total Revenue ]]-Project_Data_NYSE[[#This Row],[ Cost of Goods Sold ]]</f>
        <v>6267000000</v>
      </c>
      <c r="H258" s="3">
        <v>2067000000</v>
      </c>
      <c r="I258" s="3">
        <v>0</v>
      </c>
      <c r="J258" s="3">
        <v>1626000000</v>
      </c>
      <c r="K258" s="3">
        <f>Project_Data_NYSE[[#This Row],[Gross Profit]]-Project_Data_NYSE[[#This Row],[ Sales, General and Admin. ]]-Project_Data_NYSE[[#This Row],[ Research and Development ]]-Project_Data_NYSE[[#This Row],[ Other Operating Items ]]</f>
        <v>2574000000</v>
      </c>
      <c r="L258" t="s">
        <v>18</v>
      </c>
      <c r="M258" t="s">
        <v>132</v>
      </c>
      <c r="N258" s="31">
        <f>Project_Data_NYSE[[#This Row],[Gross Profit]]/Project_Data_NYSE[[#This Row],[ Total Revenue ]]</f>
        <v>0.3988163421153112</v>
      </c>
      <c r="O258" s="31">
        <f>Project_Data_NYSE[[#This Row],[Operating Profit]]/Project_Data_NYSE[[#This Row],[ Total Revenue ]]</f>
        <v>0.16380297823596793</v>
      </c>
      <c r="Q258" t="s">
        <v>379</v>
      </c>
    </row>
    <row r="259" spans="1:17" x14ac:dyDescent="0.2">
      <c r="A259">
        <v>281</v>
      </c>
      <c r="B259" t="s">
        <v>131</v>
      </c>
      <c r="C259" t="s">
        <v>16</v>
      </c>
      <c r="D259" s="48">
        <v>42704</v>
      </c>
      <c r="E259" s="3">
        <v>16389000000</v>
      </c>
      <c r="F259" s="3">
        <v>9383000000</v>
      </c>
      <c r="G259" s="3">
        <f>Project_Data_NYSE[[#This Row],[ Total Revenue ]]-Project_Data_NYSE[[#This Row],[ Cost of Goods Sold ]]</f>
        <v>7006000000</v>
      </c>
      <c r="H259" s="3">
        <v>2197000000</v>
      </c>
      <c r="I259" s="3">
        <v>0</v>
      </c>
      <c r="J259" s="3">
        <v>1738000000</v>
      </c>
      <c r="K259" s="3">
        <f>Project_Data_NYSE[[#This Row],[Gross Profit]]-Project_Data_NYSE[[#This Row],[ Sales, General and Admin. ]]-Project_Data_NYSE[[#This Row],[ Research and Development ]]-Project_Data_NYSE[[#This Row],[ Other Operating Items ]]</f>
        <v>3071000000</v>
      </c>
      <c r="L259" t="s">
        <v>18</v>
      </c>
      <c r="M259" t="s">
        <v>132</v>
      </c>
      <c r="N259" s="31">
        <f>Project_Data_NYSE[[#This Row],[Gross Profit]]/Project_Data_NYSE[[#This Row],[ Total Revenue ]]</f>
        <v>0.42748184758069435</v>
      </c>
      <c r="O259" s="31">
        <f>Project_Data_NYSE[[#This Row],[Operating Profit]]/Project_Data_NYSE[[#This Row],[ Total Revenue ]]</f>
        <v>0.18738178046250534</v>
      </c>
      <c r="Q259" t="s">
        <v>380</v>
      </c>
    </row>
    <row r="260" spans="1:17" x14ac:dyDescent="0.2">
      <c r="A260">
        <v>1534</v>
      </c>
      <c r="B260" t="s">
        <v>512</v>
      </c>
      <c r="C260" t="s">
        <v>11</v>
      </c>
      <c r="D260" s="48">
        <v>41274</v>
      </c>
      <c r="E260" s="3">
        <v>12509900000</v>
      </c>
      <c r="F260" s="3">
        <v>7214400000</v>
      </c>
      <c r="G260" s="3">
        <f>Project_Data_NYSE[[#This Row],[ Total Revenue ]]-Project_Data_NYSE[[#This Row],[ Cost of Goods Sold ]]</f>
        <v>5295500000</v>
      </c>
      <c r="H260" s="3">
        <v>3354900000</v>
      </c>
      <c r="I260" s="3">
        <v>376400000</v>
      </c>
      <c r="J260" s="3">
        <v>0</v>
      </c>
      <c r="K260" s="3">
        <f>Project_Data_NYSE[[#This Row],[Gross Profit]]-Project_Data_NYSE[[#This Row],[ Sales, General and Admin. ]]-Project_Data_NYSE[[#This Row],[ Research and Development ]]-Project_Data_NYSE[[#This Row],[ Other Operating Items ]]</f>
        <v>1564200000</v>
      </c>
      <c r="L260" t="s">
        <v>24</v>
      </c>
      <c r="M260" t="s">
        <v>29</v>
      </c>
      <c r="N260" s="31">
        <f>Project_Data_NYSE[[#This Row],[Gross Profit]]/Project_Data_NYSE[[#This Row],[ Total Revenue ]]</f>
        <v>0.42330474264382612</v>
      </c>
      <c r="O260" s="31">
        <f>Project_Data_NYSE[[#This Row],[Operating Profit]]/Project_Data_NYSE[[#This Row],[ Total Revenue ]]</f>
        <v>0.1250369707191904</v>
      </c>
      <c r="Q260" t="s">
        <v>381</v>
      </c>
    </row>
    <row r="261" spans="1:17" x14ac:dyDescent="0.2">
      <c r="A261">
        <v>241</v>
      </c>
      <c r="B261" t="s">
        <v>118</v>
      </c>
      <c r="C261" t="s">
        <v>16</v>
      </c>
      <c r="D261" s="48">
        <v>42369</v>
      </c>
      <c r="E261" s="3">
        <v>7477000000</v>
      </c>
      <c r="F261" s="3">
        <v>2173000000</v>
      </c>
      <c r="G261" s="3">
        <f>Project_Data_NYSE[[#This Row],[ Total Revenue ]]-Project_Data_NYSE[[#This Row],[ Cost of Goods Sold ]]</f>
        <v>5304000000</v>
      </c>
      <c r="H261" s="3">
        <v>2996000000</v>
      </c>
      <c r="I261" s="3">
        <v>876000000</v>
      </c>
      <c r="J261" s="3">
        <v>495000000</v>
      </c>
      <c r="K261" s="3">
        <f>Project_Data_NYSE[[#This Row],[Gross Profit]]-Project_Data_NYSE[[#This Row],[ Sales, General and Admin. ]]-Project_Data_NYSE[[#This Row],[ Research and Development ]]-Project_Data_NYSE[[#This Row],[ Other Operating Items ]]</f>
        <v>937000000</v>
      </c>
      <c r="L261" t="s">
        <v>24</v>
      </c>
      <c r="M261" t="s">
        <v>29</v>
      </c>
      <c r="N261" s="31">
        <f>Project_Data_NYSE[[#This Row],[Gross Profit]]/Project_Data_NYSE[[#This Row],[ Total Revenue ]]</f>
        <v>0.709375417948375</v>
      </c>
      <c r="O261" s="31">
        <f>Project_Data_NYSE[[#This Row],[Operating Profit]]/Project_Data_NYSE[[#This Row],[ Total Revenue ]]</f>
        <v>0.1253176407650127</v>
      </c>
      <c r="Q261" t="s">
        <v>383</v>
      </c>
    </row>
    <row r="262" spans="1:17" x14ac:dyDescent="0.2">
      <c r="A262">
        <v>22</v>
      </c>
      <c r="B262" t="s">
        <v>28</v>
      </c>
      <c r="C262" t="s">
        <v>15</v>
      </c>
      <c r="D262" s="48">
        <v>42004</v>
      </c>
      <c r="E262" s="3">
        <v>20247000000</v>
      </c>
      <c r="F262" s="3">
        <v>9218000000</v>
      </c>
      <c r="G262" s="3">
        <f>Project_Data_NYSE[[#This Row],[ Total Revenue ]]-Project_Data_NYSE[[#This Row],[ Cost of Goods Sold ]]</f>
        <v>11029000000</v>
      </c>
      <c r="H262" s="3">
        <v>6530000000</v>
      </c>
      <c r="I262" s="3">
        <v>1345000000</v>
      </c>
      <c r="J262" s="3">
        <v>555000000</v>
      </c>
      <c r="K262" s="3">
        <f>Project_Data_NYSE[[#This Row],[Gross Profit]]-Project_Data_NYSE[[#This Row],[ Sales, General and Admin. ]]-Project_Data_NYSE[[#This Row],[ Research and Development ]]-Project_Data_NYSE[[#This Row],[ Other Operating Items ]]</f>
        <v>2599000000</v>
      </c>
      <c r="L262" t="s">
        <v>24</v>
      </c>
      <c r="M262" t="s">
        <v>29</v>
      </c>
      <c r="N262" s="31">
        <f>Project_Data_NYSE[[#This Row],[Gross Profit]]/Project_Data_NYSE[[#This Row],[ Total Revenue ]]</f>
        <v>0.54472267496419224</v>
      </c>
      <c r="O262" s="31">
        <f>Project_Data_NYSE[[#This Row],[Operating Profit]]/Project_Data_NYSE[[#This Row],[ Total Revenue ]]</f>
        <v>0.12836469600434633</v>
      </c>
      <c r="Q262" t="s">
        <v>384</v>
      </c>
    </row>
    <row r="263" spans="1:17" x14ac:dyDescent="0.2">
      <c r="A263">
        <v>954</v>
      </c>
      <c r="B263" t="s">
        <v>351</v>
      </c>
      <c r="C263" t="s">
        <v>16</v>
      </c>
      <c r="D263" s="48">
        <v>42369</v>
      </c>
      <c r="E263" s="3">
        <v>8680100000</v>
      </c>
      <c r="F263" s="3">
        <v>5776800000</v>
      </c>
      <c r="G263" s="3">
        <f>Project_Data_NYSE[[#This Row],[ Total Revenue ]]-Project_Data_NYSE[[#This Row],[ Cost of Goods Sold ]]</f>
        <v>2903300000</v>
      </c>
      <c r="H263" s="3">
        <v>1622000000</v>
      </c>
      <c r="I263" s="3">
        <v>0</v>
      </c>
      <c r="J263" s="3">
        <v>164500000</v>
      </c>
      <c r="K263" s="3">
        <f>Project_Data_NYSE[[#This Row],[Gross Profit]]-Project_Data_NYSE[[#This Row],[ Sales, General and Admin. ]]-Project_Data_NYSE[[#This Row],[ Research and Development ]]-Project_Data_NYSE[[#This Row],[ Other Operating Items ]]</f>
        <v>1116800000</v>
      </c>
      <c r="L263" t="s">
        <v>24</v>
      </c>
      <c r="M263" t="s">
        <v>198</v>
      </c>
      <c r="N263" s="31">
        <f>Project_Data_NYSE[[#This Row],[Gross Profit]]/Project_Data_NYSE[[#This Row],[ Total Revenue ]]</f>
        <v>0.33447771339039872</v>
      </c>
      <c r="O263" s="31">
        <f>Project_Data_NYSE[[#This Row],[Operating Profit]]/Project_Data_NYSE[[#This Row],[ Total Revenue ]]</f>
        <v>0.12866211218764761</v>
      </c>
      <c r="Q263" t="s">
        <v>385</v>
      </c>
    </row>
    <row r="264" spans="1:17" x14ac:dyDescent="0.2">
      <c r="A264">
        <v>1483</v>
      </c>
      <c r="B264" t="s">
        <v>495</v>
      </c>
      <c r="C264" t="s">
        <v>14</v>
      </c>
      <c r="D264" s="48">
        <v>42004</v>
      </c>
      <c r="E264" s="3">
        <v>9675000000</v>
      </c>
      <c r="F264" s="3">
        <v>3319000000</v>
      </c>
      <c r="G264" s="3">
        <f>Project_Data_NYSE[[#This Row],[ Total Revenue ]]-Project_Data_NYSE[[#This Row],[ Cost of Goods Sold ]]</f>
        <v>6356000000</v>
      </c>
      <c r="H264" s="3">
        <v>4308000000</v>
      </c>
      <c r="I264" s="3">
        <v>614000000</v>
      </c>
      <c r="J264" s="3">
        <v>188000000</v>
      </c>
      <c r="K264" s="3">
        <f>Project_Data_NYSE[[#This Row],[Gross Profit]]-Project_Data_NYSE[[#This Row],[ Sales, General and Admin. ]]-Project_Data_NYSE[[#This Row],[ Research and Development ]]-Project_Data_NYSE[[#This Row],[ Other Operating Items ]]</f>
        <v>1246000000</v>
      </c>
      <c r="L264" t="s">
        <v>24</v>
      </c>
      <c r="M264" t="s">
        <v>29</v>
      </c>
      <c r="N264" s="31">
        <f>Project_Data_NYSE[[#This Row],[Gross Profit]]/Project_Data_NYSE[[#This Row],[ Total Revenue ]]</f>
        <v>0.65695090439276482</v>
      </c>
      <c r="O264" s="31">
        <f>Project_Data_NYSE[[#This Row],[Operating Profit]]/Project_Data_NYSE[[#This Row],[ Total Revenue ]]</f>
        <v>0.12878552971576226</v>
      </c>
      <c r="Q264" t="s">
        <v>387</v>
      </c>
    </row>
    <row r="265" spans="1:17" x14ac:dyDescent="0.2">
      <c r="A265">
        <v>1535</v>
      </c>
      <c r="B265" t="s">
        <v>512</v>
      </c>
      <c r="C265" t="s">
        <v>14</v>
      </c>
      <c r="D265" s="48">
        <v>41639</v>
      </c>
      <c r="E265" s="3">
        <v>13090300000</v>
      </c>
      <c r="F265" s="3">
        <v>7561200000</v>
      </c>
      <c r="G265" s="3">
        <f>Project_Data_NYSE[[#This Row],[ Total Revenue ]]-Project_Data_NYSE[[#This Row],[ Cost of Goods Sold ]]</f>
        <v>5529100000</v>
      </c>
      <c r="H265" s="3">
        <v>3446300000</v>
      </c>
      <c r="I265" s="3">
        <v>395500000</v>
      </c>
      <c r="J265" s="3">
        <v>0</v>
      </c>
      <c r="K265" s="3">
        <f>Project_Data_NYSE[[#This Row],[Gross Profit]]-Project_Data_NYSE[[#This Row],[ Sales, General and Admin. ]]-Project_Data_NYSE[[#This Row],[ Research and Development ]]-Project_Data_NYSE[[#This Row],[ Other Operating Items ]]</f>
        <v>1687300000</v>
      </c>
      <c r="L265" t="s">
        <v>24</v>
      </c>
      <c r="M265" t="s">
        <v>29</v>
      </c>
      <c r="N265" s="31">
        <f>Project_Data_NYSE[[#This Row],[Gross Profit]]/Project_Data_NYSE[[#This Row],[ Total Revenue ]]</f>
        <v>0.42238145802617205</v>
      </c>
      <c r="O265" s="31">
        <f>Project_Data_NYSE[[#This Row],[Operating Profit]]/Project_Data_NYSE[[#This Row],[ Total Revenue ]]</f>
        <v>0.1288969695117759</v>
      </c>
      <c r="Q265" t="s">
        <v>389</v>
      </c>
    </row>
    <row r="266" spans="1:17" x14ac:dyDescent="0.2">
      <c r="A266">
        <v>509</v>
      </c>
      <c r="B266" t="s">
        <v>216</v>
      </c>
      <c r="C266" t="s">
        <v>14</v>
      </c>
      <c r="D266" s="48">
        <v>41639</v>
      </c>
      <c r="E266" s="3">
        <v>11764050000</v>
      </c>
      <c r="F266" s="3">
        <v>8198377000</v>
      </c>
      <c r="G266" s="3">
        <f>Project_Data_NYSE[[#This Row],[ Total Revenue ]]-Project_Data_NYSE[[#This Row],[ Cost of Goods Sold ]]</f>
        <v>3565673000</v>
      </c>
      <c r="H266" s="3">
        <v>1516508000</v>
      </c>
      <c r="I266" s="3">
        <v>0</v>
      </c>
      <c r="J266" s="3">
        <v>528737000</v>
      </c>
      <c r="K266" s="3">
        <f>Project_Data_NYSE[[#This Row],[Gross Profit]]-Project_Data_NYSE[[#This Row],[ Sales, General and Admin. ]]-Project_Data_NYSE[[#This Row],[ Research and Development ]]-Project_Data_NYSE[[#This Row],[ Other Operating Items ]]</f>
        <v>1520428000</v>
      </c>
      <c r="L266" t="s">
        <v>24</v>
      </c>
      <c r="M266" t="s">
        <v>198</v>
      </c>
      <c r="N266" s="31">
        <f>Project_Data_NYSE[[#This Row],[Gross Profit]]/Project_Data_NYSE[[#This Row],[ Total Revenue ]]</f>
        <v>0.3030991027749797</v>
      </c>
      <c r="O266" s="31">
        <f>Project_Data_NYSE[[#This Row],[Operating Profit]]/Project_Data_NYSE[[#This Row],[ Total Revenue ]]</f>
        <v>0.12924358532988214</v>
      </c>
      <c r="Q266" t="s">
        <v>390</v>
      </c>
    </row>
    <row r="267" spans="1:17" x14ac:dyDescent="0.2">
      <c r="A267">
        <v>372</v>
      </c>
      <c r="B267" t="s">
        <v>164</v>
      </c>
      <c r="C267" t="s">
        <v>15</v>
      </c>
      <c r="D267" s="48">
        <v>42308</v>
      </c>
      <c r="E267" s="3">
        <v>1797060000</v>
      </c>
      <c r="F267" s="3">
        <v>726798000</v>
      </c>
      <c r="G267" s="3">
        <f>Project_Data_NYSE[[#This Row],[ Total Revenue ]]-Project_Data_NYSE[[#This Row],[ Cost of Goods Sold ]]</f>
        <v>1070262000</v>
      </c>
      <c r="H267" s="3">
        <v>712543000</v>
      </c>
      <c r="I267" s="3">
        <v>69589000</v>
      </c>
      <c r="J267" s="3">
        <v>51459000</v>
      </c>
      <c r="K267" s="3">
        <f>Project_Data_NYSE[[#This Row],[Gross Profit]]-Project_Data_NYSE[[#This Row],[ Sales, General and Admin. ]]-Project_Data_NYSE[[#This Row],[ Research and Development ]]-Project_Data_NYSE[[#This Row],[ Other Operating Items ]]</f>
        <v>236671000</v>
      </c>
      <c r="L267" t="s">
        <v>24</v>
      </c>
      <c r="M267" t="s">
        <v>165</v>
      </c>
      <c r="N267" s="31">
        <f>Project_Data_NYSE[[#This Row],[Gross Profit]]/Project_Data_NYSE[[#This Row],[ Total Revenue ]]</f>
        <v>0.59556275249574309</v>
      </c>
      <c r="O267" s="31">
        <f>Project_Data_NYSE[[#This Row],[Operating Profit]]/Project_Data_NYSE[[#This Row],[ Total Revenue ]]</f>
        <v>0.13169899725106562</v>
      </c>
      <c r="Q267" t="s">
        <v>391</v>
      </c>
    </row>
    <row r="268" spans="1:17" x14ac:dyDescent="0.2">
      <c r="A268">
        <v>290</v>
      </c>
      <c r="B268" t="s">
        <v>136</v>
      </c>
      <c r="C268" t="s">
        <v>11</v>
      </c>
      <c r="D268" s="48">
        <v>41274</v>
      </c>
      <c r="E268" s="3">
        <v>6104000000</v>
      </c>
      <c r="F268" s="3">
        <v>2990700000</v>
      </c>
      <c r="G268" s="3">
        <f>Project_Data_NYSE[[#This Row],[ Total Revenue ]]-Project_Data_NYSE[[#This Row],[ Cost of Goods Sold ]]</f>
        <v>3113300000</v>
      </c>
      <c r="H268" s="3">
        <v>200900000</v>
      </c>
      <c r="I268" s="3">
        <v>0</v>
      </c>
      <c r="J268" s="3">
        <v>0</v>
      </c>
      <c r="K268" s="3">
        <f>Project_Data_NYSE[[#This Row],[Gross Profit]]-Project_Data_NYSE[[#This Row],[ Sales, General and Admin. ]]-Project_Data_NYSE[[#This Row],[ Research and Development ]]-Project_Data_NYSE[[#This Row],[ Other Operating Items ]]</f>
        <v>2912400000</v>
      </c>
      <c r="L268" t="s">
        <v>58</v>
      </c>
      <c r="M268" t="s">
        <v>137</v>
      </c>
      <c r="N268" s="31">
        <f>Project_Data_NYSE[[#This Row],[Gross Profit]]/Project_Data_NYSE[[#This Row],[ Total Revenue ]]</f>
        <v>0.51004259501965921</v>
      </c>
      <c r="O268" s="31">
        <f>Project_Data_NYSE[[#This Row],[Operating Profit]]/Project_Data_NYSE[[#This Row],[ Total Revenue ]]</f>
        <v>0.47712975098296201</v>
      </c>
      <c r="Q268" t="s">
        <v>393</v>
      </c>
    </row>
    <row r="269" spans="1:17" x14ac:dyDescent="0.2">
      <c r="A269">
        <v>291</v>
      </c>
      <c r="B269" t="s">
        <v>136</v>
      </c>
      <c r="C269" t="s">
        <v>14</v>
      </c>
      <c r="D269" s="48">
        <v>41639</v>
      </c>
      <c r="E269" s="3">
        <v>5474700000</v>
      </c>
      <c r="F269" s="3">
        <v>2954500000</v>
      </c>
      <c r="G269" s="3">
        <f>Project_Data_NYSE[[#This Row],[ Total Revenue ]]-Project_Data_NYSE[[#This Row],[ Cost of Goods Sold ]]</f>
        <v>2520200000</v>
      </c>
      <c r="H269" s="3">
        <v>150200000</v>
      </c>
      <c r="I269" s="3">
        <v>0</v>
      </c>
      <c r="J269" s="3">
        <v>0</v>
      </c>
      <c r="K269" s="3">
        <f>Project_Data_NYSE[[#This Row],[Gross Profit]]-Project_Data_NYSE[[#This Row],[ Sales, General and Admin. ]]-Project_Data_NYSE[[#This Row],[ Research and Development ]]-Project_Data_NYSE[[#This Row],[ Other Operating Items ]]</f>
        <v>2370000000</v>
      </c>
      <c r="L269" t="s">
        <v>58</v>
      </c>
      <c r="M269" t="s">
        <v>137</v>
      </c>
      <c r="N269" s="31">
        <f>Project_Data_NYSE[[#This Row],[Gross Profit]]/Project_Data_NYSE[[#This Row],[ Total Revenue ]]</f>
        <v>0.46033572615851098</v>
      </c>
      <c r="O269" s="31">
        <f>Project_Data_NYSE[[#This Row],[Operating Profit]]/Project_Data_NYSE[[#This Row],[ Total Revenue ]]</f>
        <v>0.4329004329004329</v>
      </c>
      <c r="Q269" t="s">
        <v>394</v>
      </c>
    </row>
    <row r="270" spans="1:17" x14ac:dyDescent="0.2">
      <c r="A270">
        <v>292</v>
      </c>
      <c r="B270" t="s">
        <v>136</v>
      </c>
      <c r="C270" t="s">
        <v>15</v>
      </c>
      <c r="D270" s="48">
        <v>42004</v>
      </c>
      <c r="E270" s="3">
        <v>4743200000</v>
      </c>
      <c r="F270" s="3">
        <v>2964700000</v>
      </c>
      <c r="G270" s="3">
        <f>Project_Data_NYSE[[#This Row],[ Total Revenue ]]-Project_Data_NYSE[[#This Row],[ Cost of Goods Sold ]]</f>
        <v>1778500000</v>
      </c>
      <c r="H270" s="3">
        <v>205200000</v>
      </c>
      <c r="I270" s="3">
        <v>0</v>
      </c>
      <c r="J270" s="3">
        <v>0</v>
      </c>
      <c r="K270" s="3">
        <f>Project_Data_NYSE[[#This Row],[Gross Profit]]-Project_Data_NYSE[[#This Row],[ Sales, General and Admin. ]]-Project_Data_NYSE[[#This Row],[ Research and Development ]]-Project_Data_NYSE[[#This Row],[ Other Operating Items ]]</f>
        <v>1573300000</v>
      </c>
      <c r="L270" t="s">
        <v>58</v>
      </c>
      <c r="M270" t="s">
        <v>137</v>
      </c>
      <c r="N270" s="31">
        <f>Project_Data_NYSE[[#This Row],[Gross Profit]]/Project_Data_NYSE[[#This Row],[ Total Revenue ]]</f>
        <v>0.37495783437341879</v>
      </c>
      <c r="O270" s="31">
        <f>Project_Data_NYSE[[#This Row],[Operating Profit]]/Project_Data_NYSE[[#This Row],[ Total Revenue ]]</f>
        <v>0.33169590150109629</v>
      </c>
      <c r="Q270" t="s">
        <v>395</v>
      </c>
    </row>
    <row r="271" spans="1:17" x14ac:dyDescent="0.2">
      <c r="A271">
        <v>293</v>
      </c>
      <c r="B271" t="s">
        <v>136</v>
      </c>
      <c r="C271" t="s">
        <v>16</v>
      </c>
      <c r="D271" s="48">
        <v>42369</v>
      </c>
      <c r="E271" s="3">
        <v>4308300000</v>
      </c>
      <c r="F271" s="3">
        <v>2761200000</v>
      </c>
      <c r="G271" s="3">
        <f>Project_Data_NYSE[[#This Row],[ Total Revenue ]]-Project_Data_NYSE[[#This Row],[ Cost of Goods Sold ]]</f>
        <v>1547100000</v>
      </c>
      <c r="H271" s="3">
        <v>319000000</v>
      </c>
      <c r="I271" s="3">
        <v>0</v>
      </c>
      <c r="J271" s="3">
        <v>0</v>
      </c>
      <c r="K271" s="3">
        <f>Project_Data_NYSE[[#This Row],[Gross Profit]]-Project_Data_NYSE[[#This Row],[ Sales, General and Admin. ]]-Project_Data_NYSE[[#This Row],[ Research and Development ]]-Project_Data_NYSE[[#This Row],[ Other Operating Items ]]</f>
        <v>1228100000</v>
      </c>
      <c r="L271" t="s">
        <v>58</v>
      </c>
      <c r="M271" t="s">
        <v>137</v>
      </c>
      <c r="N271" s="31">
        <f>Project_Data_NYSE[[#This Row],[Gross Profit]]/Project_Data_NYSE[[#This Row],[ Total Revenue ]]</f>
        <v>0.35909755588050973</v>
      </c>
      <c r="O271" s="31">
        <f>Project_Data_NYSE[[#This Row],[Operating Profit]]/Project_Data_NYSE[[#This Row],[ Total Revenue ]]</f>
        <v>0.2850544298215073</v>
      </c>
      <c r="Q271" t="s">
        <v>396</v>
      </c>
    </row>
    <row r="272" spans="1:17" x14ac:dyDescent="0.2">
      <c r="A272">
        <v>294</v>
      </c>
      <c r="B272" t="s">
        <v>138</v>
      </c>
      <c r="C272" t="s">
        <v>11</v>
      </c>
      <c r="D272" s="48">
        <v>41274</v>
      </c>
      <c r="E272" s="3">
        <v>5513000000</v>
      </c>
      <c r="F272" s="3">
        <v>375000000</v>
      </c>
      <c r="G272" s="3">
        <f>Project_Data_NYSE[[#This Row],[ Total Revenue ]]-Project_Data_NYSE[[#This Row],[ Cost of Goods Sold ]]</f>
        <v>5138000000</v>
      </c>
      <c r="H272" s="3">
        <v>3380000000</v>
      </c>
      <c r="I272" s="3">
        <v>0</v>
      </c>
      <c r="J272" s="3">
        <v>490000000</v>
      </c>
      <c r="K272" s="3">
        <f>Project_Data_NYSE[[#This Row],[Gross Profit]]-Project_Data_NYSE[[#This Row],[ Sales, General and Admin. ]]-Project_Data_NYSE[[#This Row],[ Research and Development ]]-Project_Data_NYSE[[#This Row],[ Other Operating Items ]]</f>
        <v>1268000000</v>
      </c>
      <c r="L272" t="s">
        <v>46</v>
      </c>
      <c r="M272" t="s">
        <v>139</v>
      </c>
      <c r="N272" s="31">
        <f>Project_Data_NYSE[[#This Row],[Gross Profit]]/Project_Data_NYSE[[#This Row],[ Total Revenue ]]</f>
        <v>0.93197895882459636</v>
      </c>
      <c r="O272" s="31">
        <f>Project_Data_NYSE[[#This Row],[Operating Profit]]/Project_Data_NYSE[[#This Row],[ Total Revenue ]]</f>
        <v>0.23000181389443133</v>
      </c>
      <c r="Q272" t="s">
        <v>397</v>
      </c>
    </row>
    <row r="273" spans="1:17" x14ac:dyDescent="0.2">
      <c r="A273">
        <v>295</v>
      </c>
      <c r="B273" t="s">
        <v>138</v>
      </c>
      <c r="C273" t="s">
        <v>14</v>
      </c>
      <c r="D273" s="48">
        <v>41639</v>
      </c>
      <c r="E273" s="3">
        <v>5133000000</v>
      </c>
      <c r="F273" s="3">
        <v>216000000</v>
      </c>
      <c r="G273" s="3">
        <f>Project_Data_NYSE[[#This Row],[ Total Revenue ]]-Project_Data_NYSE[[#This Row],[ Cost of Goods Sold ]]</f>
        <v>4917000000</v>
      </c>
      <c r="H273" s="3">
        <v>3142000000</v>
      </c>
      <c r="I273" s="3">
        <v>0</v>
      </c>
      <c r="J273" s="3">
        <v>581000000</v>
      </c>
      <c r="K273" s="3">
        <f>Project_Data_NYSE[[#This Row],[Gross Profit]]-Project_Data_NYSE[[#This Row],[ Sales, General and Admin. ]]-Project_Data_NYSE[[#This Row],[ Research and Development ]]-Project_Data_NYSE[[#This Row],[ Other Operating Items ]]</f>
        <v>1194000000</v>
      </c>
      <c r="L273" t="s">
        <v>46</v>
      </c>
      <c r="M273" t="s">
        <v>139</v>
      </c>
      <c r="N273" s="31">
        <f>Project_Data_NYSE[[#This Row],[Gross Profit]]/Project_Data_NYSE[[#This Row],[ Total Revenue ]]</f>
        <v>0.95791934541203971</v>
      </c>
      <c r="O273" s="31">
        <f>Project_Data_NYSE[[#This Row],[Operating Profit]]/Project_Data_NYSE[[#This Row],[ Total Revenue ]]</f>
        <v>0.23261250730566921</v>
      </c>
      <c r="Q273" t="s">
        <v>398</v>
      </c>
    </row>
    <row r="274" spans="1:17" x14ac:dyDescent="0.2">
      <c r="A274">
        <v>296</v>
      </c>
      <c r="B274" t="s">
        <v>138</v>
      </c>
      <c r="C274" t="s">
        <v>15</v>
      </c>
      <c r="D274" s="48">
        <v>42004</v>
      </c>
      <c r="E274" s="3">
        <v>5342000000</v>
      </c>
      <c r="F274" s="3">
        <v>160000000</v>
      </c>
      <c r="G274" s="3">
        <f>Project_Data_NYSE[[#This Row],[ Total Revenue ]]-Project_Data_NYSE[[#This Row],[ Cost of Goods Sold ]]</f>
        <v>5182000000</v>
      </c>
      <c r="H274" s="3">
        <v>3247000000</v>
      </c>
      <c r="I274" s="3">
        <v>0</v>
      </c>
      <c r="J274" s="3">
        <v>464000000</v>
      </c>
      <c r="K274" s="3">
        <f>Project_Data_NYSE[[#This Row],[Gross Profit]]-Project_Data_NYSE[[#This Row],[ Sales, General and Admin. ]]-Project_Data_NYSE[[#This Row],[ Research and Development ]]-Project_Data_NYSE[[#This Row],[ Other Operating Items ]]</f>
        <v>1471000000</v>
      </c>
      <c r="L274" t="s">
        <v>46</v>
      </c>
      <c r="M274" t="s">
        <v>139</v>
      </c>
      <c r="N274" s="31">
        <f>Project_Data_NYSE[[#This Row],[Gross Profit]]/Project_Data_NYSE[[#This Row],[ Total Revenue ]]</f>
        <v>0.97004867090977165</v>
      </c>
      <c r="O274" s="31">
        <f>Project_Data_NYSE[[#This Row],[Operating Profit]]/Project_Data_NYSE[[#This Row],[ Total Revenue ]]</f>
        <v>0.27536503182328714</v>
      </c>
      <c r="Q274" t="s">
        <v>400</v>
      </c>
    </row>
    <row r="275" spans="1:17" x14ac:dyDescent="0.2">
      <c r="A275">
        <v>297</v>
      </c>
      <c r="B275" t="s">
        <v>138</v>
      </c>
      <c r="C275" t="s">
        <v>16</v>
      </c>
      <c r="D275" s="48">
        <v>42369</v>
      </c>
      <c r="E275" s="3">
        <v>5276000000</v>
      </c>
      <c r="F275" s="3">
        <v>237000000</v>
      </c>
      <c r="G275" s="3">
        <f>Project_Data_NYSE[[#This Row],[ Total Revenue ]]-Project_Data_NYSE[[#This Row],[ Cost of Goods Sold ]]</f>
        <v>5039000000</v>
      </c>
      <c r="H275" s="3">
        <v>3113000000</v>
      </c>
      <c r="I275" s="3">
        <v>0</v>
      </c>
      <c r="J275" s="3">
        <v>448000000</v>
      </c>
      <c r="K275" s="3">
        <f>Project_Data_NYSE[[#This Row],[Gross Profit]]-Project_Data_NYSE[[#This Row],[ Sales, General and Admin. ]]-Project_Data_NYSE[[#This Row],[ Research and Development ]]-Project_Data_NYSE[[#This Row],[ Other Operating Items ]]</f>
        <v>1478000000</v>
      </c>
      <c r="L275" t="s">
        <v>46</v>
      </c>
      <c r="M275" t="s">
        <v>139</v>
      </c>
      <c r="N275" s="31">
        <f>Project_Data_NYSE[[#This Row],[Gross Profit]]/Project_Data_NYSE[[#This Row],[ Total Revenue ]]</f>
        <v>0.95507960576194084</v>
      </c>
      <c r="O275" s="31">
        <f>Project_Data_NYSE[[#This Row],[Operating Profit]]/Project_Data_NYSE[[#This Row],[ Total Revenue ]]</f>
        <v>0.28013646702047007</v>
      </c>
      <c r="Q275" t="s">
        <v>401</v>
      </c>
    </row>
    <row r="276" spans="1:17" x14ac:dyDescent="0.2">
      <c r="A276">
        <v>298</v>
      </c>
      <c r="B276" t="s">
        <v>140</v>
      </c>
      <c r="C276" t="s">
        <v>11</v>
      </c>
      <c r="D276" s="48">
        <v>41274</v>
      </c>
      <c r="E276" s="3">
        <v>2921900000</v>
      </c>
      <c r="F276" s="3">
        <v>1630500000</v>
      </c>
      <c r="G276" s="3">
        <f>Project_Data_NYSE[[#This Row],[ Total Revenue ]]-Project_Data_NYSE[[#This Row],[ Cost of Goods Sold ]]</f>
        <v>1291400000</v>
      </c>
      <c r="H276" s="3">
        <v>746300000</v>
      </c>
      <c r="I276" s="3">
        <v>0</v>
      </c>
      <c r="J276" s="3">
        <v>0</v>
      </c>
      <c r="K276" s="3">
        <f>Project_Data_NYSE[[#This Row],[Gross Profit]]-Project_Data_NYSE[[#This Row],[ Sales, General and Admin. ]]-Project_Data_NYSE[[#This Row],[ Research and Development ]]-Project_Data_NYSE[[#This Row],[ Other Operating Items ]]</f>
        <v>545100000</v>
      </c>
      <c r="L276" t="s">
        <v>35</v>
      </c>
      <c r="M276" t="s">
        <v>141</v>
      </c>
      <c r="N276" s="31">
        <f>Project_Data_NYSE[[#This Row],[Gross Profit]]/Project_Data_NYSE[[#This Row],[ Total Revenue ]]</f>
        <v>0.44197268900373043</v>
      </c>
      <c r="O276" s="31">
        <f>Project_Data_NYSE[[#This Row],[Operating Profit]]/Project_Data_NYSE[[#This Row],[ Total Revenue ]]</f>
        <v>0.18655669256305829</v>
      </c>
      <c r="Q276" t="s">
        <v>402</v>
      </c>
    </row>
    <row r="277" spans="1:17" x14ac:dyDescent="0.2">
      <c r="A277">
        <v>299</v>
      </c>
      <c r="B277" t="s">
        <v>140</v>
      </c>
      <c r="C277" t="s">
        <v>14</v>
      </c>
      <c r="D277" s="48">
        <v>41639</v>
      </c>
      <c r="E277" s="3">
        <v>3194300000</v>
      </c>
      <c r="F277" s="3">
        <v>1756300000</v>
      </c>
      <c r="G277" s="3">
        <f>Project_Data_NYSE[[#This Row],[ Total Revenue ]]-Project_Data_NYSE[[#This Row],[ Cost of Goods Sold ]]</f>
        <v>1438000000</v>
      </c>
      <c r="H277" s="3">
        <v>815800000</v>
      </c>
      <c r="I277" s="3">
        <v>0</v>
      </c>
      <c r="J277" s="3">
        <v>0</v>
      </c>
      <c r="K277" s="3">
        <f>Project_Data_NYSE[[#This Row],[Gross Profit]]-Project_Data_NYSE[[#This Row],[ Sales, General and Admin. ]]-Project_Data_NYSE[[#This Row],[ Research and Development ]]-Project_Data_NYSE[[#This Row],[ Other Operating Items ]]</f>
        <v>622200000</v>
      </c>
      <c r="L277" t="s">
        <v>35</v>
      </c>
      <c r="M277" t="s">
        <v>141</v>
      </c>
      <c r="N277" s="31">
        <f>Project_Data_NYSE[[#This Row],[Gross Profit]]/Project_Data_NYSE[[#This Row],[ Total Revenue ]]</f>
        <v>0.45017687756315938</v>
      </c>
      <c r="O277" s="31">
        <f>Project_Data_NYSE[[#This Row],[Operating Profit]]/Project_Data_NYSE[[#This Row],[ Total Revenue ]]</f>
        <v>0.19478445981905268</v>
      </c>
      <c r="Q277" t="s">
        <v>403</v>
      </c>
    </row>
    <row r="278" spans="1:17" x14ac:dyDescent="0.2">
      <c r="A278">
        <v>300</v>
      </c>
      <c r="B278" t="s">
        <v>140</v>
      </c>
      <c r="C278" t="s">
        <v>15</v>
      </c>
      <c r="D278" s="48">
        <v>42004</v>
      </c>
      <c r="E278" s="3">
        <v>3297600000</v>
      </c>
      <c r="F278" s="3">
        <v>1844700000</v>
      </c>
      <c r="G278" s="3">
        <f>Project_Data_NYSE[[#This Row],[ Total Revenue ]]-Project_Data_NYSE[[#This Row],[ Cost of Goods Sold ]]</f>
        <v>1452900000</v>
      </c>
      <c r="H278" s="3">
        <v>811700000</v>
      </c>
      <c r="I278" s="3">
        <v>0</v>
      </c>
      <c r="J278" s="3">
        <v>0</v>
      </c>
      <c r="K278" s="3">
        <f>Project_Data_NYSE[[#This Row],[Gross Profit]]-Project_Data_NYSE[[#This Row],[ Sales, General and Admin. ]]-Project_Data_NYSE[[#This Row],[ Research and Development ]]-Project_Data_NYSE[[#This Row],[ Other Operating Items ]]</f>
        <v>641200000</v>
      </c>
      <c r="L278" t="s">
        <v>35</v>
      </c>
      <c r="M278" t="s">
        <v>141</v>
      </c>
      <c r="N278" s="31">
        <f>Project_Data_NYSE[[#This Row],[Gross Profit]]/Project_Data_NYSE[[#This Row],[ Total Revenue ]]</f>
        <v>0.44059315866084425</v>
      </c>
      <c r="O278" s="31">
        <f>Project_Data_NYSE[[#This Row],[Operating Profit]]/Project_Data_NYSE[[#This Row],[ Total Revenue ]]</f>
        <v>0.19444444444444445</v>
      </c>
      <c r="Q278" t="s">
        <v>404</v>
      </c>
    </row>
    <row r="279" spans="1:17" x14ac:dyDescent="0.2">
      <c r="A279">
        <v>301</v>
      </c>
      <c r="B279" t="s">
        <v>140</v>
      </c>
      <c r="C279" t="s">
        <v>16</v>
      </c>
      <c r="D279" s="48">
        <v>42369</v>
      </c>
      <c r="E279" s="3">
        <v>3394800000</v>
      </c>
      <c r="F279" s="3">
        <v>1883000000</v>
      </c>
      <c r="G279" s="3">
        <f>Project_Data_NYSE[[#This Row],[ Total Revenue ]]-Project_Data_NYSE[[#This Row],[ Cost of Goods Sold ]]</f>
        <v>1511800000</v>
      </c>
      <c r="H279" s="3">
        <v>837600000</v>
      </c>
      <c r="I279" s="3">
        <v>0</v>
      </c>
      <c r="J279" s="3">
        <v>0</v>
      </c>
      <c r="K279" s="3">
        <f>Project_Data_NYSE[[#This Row],[Gross Profit]]-Project_Data_NYSE[[#This Row],[ Sales, General and Admin. ]]-Project_Data_NYSE[[#This Row],[ Research and Development ]]-Project_Data_NYSE[[#This Row],[ Other Operating Items ]]</f>
        <v>674200000</v>
      </c>
      <c r="L279" t="s">
        <v>35</v>
      </c>
      <c r="M279" t="s">
        <v>141</v>
      </c>
      <c r="N279" s="31">
        <f>Project_Data_NYSE[[#This Row],[Gross Profit]]/Project_Data_NYSE[[#This Row],[ Total Revenue ]]</f>
        <v>0.44532814893366324</v>
      </c>
      <c r="O279" s="31">
        <f>Project_Data_NYSE[[#This Row],[Operating Profit]]/Project_Data_NYSE[[#This Row],[ Total Revenue ]]</f>
        <v>0.19859785554377282</v>
      </c>
      <c r="Q279" t="s">
        <v>405</v>
      </c>
    </row>
    <row r="280" spans="1:17" x14ac:dyDescent="0.2">
      <c r="A280">
        <v>302</v>
      </c>
      <c r="B280" t="s">
        <v>142</v>
      </c>
      <c r="C280" t="s">
        <v>11</v>
      </c>
      <c r="D280" s="48">
        <v>41274</v>
      </c>
      <c r="E280" s="3">
        <v>12316000000</v>
      </c>
      <c r="F280" s="3">
        <v>7081000000</v>
      </c>
      <c r="G280" s="3">
        <f>Project_Data_NYSE[[#This Row],[ Total Revenue ]]-Project_Data_NYSE[[#This Row],[ Cost of Goods Sold ]]</f>
        <v>5235000000</v>
      </c>
      <c r="H280" s="3">
        <v>723000000</v>
      </c>
      <c r="I280" s="3">
        <v>0</v>
      </c>
      <c r="J280" s="3">
        <v>2811000000</v>
      </c>
      <c r="K280" s="3">
        <f>Project_Data_NYSE[[#This Row],[Gross Profit]]-Project_Data_NYSE[[#This Row],[ Sales, General and Admin. ]]-Project_Data_NYSE[[#This Row],[ Research and Development ]]-Project_Data_NYSE[[#This Row],[ Other Operating Items ]]</f>
        <v>1701000000</v>
      </c>
      <c r="L280" t="s">
        <v>82</v>
      </c>
      <c r="M280" t="s">
        <v>143</v>
      </c>
      <c r="N280" s="31">
        <f>Project_Data_NYSE[[#This Row],[Gross Profit]]/Project_Data_NYSE[[#This Row],[ Total Revenue ]]</f>
        <v>0.42505683663527122</v>
      </c>
      <c r="O280" s="31">
        <f>Project_Data_NYSE[[#This Row],[Operating Profit]]/Project_Data_NYSE[[#This Row],[ Total Revenue ]]</f>
        <v>0.13811302370899642</v>
      </c>
      <c r="Q280" t="s">
        <v>406</v>
      </c>
    </row>
    <row r="281" spans="1:17" x14ac:dyDescent="0.2">
      <c r="A281">
        <v>303</v>
      </c>
      <c r="B281" t="s">
        <v>142</v>
      </c>
      <c r="C281" t="s">
        <v>14</v>
      </c>
      <c r="D281" s="48">
        <v>41639</v>
      </c>
      <c r="E281" s="3">
        <v>19080000000</v>
      </c>
      <c r="F281" s="3">
        <v>12930000000</v>
      </c>
      <c r="G281" s="3">
        <f>Project_Data_NYSE[[#This Row],[ Total Revenue ]]-Project_Data_NYSE[[#This Row],[ Cost of Goods Sold ]]</f>
        <v>6150000000</v>
      </c>
      <c r="H281" s="3">
        <v>686000000</v>
      </c>
      <c r="I281" s="3">
        <v>0</v>
      </c>
      <c r="J281" s="3">
        <v>2903000000</v>
      </c>
      <c r="K281" s="3">
        <f>Project_Data_NYSE[[#This Row],[Gross Profit]]-Project_Data_NYSE[[#This Row],[ Sales, General and Admin. ]]-Project_Data_NYSE[[#This Row],[ Research and Development ]]-Project_Data_NYSE[[#This Row],[ Other Operating Items ]]</f>
        <v>2561000000</v>
      </c>
      <c r="L281" t="s">
        <v>82</v>
      </c>
      <c r="M281" t="s">
        <v>143</v>
      </c>
      <c r="N281" s="31">
        <f>Project_Data_NYSE[[#This Row],[Gross Profit]]/Project_Data_NYSE[[#This Row],[ Total Revenue ]]</f>
        <v>0.32232704402515722</v>
      </c>
      <c r="O281" s="31">
        <f>Project_Data_NYSE[[#This Row],[Operating Profit]]/Project_Data_NYSE[[#This Row],[ Total Revenue ]]</f>
        <v>0.13422431865828091</v>
      </c>
      <c r="Q281" t="s">
        <v>407</v>
      </c>
    </row>
    <row r="282" spans="1:17" x14ac:dyDescent="0.2">
      <c r="A282">
        <v>304</v>
      </c>
      <c r="B282" t="s">
        <v>142</v>
      </c>
      <c r="C282" t="s">
        <v>15</v>
      </c>
      <c r="D282" s="48">
        <v>42004</v>
      </c>
      <c r="E282" s="3">
        <v>23125000000</v>
      </c>
      <c r="F282" s="3">
        <v>16049000000</v>
      </c>
      <c r="G282" s="3">
        <f>Project_Data_NYSE[[#This Row],[ Total Revenue ]]-Project_Data_NYSE[[#This Row],[ Cost of Goods Sold ]]</f>
        <v>7076000000</v>
      </c>
      <c r="H282" s="3">
        <v>554000000</v>
      </c>
      <c r="I282" s="3">
        <v>0</v>
      </c>
      <c r="J282" s="3">
        <v>2915000000</v>
      </c>
      <c r="K282" s="3">
        <f>Project_Data_NYSE[[#This Row],[Gross Profit]]-Project_Data_NYSE[[#This Row],[ Sales, General and Admin. ]]-Project_Data_NYSE[[#This Row],[ Research and Development ]]-Project_Data_NYSE[[#This Row],[ Other Operating Items ]]</f>
        <v>3607000000</v>
      </c>
      <c r="L282" t="s">
        <v>82</v>
      </c>
      <c r="M282" t="s">
        <v>143</v>
      </c>
      <c r="N282" s="31">
        <f>Project_Data_NYSE[[#This Row],[Gross Profit]]/Project_Data_NYSE[[#This Row],[ Total Revenue ]]</f>
        <v>0.30598918918918921</v>
      </c>
      <c r="O282" s="31">
        <f>Project_Data_NYSE[[#This Row],[Operating Profit]]/Project_Data_NYSE[[#This Row],[ Total Revenue ]]</f>
        <v>0.15597837837837839</v>
      </c>
      <c r="Q282" t="s">
        <v>408</v>
      </c>
    </row>
    <row r="283" spans="1:17" x14ac:dyDescent="0.2">
      <c r="A283">
        <v>305</v>
      </c>
      <c r="B283" t="s">
        <v>142</v>
      </c>
      <c r="C283" t="s">
        <v>16</v>
      </c>
      <c r="D283" s="48">
        <v>42369</v>
      </c>
      <c r="E283" s="3">
        <v>12764000000</v>
      </c>
      <c r="F283" s="3">
        <v>10295000000</v>
      </c>
      <c r="G283" s="3">
        <f>Project_Data_NYSE[[#This Row],[ Total Revenue ]]-Project_Data_NYSE[[#This Row],[ Cost of Goods Sold ]]</f>
        <v>2469000000</v>
      </c>
      <c r="H283" s="3">
        <v>334000000</v>
      </c>
      <c r="I283" s="3">
        <v>0</v>
      </c>
      <c r="J283" s="3">
        <v>2229000000</v>
      </c>
      <c r="K283" s="3">
        <f>Project_Data_NYSE[[#This Row],[Gross Profit]]-Project_Data_NYSE[[#This Row],[ Sales, General and Admin. ]]-Project_Data_NYSE[[#This Row],[ Research and Development ]]-Project_Data_NYSE[[#This Row],[ Other Operating Items ]]</f>
        <v>-94000000</v>
      </c>
      <c r="L283" t="s">
        <v>82</v>
      </c>
      <c r="M283" t="s">
        <v>143</v>
      </c>
      <c r="N283" s="31">
        <f>Project_Data_NYSE[[#This Row],[Gross Profit]]/Project_Data_NYSE[[#This Row],[ Total Revenue ]]</f>
        <v>0.1934346599811971</v>
      </c>
      <c r="O283" s="31">
        <f>Project_Data_NYSE[[#This Row],[Operating Profit]]/Project_Data_NYSE[[#This Row],[ Total Revenue ]]</f>
        <v>-7.3644625509244749E-3</v>
      </c>
      <c r="Q283" t="s">
        <v>410</v>
      </c>
    </row>
    <row r="284" spans="1:17" x14ac:dyDescent="0.2">
      <c r="A284">
        <v>306</v>
      </c>
      <c r="B284" t="s">
        <v>144</v>
      </c>
      <c r="C284" t="s">
        <v>11</v>
      </c>
      <c r="D284" s="48">
        <v>41274</v>
      </c>
      <c r="E284" s="3">
        <v>11359113000</v>
      </c>
      <c r="F284" s="3">
        <v>9641542000</v>
      </c>
      <c r="G284" s="3">
        <f>Project_Data_NYSE[[#This Row],[ Total Revenue ]]-Project_Data_NYSE[[#This Row],[ Cost of Goods Sold ]]</f>
        <v>1717571000</v>
      </c>
      <c r="H284" s="3">
        <v>1042251000</v>
      </c>
      <c r="I284" s="3">
        <v>0</v>
      </c>
      <c r="J284" s="3">
        <v>0</v>
      </c>
      <c r="K284" s="3">
        <f>Project_Data_NYSE[[#This Row],[Gross Profit]]-Project_Data_NYSE[[#This Row],[ Sales, General and Admin. ]]-Project_Data_NYSE[[#This Row],[ Research and Development ]]-Project_Data_NYSE[[#This Row],[ Other Operating Items ]]</f>
        <v>675320000</v>
      </c>
      <c r="L284" t="s">
        <v>12</v>
      </c>
      <c r="M284" t="s">
        <v>145</v>
      </c>
      <c r="N284" s="31">
        <f>Project_Data_NYSE[[#This Row],[Gross Profit]]/Project_Data_NYSE[[#This Row],[ Total Revenue ]]</f>
        <v>0.15120643662933894</v>
      </c>
      <c r="O284" s="31">
        <f>Project_Data_NYSE[[#This Row],[Operating Profit]]/Project_Data_NYSE[[#This Row],[ Total Revenue ]]</f>
        <v>5.9451825155714184E-2</v>
      </c>
      <c r="Q284" t="s">
        <v>411</v>
      </c>
    </row>
    <row r="285" spans="1:17" x14ac:dyDescent="0.2">
      <c r="A285">
        <v>307</v>
      </c>
      <c r="B285" t="s">
        <v>144</v>
      </c>
      <c r="C285" t="s">
        <v>14</v>
      </c>
      <c r="D285" s="48">
        <v>41639</v>
      </c>
      <c r="E285" s="3">
        <v>12752076000</v>
      </c>
      <c r="F285" s="3">
        <v>10915981000</v>
      </c>
      <c r="G285" s="3">
        <f>Project_Data_NYSE[[#This Row],[ Total Revenue ]]-Project_Data_NYSE[[#This Row],[ Cost of Goods Sold ]]</f>
        <v>1836095000</v>
      </c>
      <c r="H285" s="3">
        <v>1153445000</v>
      </c>
      <c r="I285" s="3">
        <v>0</v>
      </c>
      <c r="J285" s="3">
        <v>0</v>
      </c>
      <c r="K285" s="3">
        <f>Project_Data_NYSE[[#This Row],[Gross Profit]]-Project_Data_NYSE[[#This Row],[ Sales, General and Admin. ]]-Project_Data_NYSE[[#This Row],[ Research and Development ]]-Project_Data_NYSE[[#This Row],[ Other Operating Items ]]</f>
        <v>682650000</v>
      </c>
      <c r="L285" t="s">
        <v>12</v>
      </c>
      <c r="M285" t="s">
        <v>145</v>
      </c>
      <c r="N285" s="31">
        <f>Project_Data_NYSE[[#This Row],[Gross Profit]]/Project_Data_NYSE[[#This Row],[ Total Revenue ]]</f>
        <v>0.14398400699619418</v>
      </c>
      <c r="O285" s="31">
        <f>Project_Data_NYSE[[#This Row],[Operating Profit]]/Project_Data_NYSE[[#This Row],[ Total Revenue ]]</f>
        <v>5.3532460126492348E-2</v>
      </c>
      <c r="Q285" t="s">
        <v>412</v>
      </c>
    </row>
    <row r="286" spans="1:17" x14ac:dyDescent="0.2">
      <c r="A286">
        <v>308</v>
      </c>
      <c r="B286" t="s">
        <v>144</v>
      </c>
      <c r="C286" t="s">
        <v>15</v>
      </c>
      <c r="D286" s="48">
        <v>42004</v>
      </c>
      <c r="E286" s="3">
        <v>13470067000</v>
      </c>
      <c r="F286" s="3">
        <v>11462415000</v>
      </c>
      <c r="G286" s="3">
        <f>Project_Data_NYSE[[#This Row],[ Total Revenue ]]-Project_Data_NYSE[[#This Row],[ Cost of Goods Sold ]]</f>
        <v>2007652000</v>
      </c>
      <c r="H286" s="3">
        <v>1259234000</v>
      </c>
      <c r="I286" s="3">
        <v>0</v>
      </c>
      <c r="J286" s="3">
        <v>0</v>
      </c>
      <c r="K286" s="3">
        <f>Project_Data_NYSE[[#This Row],[Gross Profit]]-Project_Data_NYSE[[#This Row],[ Sales, General and Admin. ]]-Project_Data_NYSE[[#This Row],[ Research and Development ]]-Project_Data_NYSE[[#This Row],[ Other Operating Items ]]</f>
        <v>748418000</v>
      </c>
      <c r="L286" t="s">
        <v>12</v>
      </c>
      <c r="M286" t="s">
        <v>145</v>
      </c>
      <c r="N286" s="31">
        <f>Project_Data_NYSE[[#This Row],[Gross Profit]]/Project_Data_NYSE[[#This Row],[ Total Revenue ]]</f>
        <v>0.14904543533450873</v>
      </c>
      <c r="O286" s="31">
        <f>Project_Data_NYSE[[#This Row],[Operating Profit]]/Project_Data_NYSE[[#This Row],[ Total Revenue ]]</f>
        <v>5.5561564764302955E-2</v>
      </c>
      <c r="Q286" t="s">
        <v>413</v>
      </c>
    </row>
    <row r="287" spans="1:17" x14ac:dyDescent="0.2">
      <c r="A287">
        <v>309</v>
      </c>
      <c r="B287" t="s">
        <v>144</v>
      </c>
      <c r="C287" t="s">
        <v>16</v>
      </c>
      <c r="D287" s="48">
        <v>42369</v>
      </c>
      <c r="E287" s="3">
        <v>13476084000</v>
      </c>
      <c r="F287" s="3">
        <v>11207604000</v>
      </c>
      <c r="G287" s="3">
        <f>Project_Data_NYSE[[#This Row],[ Total Revenue ]]-Project_Data_NYSE[[#This Row],[ Cost of Goods Sold ]]</f>
        <v>2268480000</v>
      </c>
      <c r="H287" s="3">
        <v>1410170000</v>
      </c>
      <c r="I287" s="3">
        <v>0</v>
      </c>
      <c r="J287" s="3">
        <v>0</v>
      </c>
      <c r="K287" s="3">
        <f>Project_Data_NYSE[[#This Row],[Gross Profit]]-Project_Data_NYSE[[#This Row],[ Sales, General and Admin. ]]-Project_Data_NYSE[[#This Row],[ Research and Development ]]-Project_Data_NYSE[[#This Row],[ Other Operating Items ]]</f>
        <v>858310000</v>
      </c>
      <c r="L287" t="s">
        <v>12</v>
      </c>
      <c r="M287" t="s">
        <v>145</v>
      </c>
      <c r="N287" s="31">
        <f>Project_Data_NYSE[[#This Row],[Gross Profit]]/Project_Data_NYSE[[#This Row],[ Total Revenue ]]</f>
        <v>0.16833376817775847</v>
      </c>
      <c r="O287" s="31">
        <f>Project_Data_NYSE[[#This Row],[Operating Profit]]/Project_Data_NYSE[[#This Row],[ Total Revenue ]]</f>
        <v>6.36913512857296E-2</v>
      </c>
      <c r="Q287" t="s">
        <v>414</v>
      </c>
    </row>
    <row r="288" spans="1:17" x14ac:dyDescent="0.2">
      <c r="A288">
        <v>310</v>
      </c>
      <c r="B288" t="s">
        <v>146</v>
      </c>
      <c r="C288" t="s">
        <v>11</v>
      </c>
      <c r="D288" s="48">
        <v>41639</v>
      </c>
      <c r="E288" s="3">
        <v>8155000000</v>
      </c>
      <c r="F288" s="3">
        <v>5345000000</v>
      </c>
      <c r="G288" s="3">
        <f>Project_Data_NYSE[[#This Row],[ Total Revenue ]]-Project_Data_NYSE[[#This Row],[ Cost of Goods Sold ]]</f>
        <v>2810000000</v>
      </c>
      <c r="H288" s="3">
        <v>47000000</v>
      </c>
      <c r="I288" s="3">
        <v>0</v>
      </c>
      <c r="J288" s="3">
        <v>1854000000</v>
      </c>
      <c r="K288" s="3">
        <f>Project_Data_NYSE[[#This Row],[Gross Profit]]-Project_Data_NYSE[[#This Row],[ Sales, General and Admin. ]]-Project_Data_NYSE[[#This Row],[ Research and Development ]]-Project_Data_NYSE[[#This Row],[ Other Operating Items ]]</f>
        <v>909000000</v>
      </c>
      <c r="L288" t="s">
        <v>18</v>
      </c>
      <c r="M288" t="s">
        <v>147</v>
      </c>
      <c r="N288" s="31">
        <f>Project_Data_NYSE[[#This Row],[Gross Profit]]/Project_Data_NYSE[[#This Row],[ Total Revenue ]]</f>
        <v>0.34457388105456777</v>
      </c>
      <c r="O288" s="31">
        <f>Project_Data_NYSE[[#This Row],[Operating Profit]]/Project_Data_NYSE[[#This Row],[ Total Revenue ]]</f>
        <v>0.1114653586756591</v>
      </c>
      <c r="Q288" t="s">
        <v>415</v>
      </c>
    </row>
    <row r="289" spans="1:17" x14ac:dyDescent="0.2">
      <c r="A289">
        <v>311</v>
      </c>
      <c r="B289" t="s">
        <v>146</v>
      </c>
      <c r="C289" t="s">
        <v>14</v>
      </c>
      <c r="D289" s="48">
        <v>42004</v>
      </c>
      <c r="E289" s="3">
        <v>9108000000</v>
      </c>
      <c r="F289" s="3">
        <v>5973000000</v>
      </c>
      <c r="G289" s="3">
        <f>Project_Data_NYSE[[#This Row],[ Total Revenue ]]-Project_Data_NYSE[[#This Row],[ Cost of Goods Sold ]]</f>
        <v>3135000000</v>
      </c>
      <c r="H289" s="3">
        <v>62000000</v>
      </c>
      <c r="I289" s="3">
        <v>0</v>
      </c>
      <c r="J289" s="3">
        <v>2102000000</v>
      </c>
      <c r="K289" s="3">
        <f>Project_Data_NYSE[[#This Row],[Gross Profit]]-Project_Data_NYSE[[#This Row],[ Sales, General and Admin. ]]-Project_Data_NYSE[[#This Row],[ Research and Development ]]-Project_Data_NYSE[[#This Row],[ Other Operating Items ]]</f>
        <v>971000000</v>
      </c>
      <c r="L289" t="s">
        <v>18</v>
      </c>
      <c r="M289" t="s">
        <v>147</v>
      </c>
      <c r="N289" s="31">
        <f>Project_Data_NYSE[[#This Row],[Gross Profit]]/Project_Data_NYSE[[#This Row],[ Total Revenue ]]</f>
        <v>0.34420289855072461</v>
      </c>
      <c r="O289" s="31">
        <f>Project_Data_NYSE[[#This Row],[Operating Profit]]/Project_Data_NYSE[[#This Row],[ Total Revenue ]]</f>
        <v>0.10660957400087835</v>
      </c>
      <c r="Q289" t="s">
        <v>416</v>
      </c>
    </row>
    <row r="290" spans="1:17" x14ac:dyDescent="0.2">
      <c r="A290">
        <v>312</v>
      </c>
      <c r="B290" t="s">
        <v>146</v>
      </c>
      <c r="C290" t="s">
        <v>15</v>
      </c>
      <c r="D290" s="48">
        <v>42369</v>
      </c>
      <c r="E290" s="3">
        <v>9754000000</v>
      </c>
      <c r="F290" s="3">
        <v>6426000000</v>
      </c>
      <c r="G290" s="3">
        <f>Project_Data_NYSE[[#This Row],[ Total Revenue ]]-Project_Data_NYSE[[#This Row],[ Cost of Goods Sold ]]</f>
        <v>3328000000</v>
      </c>
      <c r="H290" s="3">
        <v>89000000</v>
      </c>
      <c r="I290" s="3">
        <v>0</v>
      </c>
      <c r="J290" s="3">
        <v>2125000000</v>
      </c>
      <c r="K290" s="3">
        <f>Project_Data_NYSE[[#This Row],[Gross Profit]]-Project_Data_NYSE[[#This Row],[ Sales, General and Admin. ]]-Project_Data_NYSE[[#This Row],[ Research and Development ]]-Project_Data_NYSE[[#This Row],[ Other Operating Items ]]</f>
        <v>1114000000</v>
      </c>
      <c r="L290" t="s">
        <v>18</v>
      </c>
      <c r="M290" t="s">
        <v>147</v>
      </c>
      <c r="N290" s="31">
        <f>Project_Data_NYSE[[#This Row],[Gross Profit]]/Project_Data_NYSE[[#This Row],[ Total Revenue ]]</f>
        <v>0.34119335657166289</v>
      </c>
      <c r="O290" s="31">
        <f>Project_Data_NYSE[[#This Row],[Operating Profit]]/Project_Data_NYSE[[#This Row],[ Total Revenue ]]</f>
        <v>0.11420955505433668</v>
      </c>
      <c r="Q290" t="s">
        <v>417</v>
      </c>
    </row>
    <row r="291" spans="1:17" x14ac:dyDescent="0.2">
      <c r="A291">
        <v>313</v>
      </c>
      <c r="B291" t="s">
        <v>146</v>
      </c>
      <c r="C291" t="s">
        <v>16</v>
      </c>
      <c r="D291" s="48">
        <v>42735</v>
      </c>
      <c r="E291" s="3">
        <v>29003000000</v>
      </c>
      <c r="F291" s="3">
        <v>18655000000</v>
      </c>
      <c r="G291" s="3">
        <f>Project_Data_NYSE[[#This Row],[ Total Revenue ]]-Project_Data_NYSE[[#This Row],[ Cost of Goods Sold ]]</f>
        <v>10348000000</v>
      </c>
      <c r="H291" s="3">
        <v>86000000</v>
      </c>
      <c r="I291" s="3">
        <v>0</v>
      </c>
      <c r="J291" s="3">
        <v>6907000000</v>
      </c>
      <c r="K291" s="3">
        <f>Project_Data_NYSE[[#This Row],[Gross Profit]]-Project_Data_NYSE[[#This Row],[ Sales, General and Admin. ]]-Project_Data_NYSE[[#This Row],[ Research and Development ]]-Project_Data_NYSE[[#This Row],[ Other Operating Items ]]</f>
        <v>3355000000</v>
      </c>
      <c r="L291" t="s">
        <v>18</v>
      </c>
      <c r="M291" t="s">
        <v>147</v>
      </c>
      <c r="N291" s="31">
        <f>Project_Data_NYSE[[#This Row],[Gross Profit]]/Project_Data_NYSE[[#This Row],[ Total Revenue ]]</f>
        <v>0.3567906768265352</v>
      </c>
      <c r="O291" s="31">
        <f>Project_Data_NYSE[[#This Row],[Operating Profit]]/Project_Data_NYSE[[#This Row],[ Total Revenue ]]</f>
        <v>0.11567768851498121</v>
      </c>
      <c r="Q291" t="s">
        <v>419</v>
      </c>
    </row>
    <row r="292" spans="1:17" x14ac:dyDescent="0.2">
      <c r="A292">
        <v>454</v>
      </c>
      <c r="B292" t="s">
        <v>197</v>
      </c>
      <c r="C292" t="s">
        <v>15</v>
      </c>
      <c r="D292" s="48">
        <v>42004</v>
      </c>
      <c r="E292" s="3">
        <v>7435000000</v>
      </c>
      <c r="F292" s="3">
        <v>4637000000</v>
      </c>
      <c r="G292" s="3">
        <f>Project_Data_NYSE[[#This Row],[ Total Revenue ]]-Project_Data_NYSE[[#This Row],[ Cost of Goods Sold ]]</f>
        <v>2798000000</v>
      </c>
      <c r="H292" s="3">
        <v>1721000000</v>
      </c>
      <c r="I292" s="3">
        <v>0</v>
      </c>
      <c r="J292" s="3">
        <v>94000000</v>
      </c>
      <c r="K292" s="3">
        <f>Project_Data_NYSE[[#This Row],[Gross Profit]]-Project_Data_NYSE[[#This Row],[ Sales, General and Admin. ]]-Project_Data_NYSE[[#This Row],[ Research and Development ]]-Project_Data_NYSE[[#This Row],[ Other Operating Items ]]</f>
        <v>983000000</v>
      </c>
      <c r="L292" t="s">
        <v>24</v>
      </c>
      <c r="M292" t="s">
        <v>198</v>
      </c>
      <c r="N292" s="31">
        <f>Project_Data_NYSE[[#This Row],[Gross Profit]]/Project_Data_NYSE[[#This Row],[ Total Revenue ]]</f>
        <v>0.37632817753866848</v>
      </c>
      <c r="O292" s="31">
        <f>Project_Data_NYSE[[#This Row],[Operating Profit]]/Project_Data_NYSE[[#This Row],[ Total Revenue ]]</f>
        <v>0.13221250840618695</v>
      </c>
      <c r="Q292" t="s">
        <v>420</v>
      </c>
    </row>
    <row r="293" spans="1:17" x14ac:dyDescent="0.2">
      <c r="A293">
        <v>1283</v>
      </c>
      <c r="B293" t="s">
        <v>443</v>
      </c>
      <c r="C293" t="s">
        <v>16</v>
      </c>
      <c r="D293" s="48">
        <v>42372</v>
      </c>
      <c r="E293" s="3">
        <v>2262359000</v>
      </c>
      <c r="F293" s="3">
        <v>1237859000</v>
      </c>
      <c r="G293" s="3">
        <f>Project_Data_NYSE[[#This Row],[ Total Revenue ]]-Project_Data_NYSE[[#This Row],[ Cost of Goods Sold ]]</f>
        <v>1024500000</v>
      </c>
      <c r="H293" s="3">
        <v>598848000</v>
      </c>
      <c r="I293" s="3">
        <v>125928000</v>
      </c>
      <c r="J293" s="3">
        <v>0</v>
      </c>
      <c r="K293" s="3">
        <f>Project_Data_NYSE[[#This Row],[Gross Profit]]-Project_Data_NYSE[[#This Row],[ Sales, General and Admin. ]]-Project_Data_NYSE[[#This Row],[ Research and Development ]]-Project_Data_NYSE[[#This Row],[ Other Operating Items ]]</f>
        <v>299724000</v>
      </c>
      <c r="L293" t="s">
        <v>24</v>
      </c>
      <c r="M293" t="s">
        <v>29</v>
      </c>
      <c r="N293" s="31">
        <f>Project_Data_NYSE[[#This Row],[Gross Profit]]/Project_Data_NYSE[[#This Row],[ Total Revenue ]]</f>
        <v>0.45284590111472139</v>
      </c>
      <c r="O293" s="31">
        <f>Project_Data_NYSE[[#This Row],[Operating Profit]]/Project_Data_NYSE[[#This Row],[ Total Revenue ]]</f>
        <v>0.13248295252875428</v>
      </c>
      <c r="Q293" t="s">
        <v>422</v>
      </c>
    </row>
    <row r="294" spans="1:17" x14ac:dyDescent="0.2">
      <c r="A294">
        <v>777</v>
      </c>
      <c r="B294" t="s">
        <v>298</v>
      </c>
      <c r="C294" t="s">
        <v>14</v>
      </c>
      <c r="D294" s="48">
        <v>41909</v>
      </c>
      <c r="E294" s="3">
        <v>2530700000</v>
      </c>
      <c r="F294" s="3">
        <v>1285200000</v>
      </c>
      <c r="G294" s="3">
        <f>Project_Data_NYSE[[#This Row],[ Total Revenue ]]-Project_Data_NYSE[[#This Row],[ Cost of Goods Sold ]]</f>
        <v>1245500000</v>
      </c>
      <c r="H294" s="3">
        <v>591500000</v>
      </c>
      <c r="I294" s="3">
        <v>203200000</v>
      </c>
      <c r="J294" s="3">
        <v>113800000</v>
      </c>
      <c r="K294" s="3">
        <f>Project_Data_NYSE[[#This Row],[Gross Profit]]-Project_Data_NYSE[[#This Row],[ Sales, General and Admin. ]]-Project_Data_NYSE[[#This Row],[ Research and Development ]]-Project_Data_NYSE[[#This Row],[ Other Operating Items ]]</f>
        <v>337000000</v>
      </c>
      <c r="L294" t="s">
        <v>24</v>
      </c>
      <c r="M294" t="s">
        <v>29</v>
      </c>
      <c r="N294" s="31">
        <f>Project_Data_NYSE[[#This Row],[Gross Profit]]/Project_Data_NYSE[[#This Row],[ Total Revenue ]]</f>
        <v>0.49215632038566404</v>
      </c>
      <c r="O294" s="31">
        <f>Project_Data_NYSE[[#This Row],[Operating Profit]]/Project_Data_NYSE[[#This Row],[ Total Revenue ]]</f>
        <v>0.13316473702928044</v>
      </c>
      <c r="Q294" t="s">
        <v>423</v>
      </c>
    </row>
    <row r="295" spans="1:17" x14ac:dyDescent="0.2">
      <c r="A295">
        <v>1749</v>
      </c>
      <c r="B295" t="s">
        <v>567</v>
      </c>
      <c r="C295" t="s">
        <v>11</v>
      </c>
      <c r="D295" s="48">
        <v>41274</v>
      </c>
      <c r="E295" s="3">
        <v>2928429000</v>
      </c>
      <c r="F295" s="3">
        <v>1372042000</v>
      </c>
      <c r="G295" s="3">
        <f>Project_Data_NYSE[[#This Row],[ Total Revenue ]]-Project_Data_NYSE[[#This Row],[ Cost of Goods Sold ]]</f>
        <v>1556387000</v>
      </c>
      <c r="H295" s="3">
        <v>1148731000</v>
      </c>
      <c r="I295" s="3">
        <v>0</v>
      </c>
      <c r="J295" s="3">
        <v>0</v>
      </c>
      <c r="K295" s="3">
        <f>Project_Data_NYSE[[#This Row],[Gross Profit]]-Project_Data_NYSE[[#This Row],[ Sales, General and Admin. ]]-Project_Data_NYSE[[#This Row],[ Research and Development ]]-Project_Data_NYSE[[#This Row],[ Other Operating Items ]]</f>
        <v>407656000</v>
      </c>
      <c r="L295" t="s">
        <v>24</v>
      </c>
      <c r="M295" t="s">
        <v>165</v>
      </c>
      <c r="N295" s="31">
        <f>Project_Data_NYSE[[#This Row],[Gross Profit]]/Project_Data_NYSE[[#This Row],[ Total Revenue ]]</f>
        <v>0.53147506734839733</v>
      </c>
      <c r="O295" s="31">
        <f>Project_Data_NYSE[[#This Row],[Operating Profit]]/Project_Data_NYSE[[#This Row],[ Total Revenue ]]</f>
        <v>0.13920637993955121</v>
      </c>
      <c r="Q295" t="s">
        <v>424</v>
      </c>
    </row>
    <row r="296" spans="1:17" x14ac:dyDescent="0.2">
      <c r="A296">
        <v>318</v>
      </c>
      <c r="B296" t="s">
        <v>149</v>
      </c>
      <c r="C296" t="s">
        <v>11</v>
      </c>
      <c r="D296" s="48">
        <v>41274</v>
      </c>
      <c r="E296" s="3">
        <v>4111000000</v>
      </c>
      <c r="F296" s="3">
        <v>3477000000</v>
      </c>
      <c r="G296" s="3">
        <f>Project_Data_NYSE[[#This Row],[ Total Revenue ]]-Project_Data_NYSE[[#This Row],[ Cost of Goods Sold ]]</f>
        <v>634000000</v>
      </c>
      <c r="H296" s="3">
        <v>0</v>
      </c>
      <c r="I296" s="3">
        <v>0</v>
      </c>
      <c r="J296" s="3">
        <v>14000000</v>
      </c>
      <c r="K296" s="3">
        <f>Project_Data_NYSE[[#This Row],[Gross Profit]]-Project_Data_NYSE[[#This Row],[ Sales, General and Admin. ]]-Project_Data_NYSE[[#This Row],[ Research and Development ]]-Project_Data_NYSE[[#This Row],[ Other Operating Items ]]</f>
        <v>620000000</v>
      </c>
      <c r="L296" t="s">
        <v>46</v>
      </c>
      <c r="M296" t="s">
        <v>49</v>
      </c>
      <c r="N296" s="31">
        <f>Project_Data_NYSE[[#This Row],[Gross Profit]]/Project_Data_NYSE[[#This Row],[ Total Revenue ]]</f>
        <v>0.15422038433471175</v>
      </c>
      <c r="O296" s="31">
        <f>Project_Data_NYSE[[#This Row],[Operating Profit]]/Project_Data_NYSE[[#This Row],[ Total Revenue ]]</f>
        <v>0.15081488688883482</v>
      </c>
      <c r="Q296" t="s">
        <v>425</v>
      </c>
    </row>
    <row r="297" spans="1:17" x14ac:dyDescent="0.2">
      <c r="A297">
        <v>319</v>
      </c>
      <c r="B297" t="s">
        <v>149</v>
      </c>
      <c r="C297" t="s">
        <v>14</v>
      </c>
      <c r="D297" s="48">
        <v>41639</v>
      </c>
      <c r="E297" s="3">
        <v>4531000000</v>
      </c>
      <c r="F297" s="3">
        <v>3748000000</v>
      </c>
      <c r="G297" s="3">
        <f>Project_Data_NYSE[[#This Row],[ Total Revenue ]]-Project_Data_NYSE[[#This Row],[ Cost of Goods Sold ]]</f>
        <v>783000000</v>
      </c>
      <c r="H297" s="3">
        <v>0</v>
      </c>
      <c r="I297" s="3">
        <v>0</v>
      </c>
      <c r="J297" s="3">
        <v>15000000</v>
      </c>
      <c r="K297" s="3">
        <f>Project_Data_NYSE[[#This Row],[Gross Profit]]-Project_Data_NYSE[[#This Row],[ Sales, General and Admin. ]]-Project_Data_NYSE[[#This Row],[ Research and Development ]]-Project_Data_NYSE[[#This Row],[ Other Operating Items ]]</f>
        <v>768000000</v>
      </c>
      <c r="L297" t="s">
        <v>46</v>
      </c>
      <c r="M297" t="s">
        <v>49</v>
      </c>
      <c r="N297" s="31">
        <f>Project_Data_NYSE[[#This Row],[Gross Profit]]/Project_Data_NYSE[[#This Row],[ Total Revenue ]]</f>
        <v>0.17280953431913484</v>
      </c>
      <c r="O297" s="31">
        <f>Project_Data_NYSE[[#This Row],[Operating Profit]]/Project_Data_NYSE[[#This Row],[ Total Revenue ]]</f>
        <v>0.16949900684175678</v>
      </c>
      <c r="Q297" t="s">
        <v>426</v>
      </c>
    </row>
    <row r="298" spans="1:17" x14ac:dyDescent="0.2">
      <c r="A298">
        <v>320</v>
      </c>
      <c r="B298" t="s">
        <v>149</v>
      </c>
      <c r="C298" t="s">
        <v>15</v>
      </c>
      <c r="D298" s="48">
        <v>42004</v>
      </c>
      <c r="E298" s="3">
        <v>4945000000</v>
      </c>
      <c r="F298" s="3">
        <v>4157000000</v>
      </c>
      <c r="G298" s="3">
        <f>Project_Data_NYSE[[#This Row],[ Total Revenue ]]-Project_Data_NYSE[[#This Row],[ Cost of Goods Sold ]]</f>
        <v>788000000</v>
      </c>
      <c r="H298" s="3">
        <v>0</v>
      </c>
      <c r="I298" s="3">
        <v>0</v>
      </c>
      <c r="J298" s="3">
        <v>14000000</v>
      </c>
      <c r="K298" s="3">
        <f>Project_Data_NYSE[[#This Row],[Gross Profit]]-Project_Data_NYSE[[#This Row],[ Sales, General and Admin. ]]-Project_Data_NYSE[[#This Row],[ Research and Development ]]-Project_Data_NYSE[[#This Row],[ Other Operating Items ]]</f>
        <v>774000000</v>
      </c>
      <c r="L298" t="s">
        <v>46</v>
      </c>
      <c r="M298" t="s">
        <v>49</v>
      </c>
      <c r="N298" s="31">
        <f>Project_Data_NYSE[[#This Row],[Gross Profit]]/Project_Data_NYSE[[#This Row],[ Total Revenue ]]</f>
        <v>0.15935288169868553</v>
      </c>
      <c r="O298" s="31">
        <f>Project_Data_NYSE[[#This Row],[Operating Profit]]/Project_Data_NYSE[[#This Row],[ Total Revenue ]]</f>
        <v>0.15652173913043479</v>
      </c>
      <c r="Q298" t="s">
        <v>427</v>
      </c>
    </row>
    <row r="299" spans="1:17" x14ac:dyDescent="0.2">
      <c r="A299">
        <v>321</v>
      </c>
      <c r="B299" t="s">
        <v>149</v>
      </c>
      <c r="C299" t="s">
        <v>16</v>
      </c>
      <c r="D299" s="48">
        <v>42369</v>
      </c>
      <c r="E299" s="3">
        <v>5142000000</v>
      </c>
      <c r="F299" s="3">
        <v>4195000000</v>
      </c>
      <c r="G299" s="3">
        <f>Project_Data_NYSE[[#This Row],[ Total Revenue ]]-Project_Data_NYSE[[#This Row],[ Cost of Goods Sold ]]</f>
        <v>947000000</v>
      </c>
      <c r="H299" s="3">
        <v>0</v>
      </c>
      <c r="I299" s="3">
        <v>0</v>
      </c>
      <c r="J299" s="3">
        <v>13000000</v>
      </c>
      <c r="K299" s="3">
        <f>Project_Data_NYSE[[#This Row],[Gross Profit]]-Project_Data_NYSE[[#This Row],[ Sales, General and Admin. ]]-Project_Data_NYSE[[#This Row],[ Research and Development ]]-Project_Data_NYSE[[#This Row],[ Other Operating Items ]]</f>
        <v>934000000</v>
      </c>
      <c r="L299" t="s">
        <v>46</v>
      </c>
      <c r="M299" t="s">
        <v>49</v>
      </c>
      <c r="N299" s="31">
        <f>Project_Data_NYSE[[#This Row],[Gross Profit]]/Project_Data_NYSE[[#This Row],[ Total Revenue ]]</f>
        <v>0.18416958381952547</v>
      </c>
      <c r="O299" s="31">
        <f>Project_Data_NYSE[[#This Row],[Operating Profit]]/Project_Data_NYSE[[#This Row],[ Total Revenue ]]</f>
        <v>0.18164138467522364</v>
      </c>
      <c r="Q299" t="s">
        <v>429</v>
      </c>
    </row>
    <row r="300" spans="1:17" x14ac:dyDescent="0.2">
      <c r="A300">
        <v>322</v>
      </c>
      <c r="B300" t="s">
        <v>150</v>
      </c>
      <c r="C300" t="s">
        <v>11</v>
      </c>
      <c r="D300" s="48">
        <v>41274</v>
      </c>
      <c r="E300" s="3">
        <v>17085000000</v>
      </c>
      <c r="F300" s="3">
        <v>7153000000</v>
      </c>
      <c r="G300" s="3">
        <f>Project_Data_NYSE[[#This Row],[ Total Revenue ]]-Project_Data_NYSE[[#This Row],[ Cost of Goods Sold ]]</f>
        <v>9932000000</v>
      </c>
      <c r="H300" s="3">
        <v>6043000000</v>
      </c>
      <c r="I300" s="3">
        <v>0</v>
      </c>
      <c r="J300" s="3">
        <v>0</v>
      </c>
      <c r="K300" s="3">
        <f>Project_Data_NYSE[[#This Row],[Gross Profit]]-Project_Data_NYSE[[#This Row],[ Sales, General and Admin. ]]-Project_Data_NYSE[[#This Row],[ Research and Development ]]-Project_Data_NYSE[[#This Row],[ Other Operating Items ]]</f>
        <v>3889000000</v>
      </c>
      <c r="L300" t="s">
        <v>35</v>
      </c>
      <c r="M300" t="s">
        <v>141</v>
      </c>
      <c r="N300" s="31">
        <f>Project_Data_NYSE[[#This Row],[Gross Profit]]/Project_Data_NYSE[[#This Row],[ Total Revenue ]]</f>
        <v>0.58132865086333041</v>
      </c>
      <c r="O300" s="31">
        <f>Project_Data_NYSE[[#This Row],[Operating Profit]]/Project_Data_NYSE[[#This Row],[ Total Revenue ]]</f>
        <v>0.2276265730172666</v>
      </c>
      <c r="Q300" t="s">
        <v>431</v>
      </c>
    </row>
    <row r="301" spans="1:17" x14ac:dyDescent="0.2">
      <c r="A301">
        <v>323</v>
      </c>
      <c r="B301" t="s">
        <v>150</v>
      </c>
      <c r="C301" t="s">
        <v>14</v>
      </c>
      <c r="D301" s="48">
        <v>41639</v>
      </c>
      <c r="E301" s="3">
        <v>17420000000</v>
      </c>
      <c r="F301" s="3">
        <v>7219000000</v>
      </c>
      <c r="G301" s="3">
        <f>Project_Data_NYSE[[#This Row],[ Total Revenue ]]-Project_Data_NYSE[[#This Row],[ Cost of Goods Sold ]]</f>
        <v>10201000000</v>
      </c>
      <c r="H301" s="3">
        <v>6645000000</v>
      </c>
      <c r="I301" s="3">
        <v>0</v>
      </c>
      <c r="J301" s="3">
        <v>0</v>
      </c>
      <c r="K301" s="3">
        <f>Project_Data_NYSE[[#This Row],[Gross Profit]]-Project_Data_NYSE[[#This Row],[ Sales, General and Admin. ]]-Project_Data_NYSE[[#This Row],[ Research and Development ]]-Project_Data_NYSE[[#This Row],[ Other Operating Items ]]</f>
        <v>3556000000</v>
      </c>
      <c r="L301" t="s">
        <v>35</v>
      </c>
      <c r="M301" t="s">
        <v>141</v>
      </c>
      <c r="N301" s="31">
        <f>Project_Data_NYSE[[#This Row],[Gross Profit]]/Project_Data_NYSE[[#This Row],[ Total Revenue ]]</f>
        <v>0.58559127439724457</v>
      </c>
      <c r="O301" s="31">
        <f>Project_Data_NYSE[[#This Row],[Operating Profit]]/Project_Data_NYSE[[#This Row],[ Total Revenue ]]</f>
        <v>0.20413318025258323</v>
      </c>
      <c r="Q301" t="s">
        <v>432</v>
      </c>
    </row>
    <row r="302" spans="1:17" x14ac:dyDescent="0.2">
      <c r="A302">
        <v>324</v>
      </c>
      <c r="B302" t="s">
        <v>150</v>
      </c>
      <c r="C302" t="s">
        <v>15</v>
      </c>
      <c r="D302" s="48">
        <v>42004</v>
      </c>
      <c r="E302" s="3">
        <v>17277000000</v>
      </c>
      <c r="F302" s="3">
        <v>7168000000</v>
      </c>
      <c r="G302" s="3">
        <f>Project_Data_NYSE[[#This Row],[ Total Revenue ]]-Project_Data_NYSE[[#This Row],[ Cost of Goods Sold ]]</f>
        <v>10109000000</v>
      </c>
      <c r="H302" s="3">
        <v>6552000000</v>
      </c>
      <c r="I302" s="3">
        <v>0</v>
      </c>
      <c r="J302" s="3">
        <v>0</v>
      </c>
      <c r="K302" s="3">
        <f>Project_Data_NYSE[[#This Row],[Gross Profit]]-Project_Data_NYSE[[#This Row],[ Sales, General and Admin. ]]-Project_Data_NYSE[[#This Row],[ Research and Development ]]-Project_Data_NYSE[[#This Row],[ Other Operating Items ]]</f>
        <v>3557000000</v>
      </c>
      <c r="L302" t="s">
        <v>35</v>
      </c>
      <c r="M302" t="s">
        <v>141</v>
      </c>
      <c r="N302" s="31">
        <f>Project_Data_NYSE[[#This Row],[Gross Profit]]/Project_Data_NYSE[[#This Row],[ Total Revenue ]]</f>
        <v>0.58511315621925097</v>
      </c>
      <c r="O302" s="31">
        <f>Project_Data_NYSE[[#This Row],[Operating Profit]]/Project_Data_NYSE[[#This Row],[ Total Revenue ]]</f>
        <v>0.20588065057591018</v>
      </c>
      <c r="Q302" t="s">
        <v>433</v>
      </c>
    </row>
    <row r="303" spans="1:17" x14ac:dyDescent="0.2">
      <c r="A303">
        <v>325</v>
      </c>
      <c r="B303" t="s">
        <v>150</v>
      </c>
      <c r="C303" t="s">
        <v>16</v>
      </c>
      <c r="D303" s="48">
        <v>42369</v>
      </c>
      <c r="E303" s="3">
        <v>16034000000</v>
      </c>
      <c r="F303" s="3">
        <v>6635000000</v>
      </c>
      <c r="G303" s="3">
        <f>Project_Data_NYSE[[#This Row],[ Total Revenue ]]-Project_Data_NYSE[[#This Row],[ Cost of Goods Sold ]]</f>
        <v>9399000000</v>
      </c>
      <c r="H303" s="3">
        <v>6610000000</v>
      </c>
      <c r="I303" s="3">
        <v>0</v>
      </c>
      <c r="J303" s="3">
        <v>0</v>
      </c>
      <c r="K303" s="3">
        <f>Project_Data_NYSE[[#This Row],[Gross Profit]]-Project_Data_NYSE[[#This Row],[ Sales, General and Admin. ]]-Project_Data_NYSE[[#This Row],[ Research and Development ]]-Project_Data_NYSE[[#This Row],[ Other Operating Items ]]</f>
        <v>2789000000</v>
      </c>
      <c r="L303" t="s">
        <v>35</v>
      </c>
      <c r="M303" t="s">
        <v>141</v>
      </c>
      <c r="N303" s="31">
        <f>Project_Data_NYSE[[#This Row],[Gross Profit]]/Project_Data_NYSE[[#This Row],[ Total Revenue ]]</f>
        <v>0.58619184233503807</v>
      </c>
      <c r="O303" s="31">
        <f>Project_Data_NYSE[[#This Row],[Operating Profit]]/Project_Data_NYSE[[#This Row],[ Total Revenue ]]</f>
        <v>0.17394287139827866</v>
      </c>
      <c r="Q303" t="s">
        <v>434</v>
      </c>
    </row>
    <row r="304" spans="1:17" x14ac:dyDescent="0.2">
      <c r="A304">
        <v>326</v>
      </c>
      <c r="B304" t="s">
        <v>151</v>
      </c>
      <c r="C304" t="s">
        <v>11</v>
      </c>
      <c r="D304" s="48">
        <v>41455</v>
      </c>
      <c r="E304" s="3">
        <v>5533000000</v>
      </c>
      <c r="F304" s="3">
        <v>3142000000</v>
      </c>
      <c r="G304" s="3">
        <f>Project_Data_NYSE[[#This Row],[ Total Revenue ]]-Project_Data_NYSE[[#This Row],[ Cost of Goods Sold ]]</f>
        <v>2391000000</v>
      </c>
      <c r="H304" s="3">
        <v>1291000000</v>
      </c>
      <c r="I304" s="3">
        <v>130000000</v>
      </c>
      <c r="J304" s="3">
        <v>0</v>
      </c>
      <c r="K304" s="3">
        <f>Project_Data_NYSE[[#This Row],[Gross Profit]]-Project_Data_NYSE[[#This Row],[ Sales, General and Admin. ]]-Project_Data_NYSE[[#This Row],[ Research and Development ]]-Project_Data_NYSE[[#This Row],[ Other Operating Items ]]</f>
        <v>970000000</v>
      </c>
      <c r="L304" t="s">
        <v>35</v>
      </c>
      <c r="M304" t="s">
        <v>141</v>
      </c>
      <c r="N304" s="31">
        <f>Project_Data_NYSE[[#This Row],[Gross Profit]]/Project_Data_NYSE[[#This Row],[ Total Revenue ]]</f>
        <v>0.43213446593168264</v>
      </c>
      <c r="O304" s="31">
        <f>Project_Data_NYSE[[#This Row],[Operating Profit]]/Project_Data_NYSE[[#This Row],[ Total Revenue ]]</f>
        <v>0.17531176576902224</v>
      </c>
      <c r="Q304" t="s">
        <v>435</v>
      </c>
    </row>
    <row r="305" spans="1:17" x14ac:dyDescent="0.2">
      <c r="A305">
        <v>327</v>
      </c>
      <c r="B305" t="s">
        <v>151</v>
      </c>
      <c r="C305" t="s">
        <v>14</v>
      </c>
      <c r="D305" s="48">
        <v>41820</v>
      </c>
      <c r="E305" s="3">
        <v>5514000000</v>
      </c>
      <c r="F305" s="3">
        <v>3158000000</v>
      </c>
      <c r="G305" s="3">
        <f>Project_Data_NYSE[[#This Row],[ Total Revenue ]]-Project_Data_NYSE[[#This Row],[ Cost of Goods Sold ]]</f>
        <v>2356000000</v>
      </c>
      <c r="H305" s="3">
        <v>1254000000</v>
      </c>
      <c r="I305" s="3">
        <v>125000000</v>
      </c>
      <c r="J305" s="3">
        <v>0</v>
      </c>
      <c r="K305" s="3">
        <f>Project_Data_NYSE[[#This Row],[Gross Profit]]-Project_Data_NYSE[[#This Row],[ Sales, General and Admin. ]]-Project_Data_NYSE[[#This Row],[ Research and Development ]]-Project_Data_NYSE[[#This Row],[ Other Operating Items ]]</f>
        <v>977000000</v>
      </c>
      <c r="L305" t="s">
        <v>35</v>
      </c>
      <c r="M305" t="s">
        <v>141</v>
      </c>
      <c r="N305" s="31">
        <f>Project_Data_NYSE[[#This Row],[Gross Profit]]/Project_Data_NYSE[[#This Row],[ Total Revenue ]]</f>
        <v>0.42727602466449038</v>
      </c>
      <c r="O305" s="31">
        <f>Project_Data_NYSE[[#This Row],[Operating Profit]]/Project_Data_NYSE[[#This Row],[ Total Revenue ]]</f>
        <v>0.17718534639100472</v>
      </c>
      <c r="Q305" t="s">
        <v>436</v>
      </c>
    </row>
    <row r="306" spans="1:17" x14ac:dyDescent="0.2">
      <c r="A306">
        <v>328</v>
      </c>
      <c r="B306" t="s">
        <v>151</v>
      </c>
      <c r="C306" t="s">
        <v>15</v>
      </c>
      <c r="D306" s="48">
        <v>42185</v>
      </c>
      <c r="E306" s="3">
        <v>5655000000</v>
      </c>
      <c r="F306" s="3">
        <v>3190000000</v>
      </c>
      <c r="G306" s="3">
        <f>Project_Data_NYSE[[#This Row],[ Total Revenue ]]-Project_Data_NYSE[[#This Row],[ Cost of Goods Sold ]]</f>
        <v>2465000000</v>
      </c>
      <c r="H306" s="3">
        <v>1321000000</v>
      </c>
      <c r="I306" s="3">
        <v>136000000</v>
      </c>
      <c r="J306" s="3">
        <v>0</v>
      </c>
      <c r="K306" s="3">
        <f>Project_Data_NYSE[[#This Row],[Gross Profit]]-Project_Data_NYSE[[#This Row],[ Sales, General and Admin. ]]-Project_Data_NYSE[[#This Row],[ Research and Development ]]-Project_Data_NYSE[[#This Row],[ Other Operating Items ]]</f>
        <v>1008000000</v>
      </c>
      <c r="L306" t="s">
        <v>35</v>
      </c>
      <c r="M306" t="s">
        <v>141</v>
      </c>
      <c r="N306" s="31">
        <f>Project_Data_NYSE[[#This Row],[Gross Profit]]/Project_Data_NYSE[[#This Row],[ Total Revenue ]]</f>
        <v>0.4358974358974359</v>
      </c>
      <c r="O306" s="31">
        <f>Project_Data_NYSE[[#This Row],[Operating Profit]]/Project_Data_NYSE[[#This Row],[ Total Revenue ]]</f>
        <v>0.17824933687002653</v>
      </c>
      <c r="Q306" t="s">
        <v>437</v>
      </c>
    </row>
    <row r="307" spans="1:17" x14ac:dyDescent="0.2">
      <c r="A307">
        <v>329</v>
      </c>
      <c r="B307" t="s">
        <v>151</v>
      </c>
      <c r="C307" t="s">
        <v>16</v>
      </c>
      <c r="D307" s="48">
        <v>42551</v>
      </c>
      <c r="E307" s="3">
        <v>5761000000</v>
      </c>
      <c r="F307" s="3">
        <v>3163000000</v>
      </c>
      <c r="G307" s="3">
        <f>Project_Data_NYSE[[#This Row],[ Total Revenue ]]-Project_Data_NYSE[[#This Row],[ Cost of Goods Sold ]]</f>
        <v>2598000000</v>
      </c>
      <c r="H307" s="3">
        <v>1393000000</v>
      </c>
      <c r="I307" s="3">
        <v>141000000</v>
      </c>
      <c r="J307" s="3">
        <v>0</v>
      </c>
      <c r="K307" s="3">
        <f>Project_Data_NYSE[[#This Row],[Gross Profit]]-Project_Data_NYSE[[#This Row],[ Sales, General and Admin. ]]-Project_Data_NYSE[[#This Row],[ Research and Development ]]-Project_Data_NYSE[[#This Row],[ Other Operating Items ]]</f>
        <v>1064000000</v>
      </c>
      <c r="L307" t="s">
        <v>35</v>
      </c>
      <c r="M307" t="s">
        <v>141</v>
      </c>
      <c r="N307" s="31">
        <f>Project_Data_NYSE[[#This Row],[Gross Profit]]/Project_Data_NYSE[[#This Row],[ Total Revenue ]]</f>
        <v>0.45096337441416423</v>
      </c>
      <c r="O307" s="31">
        <f>Project_Data_NYSE[[#This Row],[Operating Profit]]/Project_Data_NYSE[[#This Row],[ Total Revenue ]]</f>
        <v>0.18469015795868773</v>
      </c>
      <c r="Q307" t="s">
        <v>438</v>
      </c>
    </row>
    <row r="308" spans="1:17" x14ac:dyDescent="0.2">
      <c r="A308">
        <v>330</v>
      </c>
      <c r="B308" t="s">
        <v>152</v>
      </c>
      <c r="C308" t="s">
        <v>11</v>
      </c>
      <c r="D308" s="48">
        <v>41639</v>
      </c>
      <c r="E308" s="3">
        <v>2666000000</v>
      </c>
      <c r="F308" s="3">
        <v>55000000</v>
      </c>
      <c r="G308" s="3">
        <f>Project_Data_NYSE[[#This Row],[ Total Revenue ]]-Project_Data_NYSE[[#This Row],[ Cost of Goods Sold ]]</f>
        <v>2611000000</v>
      </c>
      <c r="H308" s="3">
        <v>1670000000</v>
      </c>
      <c r="I308" s="3">
        <v>0</v>
      </c>
      <c r="J308" s="3">
        <v>46000000</v>
      </c>
      <c r="K308" s="3">
        <f>Project_Data_NYSE[[#This Row],[Gross Profit]]-Project_Data_NYSE[[#This Row],[ Sales, General and Admin. ]]-Project_Data_NYSE[[#This Row],[ Research and Development ]]-Project_Data_NYSE[[#This Row],[ Other Operating Items ]]</f>
        <v>895000000</v>
      </c>
      <c r="L308" t="s">
        <v>46</v>
      </c>
      <c r="M308" t="s">
        <v>139</v>
      </c>
      <c r="N308" s="31">
        <f>Project_Data_NYSE[[#This Row],[Gross Profit]]/Project_Data_NYSE[[#This Row],[ Total Revenue ]]</f>
        <v>0.9793698424606152</v>
      </c>
      <c r="O308" s="31">
        <f>Project_Data_NYSE[[#This Row],[Operating Profit]]/Project_Data_NYSE[[#This Row],[ Total Revenue ]]</f>
        <v>0.33570892723180795</v>
      </c>
      <c r="Q308" t="s">
        <v>439</v>
      </c>
    </row>
    <row r="309" spans="1:17" x14ac:dyDescent="0.2">
      <c r="A309">
        <v>331</v>
      </c>
      <c r="B309" t="s">
        <v>152</v>
      </c>
      <c r="C309" t="s">
        <v>14</v>
      </c>
      <c r="D309" s="48">
        <v>42004</v>
      </c>
      <c r="E309" s="3">
        <v>2607000000</v>
      </c>
      <c r="F309" s="3">
        <v>45000000</v>
      </c>
      <c r="G309" s="3">
        <f>Project_Data_NYSE[[#This Row],[ Total Revenue ]]-Project_Data_NYSE[[#This Row],[ Cost of Goods Sold ]]</f>
        <v>2562000000</v>
      </c>
      <c r="H309" s="3">
        <v>1611000000</v>
      </c>
      <c r="I309" s="3">
        <v>0</v>
      </c>
      <c r="J309" s="3">
        <v>27000000</v>
      </c>
      <c r="K309" s="3">
        <f>Project_Data_NYSE[[#This Row],[Gross Profit]]-Project_Data_NYSE[[#This Row],[ Sales, General and Admin. ]]-Project_Data_NYSE[[#This Row],[ Research and Development ]]-Project_Data_NYSE[[#This Row],[ Other Operating Items ]]</f>
        <v>924000000</v>
      </c>
      <c r="L309" t="s">
        <v>46</v>
      </c>
      <c r="M309" t="s">
        <v>139</v>
      </c>
      <c r="N309" s="31">
        <f>Project_Data_NYSE[[#This Row],[Gross Profit]]/Project_Data_NYSE[[#This Row],[ Total Revenue ]]</f>
        <v>0.98273878020713468</v>
      </c>
      <c r="O309" s="31">
        <f>Project_Data_NYSE[[#This Row],[Operating Profit]]/Project_Data_NYSE[[#This Row],[ Total Revenue ]]</f>
        <v>0.35443037974683544</v>
      </c>
      <c r="Q309" t="s">
        <v>440</v>
      </c>
    </row>
    <row r="310" spans="1:17" x14ac:dyDescent="0.2">
      <c r="A310">
        <v>332</v>
      </c>
      <c r="B310" t="s">
        <v>152</v>
      </c>
      <c r="C310" t="s">
        <v>15</v>
      </c>
      <c r="D310" s="48">
        <v>42369</v>
      </c>
      <c r="E310" s="3">
        <v>2819000000</v>
      </c>
      <c r="F310" s="3">
        <v>43000000</v>
      </c>
      <c r="G310" s="3">
        <f>Project_Data_NYSE[[#This Row],[ Total Revenue ]]-Project_Data_NYSE[[#This Row],[ Cost of Goods Sold ]]</f>
        <v>2776000000</v>
      </c>
      <c r="H310" s="3">
        <v>1859000000</v>
      </c>
      <c r="I310" s="3">
        <v>0</v>
      </c>
      <c r="J310" s="3">
        <v>147000000</v>
      </c>
      <c r="K310" s="3">
        <f>Project_Data_NYSE[[#This Row],[Gross Profit]]-Project_Data_NYSE[[#This Row],[ Sales, General and Admin. ]]-Project_Data_NYSE[[#This Row],[ Research and Development ]]-Project_Data_NYSE[[#This Row],[ Other Operating Items ]]</f>
        <v>770000000</v>
      </c>
      <c r="L310" t="s">
        <v>46</v>
      </c>
      <c r="M310" t="s">
        <v>139</v>
      </c>
      <c r="N310" s="31">
        <f>Project_Data_NYSE[[#This Row],[Gross Profit]]/Project_Data_NYSE[[#This Row],[ Total Revenue ]]</f>
        <v>0.98474636395885062</v>
      </c>
      <c r="O310" s="31">
        <f>Project_Data_NYSE[[#This Row],[Operating Profit]]/Project_Data_NYSE[[#This Row],[ Total Revenue ]]</f>
        <v>0.27314650585313943</v>
      </c>
      <c r="Q310" t="s">
        <v>441</v>
      </c>
    </row>
    <row r="311" spans="1:17" x14ac:dyDescent="0.2">
      <c r="A311">
        <v>333</v>
      </c>
      <c r="B311" t="s">
        <v>152</v>
      </c>
      <c r="C311" t="s">
        <v>16</v>
      </c>
      <c r="D311" s="48">
        <v>42735</v>
      </c>
      <c r="E311" s="3">
        <v>2960000000</v>
      </c>
      <c r="F311" s="3">
        <v>40000000</v>
      </c>
      <c r="G311" s="3">
        <f>Project_Data_NYSE[[#This Row],[ Total Revenue ]]-Project_Data_NYSE[[#This Row],[ Cost of Goods Sold ]]</f>
        <v>2920000000</v>
      </c>
      <c r="H311" s="3">
        <v>1836000000</v>
      </c>
      <c r="I311" s="3">
        <v>0</v>
      </c>
      <c r="J311" s="3">
        <v>248000000</v>
      </c>
      <c r="K311" s="3">
        <f>Project_Data_NYSE[[#This Row],[Gross Profit]]-Project_Data_NYSE[[#This Row],[ Sales, General and Admin. ]]-Project_Data_NYSE[[#This Row],[ Research and Development ]]-Project_Data_NYSE[[#This Row],[ Other Operating Items ]]</f>
        <v>836000000</v>
      </c>
      <c r="L311" t="s">
        <v>46</v>
      </c>
      <c r="M311" t="s">
        <v>139</v>
      </c>
      <c r="N311" s="31">
        <f>Project_Data_NYSE[[#This Row],[Gross Profit]]/Project_Data_NYSE[[#This Row],[ Total Revenue ]]</f>
        <v>0.98648648648648651</v>
      </c>
      <c r="O311" s="31">
        <f>Project_Data_NYSE[[#This Row],[Operating Profit]]/Project_Data_NYSE[[#This Row],[ Total Revenue ]]</f>
        <v>0.28243243243243243</v>
      </c>
      <c r="Q311" t="s">
        <v>442</v>
      </c>
    </row>
    <row r="312" spans="1:17" x14ac:dyDescent="0.2">
      <c r="A312">
        <v>338</v>
      </c>
      <c r="B312" t="s">
        <v>153</v>
      </c>
      <c r="C312" t="s">
        <v>11</v>
      </c>
      <c r="D312" s="48">
        <v>41639</v>
      </c>
      <c r="E312" s="3">
        <v>3214591000</v>
      </c>
      <c r="F312" s="3">
        <v>2359822000</v>
      </c>
      <c r="G312" s="3">
        <f>Project_Data_NYSE[[#This Row],[ Total Revenue ]]-Project_Data_NYSE[[#This Row],[ Cost of Goods Sold ]]</f>
        <v>854769000</v>
      </c>
      <c r="H312" s="3">
        <v>203733000</v>
      </c>
      <c r="I312" s="3">
        <v>0</v>
      </c>
      <c r="J312" s="3">
        <v>96054000</v>
      </c>
      <c r="K312" s="3">
        <f>Project_Data_NYSE[[#This Row],[Gross Profit]]-Project_Data_NYSE[[#This Row],[ Sales, General and Admin. ]]-Project_Data_NYSE[[#This Row],[ Research and Development ]]-Project_Data_NYSE[[#This Row],[ Other Operating Items ]]</f>
        <v>554982000</v>
      </c>
      <c r="L312" t="s">
        <v>18</v>
      </c>
      <c r="M312" t="s">
        <v>154</v>
      </c>
      <c r="N312" s="31">
        <f>Project_Data_NYSE[[#This Row],[Gross Profit]]/Project_Data_NYSE[[#This Row],[ Total Revenue ]]</f>
        <v>0.26590287846883165</v>
      </c>
      <c r="O312" s="31">
        <f>Project_Data_NYSE[[#This Row],[Operating Profit]]/Project_Data_NYSE[[#This Row],[ Total Revenue ]]</f>
        <v>0.1726446692596352</v>
      </c>
      <c r="Q312" t="s">
        <v>443</v>
      </c>
    </row>
    <row r="313" spans="1:17" x14ac:dyDescent="0.2">
      <c r="A313">
        <v>339</v>
      </c>
      <c r="B313" t="s">
        <v>153</v>
      </c>
      <c r="C313" t="s">
        <v>14</v>
      </c>
      <c r="D313" s="48">
        <v>42004</v>
      </c>
      <c r="E313" s="3">
        <v>4108269000</v>
      </c>
      <c r="F313" s="3">
        <v>2990513000</v>
      </c>
      <c r="G313" s="3">
        <f>Project_Data_NYSE[[#This Row],[ Total Revenue ]]-Project_Data_NYSE[[#This Row],[ Cost of Goods Sold ]]</f>
        <v>1117756000</v>
      </c>
      <c r="H313" s="3">
        <v>273897000</v>
      </c>
      <c r="I313" s="3">
        <v>0</v>
      </c>
      <c r="J313" s="3">
        <v>110474000</v>
      </c>
      <c r="K313" s="3">
        <f>Project_Data_NYSE[[#This Row],[Gross Profit]]-Project_Data_NYSE[[#This Row],[ Sales, General and Admin. ]]-Project_Data_NYSE[[#This Row],[ Research and Development ]]-Project_Data_NYSE[[#This Row],[ Other Operating Items ]]</f>
        <v>733385000</v>
      </c>
      <c r="L313" t="s">
        <v>18</v>
      </c>
      <c r="M313" t="s">
        <v>154</v>
      </c>
      <c r="N313" s="31">
        <f>Project_Data_NYSE[[#This Row],[Gross Profit]]/Project_Data_NYSE[[#This Row],[ Total Revenue ]]</f>
        <v>0.2720746864433658</v>
      </c>
      <c r="O313" s="31">
        <f>Project_Data_NYSE[[#This Row],[Operating Profit]]/Project_Data_NYSE[[#This Row],[ Total Revenue ]]</f>
        <v>0.17851435726336323</v>
      </c>
      <c r="Q313" t="s">
        <v>444</v>
      </c>
    </row>
    <row r="314" spans="1:17" x14ac:dyDescent="0.2">
      <c r="A314">
        <v>340</v>
      </c>
      <c r="B314" t="s">
        <v>153</v>
      </c>
      <c r="C314" t="s">
        <v>15</v>
      </c>
      <c r="D314" s="48">
        <v>42369</v>
      </c>
      <c r="E314" s="3">
        <v>4501223000</v>
      </c>
      <c r="F314" s="3">
        <v>3326936000</v>
      </c>
      <c r="G314" s="3">
        <f>Project_Data_NYSE[[#This Row],[ Total Revenue ]]-Project_Data_NYSE[[#This Row],[ Cost of Goods Sold ]]</f>
        <v>1174287000</v>
      </c>
      <c r="H314" s="3">
        <v>250214000</v>
      </c>
      <c r="I314" s="3">
        <v>0</v>
      </c>
      <c r="J314" s="3">
        <v>130368000</v>
      </c>
      <c r="K314" s="3">
        <f>Project_Data_NYSE[[#This Row],[Gross Profit]]-Project_Data_NYSE[[#This Row],[ Sales, General and Admin. ]]-Project_Data_NYSE[[#This Row],[ Research and Development ]]-Project_Data_NYSE[[#This Row],[ Other Operating Items ]]</f>
        <v>793705000</v>
      </c>
      <c r="L314" t="s">
        <v>18</v>
      </c>
      <c r="M314" t="s">
        <v>154</v>
      </c>
      <c r="N314" s="31">
        <f>Project_Data_NYSE[[#This Row],[Gross Profit]]/Project_Data_NYSE[[#This Row],[ Total Revenue ]]</f>
        <v>0.26088176480036646</v>
      </c>
      <c r="O314" s="31">
        <f>Project_Data_NYSE[[#This Row],[Operating Profit]]/Project_Data_NYSE[[#This Row],[ Total Revenue ]]</f>
        <v>0.17633096605078219</v>
      </c>
      <c r="Q314" t="s">
        <v>445</v>
      </c>
    </row>
    <row r="315" spans="1:17" x14ac:dyDescent="0.2">
      <c r="A315">
        <v>341</v>
      </c>
      <c r="B315" t="s">
        <v>153</v>
      </c>
      <c r="C315" t="s">
        <v>16</v>
      </c>
      <c r="D315" s="48">
        <v>42735</v>
      </c>
      <c r="E315" s="3">
        <v>3904384000</v>
      </c>
      <c r="F315" s="3">
        <v>3406170000</v>
      </c>
      <c r="G315" s="3">
        <f>Project_Data_NYSE[[#This Row],[ Total Revenue ]]-Project_Data_NYSE[[#This Row],[ Cost of Goods Sold ]]</f>
        <v>498214000</v>
      </c>
      <c r="H315" s="3">
        <v>276240000</v>
      </c>
      <c r="I315" s="3">
        <v>0</v>
      </c>
      <c r="J315" s="3">
        <v>146368000</v>
      </c>
      <c r="K315" s="3">
        <f>Project_Data_NYSE[[#This Row],[Gross Profit]]-Project_Data_NYSE[[#This Row],[ Sales, General and Admin. ]]-Project_Data_NYSE[[#This Row],[ Research and Development ]]-Project_Data_NYSE[[#This Row],[ Other Operating Items ]]</f>
        <v>75606000</v>
      </c>
      <c r="L315" t="s">
        <v>18</v>
      </c>
      <c r="M315" t="s">
        <v>154</v>
      </c>
      <c r="N315" s="31">
        <f>Project_Data_NYSE[[#This Row],[Gross Profit]]/Project_Data_NYSE[[#This Row],[ Total Revenue ]]</f>
        <v>0.12760373979608564</v>
      </c>
      <c r="O315" s="31">
        <f>Project_Data_NYSE[[#This Row],[Operating Profit]]/Project_Data_NYSE[[#This Row],[ Total Revenue ]]</f>
        <v>1.9364386289873126E-2</v>
      </c>
      <c r="Q315" t="s">
        <v>446</v>
      </c>
    </row>
    <row r="316" spans="1:17" x14ac:dyDescent="0.2">
      <c r="A316">
        <v>342</v>
      </c>
      <c r="B316" t="s">
        <v>155</v>
      </c>
      <c r="C316" t="s">
        <v>11</v>
      </c>
      <c r="D316" s="48">
        <v>41639</v>
      </c>
      <c r="E316" s="3">
        <v>17301000000</v>
      </c>
      <c r="F316" s="3">
        <v>13021000000</v>
      </c>
      <c r="G316" s="3">
        <f>Project_Data_NYSE[[#This Row],[ Total Revenue ]]-Project_Data_NYSE[[#This Row],[ Cost of Goods Sold ]]</f>
        <v>4280000000</v>
      </c>
      <c r="H316" s="3">
        <v>1827000000</v>
      </c>
      <c r="I316" s="3">
        <v>713000000</v>
      </c>
      <c r="J316" s="3">
        <v>0</v>
      </c>
      <c r="K316" s="3">
        <f>Project_Data_NYSE[[#This Row],[Gross Profit]]-Project_Data_NYSE[[#This Row],[ Sales, General and Admin. ]]-Project_Data_NYSE[[#This Row],[ Research and Development ]]-Project_Data_NYSE[[#This Row],[ Other Operating Items ]]</f>
        <v>1740000000</v>
      </c>
      <c r="L316" t="s">
        <v>12</v>
      </c>
      <c r="M316" t="s">
        <v>156</v>
      </c>
      <c r="N316" s="31">
        <f>Project_Data_NYSE[[#This Row],[Gross Profit]]/Project_Data_NYSE[[#This Row],[ Total Revenue ]]</f>
        <v>0.24738454424599735</v>
      </c>
      <c r="O316" s="31">
        <f>Project_Data_NYSE[[#This Row],[Operating Profit]]/Project_Data_NYSE[[#This Row],[ Total Revenue ]]</f>
        <v>0.10057222125888678</v>
      </c>
      <c r="Q316" t="s">
        <v>447</v>
      </c>
    </row>
    <row r="317" spans="1:17" x14ac:dyDescent="0.2">
      <c r="A317">
        <v>343</v>
      </c>
      <c r="B317" t="s">
        <v>155</v>
      </c>
      <c r="C317" t="s">
        <v>14</v>
      </c>
      <c r="D317" s="48">
        <v>42004</v>
      </c>
      <c r="E317" s="3">
        <v>19221000000</v>
      </c>
      <c r="F317" s="3">
        <v>14360000000</v>
      </c>
      <c r="G317" s="3">
        <f>Project_Data_NYSE[[#This Row],[ Total Revenue ]]-Project_Data_NYSE[[#This Row],[ Cost of Goods Sold ]]</f>
        <v>4861000000</v>
      </c>
      <c r="H317" s="3">
        <v>2112000000</v>
      </c>
      <c r="I317" s="3">
        <v>754000000</v>
      </c>
      <c r="J317" s="3">
        <v>0</v>
      </c>
      <c r="K317" s="3">
        <f>Project_Data_NYSE[[#This Row],[Gross Profit]]-Project_Data_NYSE[[#This Row],[ Sales, General and Admin. ]]-Project_Data_NYSE[[#This Row],[ Research and Development ]]-Project_Data_NYSE[[#This Row],[ Other Operating Items ]]</f>
        <v>1995000000</v>
      </c>
      <c r="L317" t="s">
        <v>12</v>
      </c>
      <c r="M317" t="s">
        <v>156</v>
      </c>
      <c r="N317" s="31">
        <f>Project_Data_NYSE[[#This Row],[Gross Profit]]/Project_Data_NYSE[[#This Row],[ Total Revenue ]]</f>
        <v>0.25290047344050776</v>
      </c>
      <c r="O317" s="31">
        <f>Project_Data_NYSE[[#This Row],[Operating Profit]]/Project_Data_NYSE[[#This Row],[ Total Revenue ]]</f>
        <v>0.10379272670516622</v>
      </c>
      <c r="Q317" t="s">
        <v>448</v>
      </c>
    </row>
    <row r="318" spans="1:17" x14ac:dyDescent="0.2">
      <c r="A318">
        <v>344</v>
      </c>
      <c r="B318" t="s">
        <v>155</v>
      </c>
      <c r="C318" t="s">
        <v>15</v>
      </c>
      <c r="D318" s="48">
        <v>42369</v>
      </c>
      <c r="E318" s="3">
        <v>19110000000</v>
      </c>
      <c r="F318" s="3">
        <v>14163000000</v>
      </c>
      <c r="G318" s="3">
        <f>Project_Data_NYSE[[#This Row],[ Total Revenue ]]-Project_Data_NYSE[[#This Row],[ Cost of Goods Sold ]]</f>
        <v>4947000000</v>
      </c>
      <c r="H318" s="3">
        <v>2169000000</v>
      </c>
      <c r="I318" s="3">
        <v>735000000</v>
      </c>
      <c r="J318" s="3">
        <v>0</v>
      </c>
      <c r="K318" s="3">
        <f>Project_Data_NYSE[[#This Row],[Gross Profit]]-Project_Data_NYSE[[#This Row],[ Sales, General and Admin. ]]-Project_Data_NYSE[[#This Row],[ Research and Development ]]-Project_Data_NYSE[[#This Row],[ Other Operating Items ]]</f>
        <v>2043000000</v>
      </c>
      <c r="L318" t="s">
        <v>12</v>
      </c>
      <c r="M318" t="s">
        <v>156</v>
      </c>
      <c r="N318" s="31">
        <f>Project_Data_NYSE[[#This Row],[Gross Profit]]/Project_Data_NYSE[[#This Row],[ Total Revenue ]]</f>
        <v>0.25886970172684459</v>
      </c>
      <c r="O318" s="31">
        <f>Project_Data_NYSE[[#This Row],[Operating Profit]]/Project_Data_NYSE[[#This Row],[ Total Revenue ]]</f>
        <v>0.10690737833594977</v>
      </c>
      <c r="Q318" t="s">
        <v>449</v>
      </c>
    </row>
    <row r="319" spans="1:17" x14ac:dyDescent="0.2">
      <c r="A319">
        <v>345</v>
      </c>
      <c r="B319" t="s">
        <v>155</v>
      </c>
      <c r="C319" t="s">
        <v>16</v>
      </c>
      <c r="D319" s="48">
        <v>42735</v>
      </c>
      <c r="E319" s="3">
        <v>17509000000</v>
      </c>
      <c r="F319" s="3">
        <v>13057000000</v>
      </c>
      <c r="G319" s="3">
        <f>Project_Data_NYSE[[#This Row],[ Total Revenue ]]-Project_Data_NYSE[[#This Row],[ Cost of Goods Sold ]]</f>
        <v>4452000000</v>
      </c>
      <c r="H319" s="3">
        <v>2189000000</v>
      </c>
      <c r="I319" s="3">
        <v>636000000</v>
      </c>
      <c r="J319" s="3">
        <v>0</v>
      </c>
      <c r="K319" s="3">
        <f>Project_Data_NYSE[[#This Row],[Gross Profit]]-Project_Data_NYSE[[#This Row],[ Sales, General and Admin. ]]-Project_Data_NYSE[[#This Row],[ Research and Development ]]-Project_Data_NYSE[[#This Row],[ Other Operating Items ]]</f>
        <v>1627000000</v>
      </c>
      <c r="L319" t="s">
        <v>12</v>
      </c>
      <c r="M319" t="s">
        <v>156</v>
      </c>
      <c r="N319" s="31">
        <f>Project_Data_NYSE[[#This Row],[Gross Profit]]/Project_Data_NYSE[[#This Row],[ Total Revenue ]]</f>
        <v>0.25426923296590326</v>
      </c>
      <c r="O319" s="31">
        <f>Project_Data_NYSE[[#This Row],[Operating Profit]]/Project_Data_NYSE[[#This Row],[ Total Revenue ]]</f>
        <v>9.2923639271231942E-2</v>
      </c>
      <c r="Q319" t="s">
        <v>450</v>
      </c>
    </row>
    <row r="320" spans="1:17" x14ac:dyDescent="0.2">
      <c r="A320">
        <v>346</v>
      </c>
      <c r="B320" t="s">
        <v>157</v>
      </c>
      <c r="C320" t="s">
        <v>11</v>
      </c>
      <c r="D320" s="48">
        <v>41639</v>
      </c>
      <c r="E320" s="3">
        <v>6566000000</v>
      </c>
      <c r="F320" s="3">
        <v>4562000000</v>
      </c>
      <c r="G320" s="3">
        <f>Project_Data_NYSE[[#This Row],[ Total Revenue ]]-Project_Data_NYSE[[#This Row],[ Cost of Goods Sold ]]</f>
        <v>2004000000</v>
      </c>
      <c r="H320" s="3">
        <v>234000000</v>
      </c>
      <c r="I320" s="3">
        <v>0</v>
      </c>
      <c r="J320" s="3">
        <v>628000000</v>
      </c>
      <c r="K320" s="3">
        <f>Project_Data_NYSE[[#This Row],[Gross Profit]]-Project_Data_NYSE[[#This Row],[ Sales, General and Admin. ]]-Project_Data_NYSE[[#This Row],[ Research and Development ]]-Project_Data_NYSE[[#This Row],[ Other Operating Items ]]</f>
        <v>1142000000</v>
      </c>
      <c r="L320" t="s">
        <v>41</v>
      </c>
      <c r="M320" t="s">
        <v>42</v>
      </c>
      <c r="N320" s="31">
        <f>Project_Data_NYSE[[#This Row],[Gross Profit]]/Project_Data_NYSE[[#This Row],[ Total Revenue ]]</f>
        <v>0.30520865062442887</v>
      </c>
      <c r="O320" s="31">
        <f>Project_Data_NYSE[[#This Row],[Operating Profit]]/Project_Data_NYSE[[#This Row],[ Total Revenue ]]</f>
        <v>0.17392628693268353</v>
      </c>
      <c r="Q320" t="s">
        <v>451</v>
      </c>
    </row>
    <row r="321" spans="1:17" x14ac:dyDescent="0.2">
      <c r="A321">
        <v>347</v>
      </c>
      <c r="B321" t="s">
        <v>157</v>
      </c>
      <c r="C321" t="s">
        <v>14</v>
      </c>
      <c r="D321" s="48">
        <v>42004</v>
      </c>
      <c r="E321" s="3">
        <v>7179000000</v>
      </c>
      <c r="F321" s="3">
        <v>5090000000</v>
      </c>
      <c r="G321" s="3">
        <f>Project_Data_NYSE[[#This Row],[ Total Revenue ]]-Project_Data_NYSE[[#This Row],[ Cost of Goods Sold ]]</f>
        <v>2089000000</v>
      </c>
      <c r="H321" s="3">
        <v>252000000</v>
      </c>
      <c r="I321" s="3">
        <v>0</v>
      </c>
      <c r="J321" s="3">
        <v>685000000</v>
      </c>
      <c r="K321" s="3">
        <f>Project_Data_NYSE[[#This Row],[Gross Profit]]-Project_Data_NYSE[[#This Row],[ Sales, General and Admin. ]]-Project_Data_NYSE[[#This Row],[ Research and Development ]]-Project_Data_NYSE[[#This Row],[ Other Operating Items ]]</f>
        <v>1152000000</v>
      </c>
      <c r="L321" t="s">
        <v>41</v>
      </c>
      <c r="M321" t="s">
        <v>42</v>
      </c>
      <c r="N321" s="31">
        <f>Project_Data_NYSE[[#This Row],[Gross Profit]]/Project_Data_NYSE[[#This Row],[ Total Revenue ]]</f>
        <v>0.29098760273018526</v>
      </c>
      <c r="O321" s="31">
        <f>Project_Data_NYSE[[#This Row],[Operating Profit]]/Project_Data_NYSE[[#This Row],[ Total Revenue ]]</f>
        <v>0.16046803175929794</v>
      </c>
      <c r="Q321" t="s">
        <v>452</v>
      </c>
    </row>
    <row r="322" spans="1:17" x14ac:dyDescent="0.2">
      <c r="A322">
        <v>348</v>
      </c>
      <c r="B322" t="s">
        <v>157</v>
      </c>
      <c r="C322" t="s">
        <v>15</v>
      </c>
      <c r="D322" s="48">
        <v>42369</v>
      </c>
      <c r="E322" s="3">
        <v>6456000000</v>
      </c>
      <c r="F322" s="3">
        <v>4281000000</v>
      </c>
      <c r="G322" s="3">
        <f>Project_Data_NYSE[[#This Row],[ Total Revenue ]]-Project_Data_NYSE[[#This Row],[ Cost of Goods Sold ]]</f>
        <v>2175000000</v>
      </c>
      <c r="H322" s="3">
        <v>262000000</v>
      </c>
      <c r="I322" s="3">
        <v>0</v>
      </c>
      <c r="J322" s="3">
        <v>750000000</v>
      </c>
      <c r="K322" s="3">
        <f>Project_Data_NYSE[[#This Row],[Gross Profit]]-Project_Data_NYSE[[#This Row],[ Sales, General and Admin. ]]-Project_Data_NYSE[[#This Row],[ Research and Development ]]-Project_Data_NYSE[[#This Row],[ Other Operating Items ]]</f>
        <v>1163000000</v>
      </c>
      <c r="L322" t="s">
        <v>41</v>
      </c>
      <c r="M322" t="s">
        <v>42</v>
      </c>
      <c r="N322" s="31">
        <f>Project_Data_NYSE[[#This Row],[Gross Profit]]/Project_Data_NYSE[[#This Row],[ Total Revenue ]]</f>
        <v>0.33689591078066916</v>
      </c>
      <c r="O322" s="31">
        <f>Project_Data_NYSE[[#This Row],[Operating Profit]]/Project_Data_NYSE[[#This Row],[ Total Revenue ]]</f>
        <v>0.18014250309789342</v>
      </c>
      <c r="Q322" t="s">
        <v>453</v>
      </c>
    </row>
    <row r="323" spans="1:17" x14ac:dyDescent="0.2">
      <c r="A323">
        <v>349</v>
      </c>
      <c r="B323" t="s">
        <v>157</v>
      </c>
      <c r="C323" t="s">
        <v>16</v>
      </c>
      <c r="D323" s="48">
        <v>42735</v>
      </c>
      <c r="E323" s="3">
        <v>6399000000</v>
      </c>
      <c r="F323" s="3">
        <v>4010000000</v>
      </c>
      <c r="G323" s="3">
        <f>Project_Data_NYSE[[#This Row],[ Total Revenue ]]-Project_Data_NYSE[[#This Row],[ Cost of Goods Sold ]]</f>
        <v>2389000000</v>
      </c>
      <c r="H323" s="3">
        <v>281000000</v>
      </c>
      <c r="I323" s="3">
        <v>0</v>
      </c>
      <c r="J323" s="3">
        <v>811000000</v>
      </c>
      <c r="K323" s="3">
        <f>Project_Data_NYSE[[#This Row],[Gross Profit]]-Project_Data_NYSE[[#This Row],[ Sales, General and Admin. ]]-Project_Data_NYSE[[#This Row],[ Research and Development ]]-Project_Data_NYSE[[#This Row],[ Other Operating Items ]]</f>
        <v>1297000000</v>
      </c>
      <c r="L323" t="s">
        <v>41</v>
      </c>
      <c r="M323" t="s">
        <v>42</v>
      </c>
      <c r="N323" s="31">
        <f>Project_Data_NYSE[[#This Row],[Gross Profit]]/Project_Data_NYSE[[#This Row],[ Total Revenue ]]</f>
        <v>0.37333958431004843</v>
      </c>
      <c r="O323" s="31">
        <f>Project_Data_NYSE[[#This Row],[Operating Profit]]/Project_Data_NYSE[[#This Row],[ Total Revenue ]]</f>
        <v>0.20268791998749805</v>
      </c>
      <c r="Q323" t="s">
        <v>454</v>
      </c>
    </row>
    <row r="324" spans="1:17" x14ac:dyDescent="0.2">
      <c r="A324">
        <v>1482</v>
      </c>
      <c r="B324" t="s">
        <v>495</v>
      </c>
      <c r="C324" t="s">
        <v>11</v>
      </c>
      <c r="D324" s="48">
        <v>41639</v>
      </c>
      <c r="E324" s="3">
        <v>9021000000</v>
      </c>
      <c r="F324" s="3">
        <v>3002000000</v>
      </c>
      <c r="G324" s="3">
        <f>Project_Data_NYSE[[#This Row],[ Total Revenue ]]-Project_Data_NYSE[[#This Row],[ Cost of Goods Sold ]]</f>
        <v>6019000000</v>
      </c>
      <c r="H324" s="3">
        <v>4089000000</v>
      </c>
      <c r="I324" s="3">
        <v>536000000</v>
      </c>
      <c r="J324" s="3">
        <v>138000000</v>
      </c>
      <c r="K324" s="3">
        <f>Project_Data_NYSE[[#This Row],[Gross Profit]]-Project_Data_NYSE[[#This Row],[ Sales, General and Admin. ]]-Project_Data_NYSE[[#This Row],[ Research and Development ]]-Project_Data_NYSE[[#This Row],[ Other Operating Items ]]</f>
        <v>1256000000</v>
      </c>
      <c r="L324" t="s">
        <v>24</v>
      </c>
      <c r="M324" t="s">
        <v>29</v>
      </c>
      <c r="N324" s="31">
        <f>Project_Data_NYSE[[#This Row],[Gross Profit]]/Project_Data_NYSE[[#This Row],[ Total Revenue ]]</f>
        <v>0.6672209289435761</v>
      </c>
      <c r="O324" s="31">
        <f>Project_Data_NYSE[[#This Row],[Operating Profit]]/Project_Data_NYSE[[#This Row],[ Total Revenue ]]</f>
        <v>0.13923068395964971</v>
      </c>
      <c r="Q324" t="s">
        <v>455</v>
      </c>
    </row>
    <row r="325" spans="1:17" x14ac:dyDescent="0.2">
      <c r="A325">
        <v>453</v>
      </c>
      <c r="B325" t="s">
        <v>197</v>
      </c>
      <c r="C325" t="s">
        <v>14</v>
      </c>
      <c r="D325" s="48">
        <v>41639</v>
      </c>
      <c r="E325" s="3">
        <v>7146000000</v>
      </c>
      <c r="F325" s="3">
        <v>4326000000</v>
      </c>
      <c r="G325" s="3">
        <f>Project_Data_NYSE[[#This Row],[ Total Revenue ]]-Project_Data_NYSE[[#This Row],[ Cost of Goods Sold ]]</f>
        <v>2820000000</v>
      </c>
      <c r="H325" s="3">
        <v>1740000000</v>
      </c>
      <c r="I325" s="3">
        <v>0</v>
      </c>
      <c r="J325" s="3">
        <v>79000000</v>
      </c>
      <c r="K325" s="3">
        <f>Project_Data_NYSE[[#This Row],[Gross Profit]]-Project_Data_NYSE[[#This Row],[ Sales, General and Admin. ]]-Project_Data_NYSE[[#This Row],[ Research and Development ]]-Project_Data_NYSE[[#This Row],[ Other Operating Items ]]</f>
        <v>1001000000</v>
      </c>
      <c r="L325" t="s">
        <v>24</v>
      </c>
      <c r="M325" t="s">
        <v>198</v>
      </c>
      <c r="N325" s="31">
        <f>Project_Data_NYSE[[#This Row],[Gross Profit]]/Project_Data_NYSE[[#This Row],[ Total Revenue ]]</f>
        <v>0.39462636439966414</v>
      </c>
      <c r="O325" s="31">
        <f>Project_Data_NYSE[[#This Row],[Operating Profit]]/Project_Data_NYSE[[#This Row],[ Total Revenue ]]</f>
        <v>0.14007836551917158</v>
      </c>
      <c r="Q325" t="s">
        <v>456</v>
      </c>
    </row>
    <row r="326" spans="1:17" x14ac:dyDescent="0.2">
      <c r="A326">
        <v>749</v>
      </c>
      <c r="B326" t="s">
        <v>289</v>
      </c>
      <c r="C326" t="s">
        <v>14</v>
      </c>
      <c r="D326" s="48">
        <v>41639</v>
      </c>
      <c r="E326" s="3">
        <v>34182000000</v>
      </c>
      <c r="F326" s="3">
        <v>5970000000</v>
      </c>
      <c r="G326" s="3">
        <f>Project_Data_NYSE[[#This Row],[ Total Revenue ]]-Project_Data_NYSE[[#This Row],[ Cost of Goods Sold ]]</f>
        <v>28212000000</v>
      </c>
      <c r="H326" s="3">
        <v>21667000000</v>
      </c>
      <c r="I326" s="3">
        <v>0</v>
      </c>
      <c r="J326" s="3">
        <v>1753000000</v>
      </c>
      <c r="K326" s="3">
        <f>Project_Data_NYSE[[#This Row],[Gross Profit]]-Project_Data_NYSE[[#This Row],[ Sales, General and Admin. ]]-Project_Data_NYSE[[#This Row],[ Research and Development ]]-Project_Data_NYSE[[#This Row],[ Other Operating Items ]]</f>
        <v>4792000000</v>
      </c>
      <c r="L326" t="s">
        <v>24</v>
      </c>
      <c r="M326" t="s">
        <v>198</v>
      </c>
      <c r="N326" s="31">
        <f>Project_Data_NYSE[[#This Row],[Gross Profit]]/Project_Data_NYSE[[#This Row],[ Total Revenue ]]</f>
        <v>0.82534667368790593</v>
      </c>
      <c r="O326" s="31">
        <f>Project_Data_NYSE[[#This Row],[Operating Profit]]/Project_Data_NYSE[[#This Row],[ Total Revenue ]]</f>
        <v>0.14019074366625708</v>
      </c>
      <c r="Q326" t="s">
        <v>457</v>
      </c>
    </row>
    <row r="327" spans="1:17" x14ac:dyDescent="0.2">
      <c r="A327">
        <v>23</v>
      </c>
      <c r="B327" t="s">
        <v>28</v>
      </c>
      <c r="C327" t="s">
        <v>16</v>
      </c>
      <c r="D327" s="48">
        <v>42369</v>
      </c>
      <c r="E327" s="3">
        <v>20405000000</v>
      </c>
      <c r="F327" s="3">
        <v>8747000000</v>
      </c>
      <c r="G327" s="3">
        <f>Project_Data_NYSE[[#This Row],[ Total Revenue ]]-Project_Data_NYSE[[#This Row],[ Cost of Goods Sold ]]</f>
        <v>11658000000</v>
      </c>
      <c r="H327" s="3">
        <v>6785000000</v>
      </c>
      <c r="I327" s="3">
        <v>1405000000</v>
      </c>
      <c r="J327" s="3">
        <v>601000000</v>
      </c>
      <c r="K327" s="3">
        <f>Project_Data_NYSE[[#This Row],[Gross Profit]]-Project_Data_NYSE[[#This Row],[ Sales, General and Admin. ]]-Project_Data_NYSE[[#This Row],[ Research and Development ]]-Project_Data_NYSE[[#This Row],[ Other Operating Items ]]</f>
        <v>2867000000</v>
      </c>
      <c r="L327" t="s">
        <v>24</v>
      </c>
      <c r="M327" t="s">
        <v>29</v>
      </c>
      <c r="N327" s="31">
        <f>Project_Data_NYSE[[#This Row],[Gross Profit]]/Project_Data_NYSE[[#This Row],[ Total Revenue ]]</f>
        <v>0.57133055623621665</v>
      </c>
      <c r="O327" s="31">
        <f>Project_Data_NYSE[[#This Row],[Operating Profit]]/Project_Data_NYSE[[#This Row],[ Total Revenue ]]</f>
        <v>0.14050477824062729</v>
      </c>
      <c r="Q327" t="s">
        <v>458</v>
      </c>
    </row>
    <row r="328" spans="1:17" x14ac:dyDescent="0.2">
      <c r="A328">
        <v>354</v>
      </c>
      <c r="B328" t="s">
        <v>159</v>
      </c>
      <c r="C328" t="s">
        <v>11</v>
      </c>
      <c r="D328" s="48">
        <v>41274</v>
      </c>
      <c r="E328" s="3">
        <v>7452000000</v>
      </c>
      <c r="F328" s="3">
        <v>4747000000</v>
      </c>
      <c r="G328" s="3">
        <f>Project_Data_NYSE[[#This Row],[ Total Revenue ]]-Project_Data_NYSE[[#This Row],[ Cost of Goods Sold ]]</f>
        <v>2705000000</v>
      </c>
      <c r="H328" s="3">
        <v>365000000</v>
      </c>
      <c r="I328" s="3">
        <v>0</v>
      </c>
      <c r="J328" s="3">
        <v>1050000000</v>
      </c>
      <c r="K328" s="3">
        <f>Project_Data_NYSE[[#This Row],[Gross Profit]]-Project_Data_NYSE[[#This Row],[ Sales, General and Admin. ]]-Project_Data_NYSE[[#This Row],[ Research and Development ]]-Project_Data_NYSE[[#This Row],[ Other Operating Items ]]</f>
        <v>1290000000</v>
      </c>
      <c r="L328" t="s">
        <v>41</v>
      </c>
      <c r="M328" t="s">
        <v>42</v>
      </c>
      <c r="N328" s="31">
        <f>Project_Data_NYSE[[#This Row],[Gross Profit]]/Project_Data_NYSE[[#This Row],[ Total Revenue ]]</f>
        <v>0.3629898013955985</v>
      </c>
      <c r="O328" s="31">
        <f>Project_Data_NYSE[[#This Row],[Operating Profit]]/Project_Data_NYSE[[#This Row],[ Total Revenue ]]</f>
        <v>0.17310789049919484</v>
      </c>
      <c r="Q328" t="s">
        <v>459</v>
      </c>
    </row>
    <row r="329" spans="1:17" x14ac:dyDescent="0.2">
      <c r="A329">
        <v>355</v>
      </c>
      <c r="B329" t="s">
        <v>159</v>
      </c>
      <c r="C329" t="s">
        <v>14</v>
      </c>
      <c r="D329" s="48">
        <v>41639</v>
      </c>
      <c r="E329" s="3">
        <v>8106000000</v>
      </c>
      <c r="F329" s="3">
        <v>5755000000</v>
      </c>
      <c r="G329" s="3">
        <f>Project_Data_NYSE[[#This Row],[ Total Revenue ]]-Project_Data_NYSE[[#This Row],[ Cost of Goods Sold ]]</f>
        <v>2351000000</v>
      </c>
      <c r="H329" s="3">
        <v>387000000</v>
      </c>
      <c r="I329" s="3">
        <v>0</v>
      </c>
      <c r="J329" s="3">
        <v>954000000</v>
      </c>
      <c r="K329" s="3">
        <f>Project_Data_NYSE[[#This Row],[Gross Profit]]-Project_Data_NYSE[[#This Row],[ Sales, General and Admin. ]]-Project_Data_NYSE[[#This Row],[ Research and Development ]]-Project_Data_NYSE[[#This Row],[ Other Operating Items ]]</f>
        <v>1010000000</v>
      </c>
      <c r="L329" t="s">
        <v>41</v>
      </c>
      <c r="M329" t="s">
        <v>42</v>
      </c>
      <c r="N329" s="31">
        <f>Project_Data_NYSE[[#This Row],[Gross Profit]]/Project_Data_NYSE[[#This Row],[ Total Revenue ]]</f>
        <v>0.29003207500616829</v>
      </c>
      <c r="O329" s="31">
        <f>Project_Data_NYSE[[#This Row],[Operating Profit]]/Project_Data_NYSE[[#This Row],[ Total Revenue ]]</f>
        <v>0.12459906242289662</v>
      </c>
      <c r="Q329" t="s">
        <v>460</v>
      </c>
    </row>
    <row r="330" spans="1:17" x14ac:dyDescent="0.2">
      <c r="A330">
        <v>356</v>
      </c>
      <c r="B330" t="s">
        <v>159</v>
      </c>
      <c r="C330" t="s">
        <v>15</v>
      </c>
      <c r="D330" s="48">
        <v>42004</v>
      </c>
      <c r="E330" s="3">
        <v>9226000000</v>
      </c>
      <c r="F330" s="3">
        <v>6890000000</v>
      </c>
      <c r="G330" s="3">
        <f>Project_Data_NYSE[[#This Row],[ Total Revenue ]]-Project_Data_NYSE[[#This Row],[ Cost of Goods Sold ]]</f>
        <v>2336000000</v>
      </c>
      <c r="H330" s="3">
        <v>388000000</v>
      </c>
      <c r="I330" s="3">
        <v>0</v>
      </c>
      <c r="J330" s="3">
        <v>1013000000</v>
      </c>
      <c r="K330" s="3">
        <f>Project_Data_NYSE[[#This Row],[Gross Profit]]-Project_Data_NYSE[[#This Row],[ Sales, General and Admin. ]]-Project_Data_NYSE[[#This Row],[ Research and Development ]]-Project_Data_NYSE[[#This Row],[ Other Operating Items ]]</f>
        <v>935000000</v>
      </c>
      <c r="L330" t="s">
        <v>41</v>
      </c>
      <c r="M330" t="s">
        <v>42</v>
      </c>
      <c r="N330" s="31">
        <f>Project_Data_NYSE[[#This Row],[Gross Profit]]/Project_Data_NYSE[[#This Row],[ Total Revenue ]]</f>
        <v>0.25319748536743986</v>
      </c>
      <c r="O330" s="31">
        <f>Project_Data_NYSE[[#This Row],[Operating Profit]]/Project_Data_NYSE[[#This Row],[ Total Revenue ]]</f>
        <v>0.10134402774766962</v>
      </c>
      <c r="Q330" t="s">
        <v>462</v>
      </c>
    </row>
    <row r="331" spans="1:17" x14ac:dyDescent="0.2">
      <c r="A331">
        <v>357</v>
      </c>
      <c r="B331" t="s">
        <v>159</v>
      </c>
      <c r="C331" t="s">
        <v>16</v>
      </c>
      <c r="D331" s="48">
        <v>42369</v>
      </c>
      <c r="E331" s="3">
        <v>7386000000</v>
      </c>
      <c r="F331" s="3">
        <v>5109000000</v>
      </c>
      <c r="G331" s="3">
        <f>Project_Data_NYSE[[#This Row],[ Total Revenue ]]-Project_Data_NYSE[[#This Row],[ Cost of Goods Sold ]]</f>
        <v>2277000000</v>
      </c>
      <c r="H331" s="3">
        <v>374000000</v>
      </c>
      <c r="I331" s="3">
        <v>0</v>
      </c>
      <c r="J331" s="3">
        <v>970000000</v>
      </c>
      <c r="K331" s="3">
        <f>Project_Data_NYSE[[#This Row],[Gross Profit]]-Project_Data_NYSE[[#This Row],[ Sales, General and Admin. ]]-Project_Data_NYSE[[#This Row],[ Research and Development ]]-Project_Data_NYSE[[#This Row],[ Other Operating Items ]]</f>
        <v>933000000</v>
      </c>
      <c r="L331" t="s">
        <v>41</v>
      </c>
      <c r="M331" t="s">
        <v>42</v>
      </c>
      <c r="N331" s="31">
        <f>Project_Data_NYSE[[#This Row],[Gross Profit]]/Project_Data_NYSE[[#This Row],[ Total Revenue ]]</f>
        <v>0.3082859463850528</v>
      </c>
      <c r="O331" s="31">
        <f>Project_Data_NYSE[[#This Row],[Operating Profit]]/Project_Data_NYSE[[#This Row],[ Total Revenue ]]</f>
        <v>0.12632006498781478</v>
      </c>
      <c r="Q331" t="s">
        <v>463</v>
      </c>
    </row>
    <row r="332" spans="1:17" x14ac:dyDescent="0.2">
      <c r="A332">
        <v>358</v>
      </c>
      <c r="B332" t="s">
        <v>160</v>
      </c>
      <c r="C332" t="s">
        <v>11</v>
      </c>
      <c r="D332" s="48">
        <v>41274</v>
      </c>
      <c r="E332" s="3">
        <v>23771000000</v>
      </c>
      <c r="F332" s="3">
        <v>1403000000</v>
      </c>
      <c r="G332" s="3">
        <f>Project_Data_NYSE[[#This Row],[ Total Revenue ]]-Project_Data_NYSE[[#This Row],[ Cost of Goods Sold ]]</f>
        <v>22368000000</v>
      </c>
      <c r="H332" s="3">
        <v>11188000000</v>
      </c>
      <c r="I332" s="3">
        <v>0</v>
      </c>
      <c r="J332" s="3">
        <v>5024000000</v>
      </c>
      <c r="K332" s="3">
        <f>Project_Data_NYSE[[#This Row],[Gross Profit]]-Project_Data_NYSE[[#This Row],[ Sales, General and Admin. ]]-Project_Data_NYSE[[#This Row],[ Research and Development ]]-Project_Data_NYSE[[#This Row],[ Other Operating Items ]]</f>
        <v>6156000000</v>
      </c>
      <c r="L332" t="s">
        <v>46</v>
      </c>
      <c r="M332" t="s">
        <v>99</v>
      </c>
      <c r="N332" s="31">
        <f>Project_Data_NYSE[[#This Row],[Gross Profit]]/Project_Data_NYSE[[#This Row],[ Total Revenue ]]</f>
        <v>0.94097850321820709</v>
      </c>
      <c r="O332" s="31">
        <f>Project_Data_NYSE[[#This Row],[Operating Profit]]/Project_Data_NYSE[[#This Row],[ Total Revenue ]]</f>
        <v>0.25897101510243575</v>
      </c>
      <c r="Q332" t="s">
        <v>464</v>
      </c>
    </row>
    <row r="333" spans="1:17" x14ac:dyDescent="0.2">
      <c r="A333">
        <v>359</v>
      </c>
      <c r="B333" t="s">
        <v>160</v>
      </c>
      <c r="C333" t="s">
        <v>14</v>
      </c>
      <c r="D333" s="48">
        <v>41639</v>
      </c>
      <c r="E333" s="3">
        <v>24176000000</v>
      </c>
      <c r="F333" s="3">
        <v>1241000000</v>
      </c>
      <c r="G333" s="3">
        <f>Project_Data_NYSE[[#This Row],[ Total Revenue ]]-Project_Data_NYSE[[#This Row],[ Cost of Goods Sold ]]</f>
        <v>22935000000</v>
      </c>
      <c r="H333" s="3">
        <v>11682000000</v>
      </c>
      <c r="I333" s="3">
        <v>0</v>
      </c>
      <c r="J333" s="3">
        <v>4124000000</v>
      </c>
      <c r="K333" s="3">
        <f>Project_Data_NYSE[[#This Row],[Gross Profit]]-Project_Data_NYSE[[#This Row],[ Sales, General and Admin. ]]-Project_Data_NYSE[[#This Row],[ Research and Development ]]-Project_Data_NYSE[[#This Row],[ Other Operating Items ]]</f>
        <v>7129000000</v>
      </c>
      <c r="L333" t="s">
        <v>46</v>
      </c>
      <c r="M333" t="s">
        <v>99</v>
      </c>
      <c r="N333" s="31">
        <f>Project_Data_NYSE[[#This Row],[Gross Profit]]/Project_Data_NYSE[[#This Row],[ Total Revenue ]]</f>
        <v>0.948668100595632</v>
      </c>
      <c r="O333" s="31">
        <f>Project_Data_NYSE[[#This Row],[Operating Profit]]/Project_Data_NYSE[[#This Row],[ Total Revenue ]]</f>
        <v>0.29487921906022502</v>
      </c>
      <c r="Q333" t="s">
        <v>465</v>
      </c>
    </row>
    <row r="334" spans="1:17" x14ac:dyDescent="0.2">
      <c r="A334">
        <v>360</v>
      </c>
      <c r="B334" t="s">
        <v>160</v>
      </c>
      <c r="C334" t="s">
        <v>15</v>
      </c>
      <c r="D334" s="48">
        <v>42004</v>
      </c>
      <c r="E334" s="3">
        <v>23869000000</v>
      </c>
      <c r="F334" s="3">
        <v>1088000000</v>
      </c>
      <c r="G334" s="3">
        <f>Project_Data_NYSE[[#This Row],[ Total Revenue ]]-Project_Data_NYSE[[#This Row],[ Cost of Goods Sold ]]</f>
        <v>22781000000</v>
      </c>
      <c r="H334" s="3">
        <v>11648000000</v>
      </c>
      <c r="I334" s="3">
        <v>0</v>
      </c>
      <c r="J334" s="3">
        <v>4073000000</v>
      </c>
      <c r="K334" s="3">
        <f>Project_Data_NYSE[[#This Row],[Gross Profit]]-Project_Data_NYSE[[#This Row],[ Sales, General and Admin. ]]-Project_Data_NYSE[[#This Row],[ Research and Development ]]-Project_Data_NYSE[[#This Row],[ Other Operating Items ]]</f>
        <v>7060000000</v>
      </c>
      <c r="L334" t="s">
        <v>46</v>
      </c>
      <c r="M334" t="s">
        <v>99</v>
      </c>
      <c r="N334" s="31">
        <f>Project_Data_NYSE[[#This Row],[Gross Profit]]/Project_Data_NYSE[[#This Row],[ Total Revenue ]]</f>
        <v>0.95441786417529018</v>
      </c>
      <c r="O334" s="31">
        <f>Project_Data_NYSE[[#This Row],[Operating Profit]]/Project_Data_NYSE[[#This Row],[ Total Revenue ]]</f>
        <v>0.29578113871548872</v>
      </c>
      <c r="Q334" t="s">
        <v>466</v>
      </c>
    </row>
    <row r="335" spans="1:17" x14ac:dyDescent="0.2">
      <c r="A335">
        <v>361</v>
      </c>
      <c r="B335" t="s">
        <v>160</v>
      </c>
      <c r="C335" t="s">
        <v>16</v>
      </c>
      <c r="D335" s="48">
        <v>42369</v>
      </c>
      <c r="E335" s="3">
        <v>25038000000</v>
      </c>
      <c r="F335" s="3">
        <v>1091000000</v>
      </c>
      <c r="G335" s="3">
        <f>Project_Data_NYSE[[#This Row],[ Total Revenue ]]-Project_Data_NYSE[[#This Row],[ Cost of Goods Sold ]]</f>
        <v>23947000000</v>
      </c>
      <c r="H335" s="3">
        <v>12566000000</v>
      </c>
      <c r="I335" s="3">
        <v>0</v>
      </c>
      <c r="J335" s="3">
        <v>4966000000</v>
      </c>
      <c r="K335" s="3">
        <f>Project_Data_NYSE[[#This Row],[Gross Profit]]-Project_Data_NYSE[[#This Row],[ Sales, General and Admin. ]]-Project_Data_NYSE[[#This Row],[ Research and Development ]]-Project_Data_NYSE[[#This Row],[ Other Operating Items ]]</f>
        <v>6415000000</v>
      </c>
      <c r="L335" t="s">
        <v>46</v>
      </c>
      <c r="M335" t="s">
        <v>99</v>
      </c>
      <c r="N335" s="31">
        <f>Project_Data_NYSE[[#This Row],[Gross Profit]]/Project_Data_NYSE[[#This Row],[ Total Revenue ]]</f>
        <v>0.95642623212716671</v>
      </c>
      <c r="O335" s="31">
        <f>Project_Data_NYSE[[#This Row],[Operating Profit]]/Project_Data_NYSE[[#This Row],[ Total Revenue ]]</f>
        <v>0.2562105599488777</v>
      </c>
      <c r="Q335" t="s">
        <v>467</v>
      </c>
    </row>
    <row r="336" spans="1:17" x14ac:dyDescent="0.2">
      <c r="A336">
        <v>362</v>
      </c>
      <c r="B336" t="s">
        <v>161</v>
      </c>
      <c r="C336" t="s">
        <v>11</v>
      </c>
      <c r="D336" s="48">
        <v>41274</v>
      </c>
      <c r="E336" s="3">
        <v>1204546000</v>
      </c>
      <c r="F336" s="3">
        <v>290054000</v>
      </c>
      <c r="G336" s="3">
        <f>Project_Data_NYSE[[#This Row],[ Total Revenue ]]-Project_Data_NYSE[[#This Row],[ Cost of Goods Sold ]]</f>
        <v>914492000</v>
      </c>
      <c r="H336" s="3">
        <v>170113000</v>
      </c>
      <c r="I336" s="3">
        <v>0</v>
      </c>
      <c r="J336" s="3">
        <v>451405000</v>
      </c>
      <c r="K336" s="3">
        <f>Project_Data_NYSE[[#This Row],[Gross Profit]]-Project_Data_NYSE[[#This Row],[ Sales, General and Admin. ]]-Project_Data_NYSE[[#This Row],[ Research and Development ]]-Project_Data_NYSE[[#This Row],[ Other Operating Items ]]</f>
        <v>292974000</v>
      </c>
      <c r="L336" t="s">
        <v>82</v>
      </c>
      <c r="M336" t="s">
        <v>83</v>
      </c>
      <c r="N336" s="31">
        <f>Project_Data_NYSE[[#This Row],[Gross Profit]]/Project_Data_NYSE[[#This Row],[ Total Revenue ]]</f>
        <v>0.75920056187144369</v>
      </c>
      <c r="O336" s="31">
        <f>Project_Data_NYSE[[#This Row],[Operating Profit]]/Project_Data_NYSE[[#This Row],[ Total Revenue ]]</f>
        <v>0.2432235879742243</v>
      </c>
      <c r="Q336" t="s">
        <v>468</v>
      </c>
    </row>
    <row r="337" spans="1:17" x14ac:dyDescent="0.2">
      <c r="A337">
        <v>363</v>
      </c>
      <c r="B337" t="s">
        <v>161</v>
      </c>
      <c r="C337" t="s">
        <v>14</v>
      </c>
      <c r="D337" s="48">
        <v>41639</v>
      </c>
      <c r="E337" s="3">
        <v>1746278000</v>
      </c>
      <c r="F337" s="3">
        <v>400281000</v>
      </c>
      <c r="G337" s="3">
        <f>Project_Data_NYSE[[#This Row],[ Total Revenue ]]-Project_Data_NYSE[[#This Row],[ Cost of Goods Sold ]]</f>
        <v>1345997000</v>
      </c>
      <c r="H337" s="3">
        <v>147651000</v>
      </c>
      <c r="I337" s="3">
        <v>0</v>
      </c>
      <c r="J337" s="3">
        <v>651052000</v>
      </c>
      <c r="K337" s="3">
        <f>Project_Data_NYSE[[#This Row],[Gross Profit]]-Project_Data_NYSE[[#This Row],[ Sales, General and Admin. ]]-Project_Data_NYSE[[#This Row],[ Research and Development ]]-Project_Data_NYSE[[#This Row],[ Other Operating Items ]]</f>
        <v>547294000</v>
      </c>
      <c r="L337" t="s">
        <v>82</v>
      </c>
      <c r="M337" t="s">
        <v>83</v>
      </c>
      <c r="N337" s="31">
        <f>Project_Data_NYSE[[#This Row],[Gross Profit]]/Project_Data_NYSE[[#This Row],[ Total Revenue ]]</f>
        <v>0.77078048283263034</v>
      </c>
      <c r="O337" s="31">
        <f>Project_Data_NYSE[[#This Row],[Operating Profit]]/Project_Data_NYSE[[#This Row],[ Total Revenue ]]</f>
        <v>0.31340599835764982</v>
      </c>
      <c r="Q337" t="s">
        <v>469</v>
      </c>
    </row>
    <row r="338" spans="1:17" x14ac:dyDescent="0.2">
      <c r="A338">
        <v>364</v>
      </c>
      <c r="B338" t="s">
        <v>161</v>
      </c>
      <c r="C338" t="s">
        <v>15</v>
      </c>
      <c r="D338" s="48">
        <v>42004</v>
      </c>
      <c r="E338" s="3">
        <v>2173011000</v>
      </c>
      <c r="F338" s="3">
        <v>524880000</v>
      </c>
      <c r="G338" s="3">
        <f>Project_Data_NYSE[[#This Row],[ Total Revenue ]]-Project_Data_NYSE[[#This Row],[ Cost of Goods Sold ]]</f>
        <v>1648131000</v>
      </c>
      <c r="H338" s="3">
        <v>129602000</v>
      </c>
      <c r="I338" s="3">
        <v>0</v>
      </c>
      <c r="J338" s="3">
        <v>632760000</v>
      </c>
      <c r="K338" s="3">
        <f>Project_Data_NYSE[[#This Row],[Gross Profit]]-Project_Data_NYSE[[#This Row],[ Sales, General and Admin. ]]-Project_Data_NYSE[[#This Row],[ Research and Development ]]-Project_Data_NYSE[[#This Row],[ Other Operating Items ]]</f>
        <v>885769000</v>
      </c>
      <c r="L338" t="s">
        <v>82</v>
      </c>
      <c r="M338" t="s">
        <v>83</v>
      </c>
      <c r="N338" s="31">
        <f>Project_Data_NYSE[[#This Row],[Gross Profit]]/Project_Data_NYSE[[#This Row],[ Total Revenue ]]</f>
        <v>0.75845497330662381</v>
      </c>
      <c r="O338" s="31">
        <f>Project_Data_NYSE[[#This Row],[Operating Profit]]/Project_Data_NYSE[[#This Row],[ Total Revenue ]]</f>
        <v>0.40762287903742778</v>
      </c>
      <c r="Q338" t="s">
        <v>470</v>
      </c>
    </row>
    <row r="339" spans="1:17" x14ac:dyDescent="0.2">
      <c r="A339">
        <v>365</v>
      </c>
      <c r="B339" t="s">
        <v>161</v>
      </c>
      <c r="C339" t="s">
        <v>16</v>
      </c>
      <c r="D339" s="48">
        <v>42369</v>
      </c>
      <c r="E339" s="3">
        <v>1357150000</v>
      </c>
      <c r="F339" s="3">
        <v>580994000</v>
      </c>
      <c r="G339" s="3">
        <f>Project_Data_NYSE[[#This Row],[ Total Revenue ]]-Project_Data_NYSE[[#This Row],[ Cost of Goods Sold ]]</f>
        <v>776156000</v>
      </c>
      <c r="H339" s="3">
        <v>112253000</v>
      </c>
      <c r="I339" s="3">
        <v>0</v>
      </c>
      <c r="J339" s="3">
        <v>622211000</v>
      </c>
      <c r="K339" s="3">
        <f>Project_Data_NYSE[[#This Row],[Gross Profit]]-Project_Data_NYSE[[#This Row],[ Sales, General and Admin. ]]-Project_Data_NYSE[[#This Row],[ Research and Development ]]-Project_Data_NYSE[[#This Row],[ Other Operating Items ]]</f>
        <v>41692000</v>
      </c>
      <c r="L339" t="s">
        <v>82</v>
      </c>
      <c r="M339" t="s">
        <v>83</v>
      </c>
      <c r="N339" s="31">
        <f>Project_Data_NYSE[[#This Row],[Gross Profit]]/Project_Data_NYSE[[#This Row],[ Total Revenue ]]</f>
        <v>0.57190141104520498</v>
      </c>
      <c r="O339" s="31">
        <f>Project_Data_NYSE[[#This Row],[Operating Profit]]/Project_Data_NYSE[[#This Row],[ Total Revenue ]]</f>
        <v>3.0720259367055962E-2</v>
      </c>
      <c r="Q339" t="s">
        <v>471</v>
      </c>
    </row>
    <row r="340" spans="1:17" x14ac:dyDescent="0.2">
      <c r="A340">
        <v>366</v>
      </c>
      <c r="B340" t="s">
        <v>162</v>
      </c>
      <c r="C340" t="s">
        <v>11</v>
      </c>
      <c r="D340" s="48">
        <v>41547</v>
      </c>
      <c r="E340" s="3">
        <v>4474000000</v>
      </c>
      <c r="F340" s="3">
        <v>3103000000</v>
      </c>
      <c r="G340" s="3">
        <f>Project_Data_NYSE[[#This Row],[ Total Revenue ]]-Project_Data_NYSE[[#This Row],[ Cost of Goods Sold ]]</f>
        <v>1371000000</v>
      </c>
      <c r="H340" s="3">
        <v>495000000</v>
      </c>
      <c r="I340" s="3">
        <v>0</v>
      </c>
      <c r="J340" s="3">
        <v>0</v>
      </c>
      <c r="K340" s="3">
        <f>Project_Data_NYSE[[#This Row],[Gross Profit]]-Project_Data_NYSE[[#This Row],[ Sales, General and Admin. ]]-Project_Data_NYSE[[#This Row],[ Research and Development ]]-Project_Data_NYSE[[#This Row],[ Other Operating Items ]]</f>
        <v>876000000</v>
      </c>
      <c r="L340" t="s">
        <v>12</v>
      </c>
      <c r="M340" t="s">
        <v>163</v>
      </c>
      <c r="N340" s="31">
        <f>Project_Data_NYSE[[#This Row],[Gross Profit]]/Project_Data_NYSE[[#This Row],[ Total Revenue ]]</f>
        <v>0.3064371926687528</v>
      </c>
      <c r="O340" s="31">
        <f>Project_Data_NYSE[[#This Row],[Operating Profit]]/Project_Data_NYSE[[#This Row],[ Total Revenue ]]</f>
        <v>0.19579794367456416</v>
      </c>
      <c r="Q340" t="s">
        <v>472</v>
      </c>
    </row>
    <row r="341" spans="1:17" x14ac:dyDescent="0.2">
      <c r="A341">
        <v>367</v>
      </c>
      <c r="B341" t="s">
        <v>162</v>
      </c>
      <c r="C341" t="s">
        <v>14</v>
      </c>
      <c r="D341" s="48">
        <v>41912</v>
      </c>
      <c r="E341" s="3">
        <v>4979000000</v>
      </c>
      <c r="F341" s="3">
        <v>3469000000</v>
      </c>
      <c r="G341" s="3">
        <f>Project_Data_NYSE[[#This Row],[ Total Revenue ]]-Project_Data_NYSE[[#This Row],[ Cost of Goods Sold ]]</f>
        <v>1510000000</v>
      </c>
      <c r="H341" s="3">
        <v>594000000</v>
      </c>
      <c r="I341" s="3">
        <v>0</v>
      </c>
      <c r="J341" s="3">
        <v>0</v>
      </c>
      <c r="K341" s="3">
        <f>Project_Data_NYSE[[#This Row],[Gross Profit]]-Project_Data_NYSE[[#This Row],[ Sales, General and Admin. ]]-Project_Data_NYSE[[#This Row],[ Research and Development ]]-Project_Data_NYSE[[#This Row],[ Other Operating Items ]]</f>
        <v>916000000</v>
      </c>
      <c r="L341" t="s">
        <v>12</v>
      </c>
      <c r="M341" t="s">
        <v>163</v>
      </c>
      <c r="N341" s="31">
        <f>Project_Data_NYSE[[#This Row],[Gross Profit]]/Project_Data_NYSE[[#This Row],[ Total Revenue ]]</f>
        <v>0.30327374974894555</v>
      </c>
      <c r="O341" s="31">
        <f>Project_Data_NYSE[[#This Row],[Operating Profit]]/Project_Data_NYSE[[#This Row],[ Total Revenue ]]</f>
        <v>0.18397268527816832</v>
      </c>
      <c r="Q341" t="s">
        <v>473</v>
      </c>
    </row>
    <row r="342" spans="1:17" x14ac:dyDescent="0.2">
      <c r="A342">
        <v>368</v>
      </c>
      <c r="B342" t="s">
        <v>162</v>
      </c>
      <c r="C342" t="s">
        <v>15</v>
      </c>
      <c r="D342" s="48">
        <v>42277</v>
      </c>
      <c r="E342" s="3">
        <v>5244000000</v>
      </c>
      <c r="F342" s="3">
        <v>3630000000</v>
      </c>
      <c r="G342" s="3">
        <f>Project_Data_NYSE[[#This Row],[ Total Revenue ]]-Project_Data_NYSE[[#This Row],[ Cost of Goods Sold ]]</f>
        <v>1614000000</v>
      </c>
      <c r="H342" s="3">
        <v>606000000</v>
      </c>
      <c r="I342" s="3">
        <v>0</v>
      </c>
      <c r="J342" s="3">
        <v>0</v>
      </c>
      <c r="K342" s="3">
        <f>Project_Data_NYSE[[#This Row],[Gross Profit]]-Project_Data_NYSE[[#This Row],[ Sales, General and Admin. ]]-Project_Data_NYSE[[#This Row],[ Research and Development ]]-Project_Data_NYSE[[#This Row],[ Other Operating Items ]]</f>
        <v>1008000000</v>
      </c>
      <c r="L342" t="s">
        <v>12</v>
      </c>
      <c r="M342" t="s">
        <v>163</v>
      </c>
      <c r="N342" s="31">
        <f>Project_Data_NYSE[[#This Row],[Gross Profit]]/Project_Data_NYSE[[#This Row],[ Total Revenue ]]</f>
        <v>0.30778032036613273</v>
      </c>
      <c r="O342" s="31">
        <f>Project_Data_NYSE[[#This Row],[Operating Profit]]/Project_Data_NYSE[[#This Row],[ Total Revenue ]]</f>
        <v>0.19221967963386727</v>
      </c>
      <c r="Q342" t="s">
        <v>474</v>
      </c>
    </row>
    <row r="343" spans="1:17" x14ac:dyDescent="0.2">
      <c r="A343">
        <v>369</v>
      </c>
      <c r="B343" t="s">
        <v>162</v>
      </c>
      <c r="C343" t="s">
        <v>16</v>
      </c>
      <c r="D343" s="48">
        <v>42643</v>
      </c>
      <c r="E343" s="3">
        <v>5259000000</v>
      </c>
      <c r="F343" s="3">
        <v>3642000000</v>
      </c>
      <c r="G343" s="3">
        <f>Project_Data_NYSE[[#This Row],[ Total Revenue ]]-Project_Data_NYSE[[#This Row],[ Cost of Goods Sold ]]</f>
        <v>1617000000</v>
      </c>
      <c r="H343" s="3">
        <v>638000000</v>
      </c>
      <c r="I343" s="3">
        <v>0</v>
      </c>
      <c r="J343" s="3">
        <v>0</v>
      </c>
      <c r="K343" s="3">
        <f>Project_Data_NYSE[[#This Row],[Gross Profit]]-Project_Data_NYSE[[#This Row],[ Sales, General and Admin. ]]-Project_Data_NYSE[[#This Row],[ Research and Development ]]-Project_Data_NYSE[[#This Row],[ Other Operating Items ]]</f>
        <v>979000000</v>
      </c>
      <c r="L343" t="s">
        <v>12</v>
      </c>
      <c r="M343" t="s">
        <v>163</v>
      </c>
      <c r="N343" s="31">
        <f>Project_Data_NYSE[[#This Row],[Gross Profit]]/Project_Data_NYSE[[#This Row],[ Total Revenue ]]</f>
        <v>0.30747290359383911</v>
      </c>
      <c r="O343" s="31">
        <f>Project_Data_NYSE[[#This Row],[Operating Profit]]/Project_Data_NYSE[[#This Row],[ Total Revenue ]]</f>
        <v>0.18615706408062369</v>
      </c>
      <c r="Q343" t="s">
        <v>475</v>
      </c>
    </row>
    <row r="344" spans="1:17" x14ac:dyDescent="0.2">
      <c r="A344">
        <v>510</v>
      </c>
      <c r="B344" t="s">
        <v>216</v>
      </c>
      <c r="C344" t="s">
        <v>15</v>
      </c>
      <c r="D344" s="48">
        <v>42004</v>
      </c>
      <c r="E344" s="3">
        <v>12795106000</v>
      </c>
      <c r="F344" s="3">
        <v>9119305000</v>
      </c>
      <c r="G344" s="3">
        <f>Project_Data_NYSE[[#This Row],[ Total Revenue ]]-Project_Data_NYSE[[#This Row],[ Cost of Goods Sold ]]</f>
        <v>3675801000</v>
      </c>
      <c r="H344" s="3">
        <v>1278506000</v>
      </c>
      <c r="I344" s="3">
        <v>0</v>
      </c>
      <c r="J344" s="3">
        <v>590935000</v>
      </c>
      <c r="K344" s="3">
        <f>Project_Data_NYSE[[#This Row],[Gross Profit]]-Project_Data_NYSE[[#This Row],[ Sales, General and Admin. ]]-Project_Data_NYSE[[#This Row],[ Research and Development ]]-Project_Data_NYSE[[#This Row],[ Other Operating Items ]]</f>
        <v>1806360000</v>
      </c>
      <c r="L344" t="s">
        <v>24</v>
      </c>
      <c r="M344" t="s">
        <v>198</v>
      </c>
      <c r="N344" s="31">
        <f>Project_Data_NYSE[[#This Row],[Gross Profit]]/Project_Data_NYSE[[#This Row],[ Total Revenue ]]</f>
        <v>0.2872817935232424</v>
      </c>
      <c r="O344" s="31">
        <f>Project_Data_NYSE[[#This Row],[Operating Profit]]/Project_Data_NYSE[[#This Row],[ Total Revenue ]]</f>
        <v>0.14117585270493266</v>
      </c>
      <c r="Q344" t="s">
        <v>476</v>
      </c>
    </row>
    <row r="345" spans="1:17" x14ac:dyDescent="0.2">
      <c r="A345">
        <v>239</v>
      </c>
      <c r="B345" t="s">
        <v>118</v>
      </c>
      <c r="C345" t="s">
        <v>14</v>
      </c>
      <c r="D345" s="48">
        <v>41639</v>
      </c>
      <c r="E345" s="3">
        <v>7143000000</v>
      </c>
      <c r="F345" s="3">
        <v>2174000000</v>
      </c>
      <c r="G345" s="3">
        <f>Project_Data_NYSE[[#This Row],[ Total Revenue ]]-Project_Data_NYSE[[#This Row],[ Cost of Goods Sold ]]</f>
        <v>4969000000</v>
      </c>
      <c r="H345" s="3">
        <v>2678000000</v>
      </c>
      <c r="I345" s="3">
        <v>861000000</v>
      </c>
      <c r="J345" s="3">
        <v>410000000</v>
      </c>
      <c r="K345" s="3">
        <f>Project_Data_NYSE[[#This Row],[Gross Profit]]-Project_Data_NYSE[[#This Row],[ Sales, General and Admin. ]]-Project_Data_NYSE[[#This Row],[ Research and Development ]]-Project_Data_NYSE[[#This Row],[ Other Operating Items ]]</f>
        <v>1020000000</v>
      </c>
      <c r="L345" t="s">
        <v>24</v>
      </c>
      <c r="M345" t="s">
        <v>29</v>
      </c>
      <c r="N345" s="31">
        <f>Project_Data_NYSE[[#This Row],[Gross Profit]]/Project_Data_NYSE[[#This Row],[ Total Revenue ]]</f>
        <v>0.69564608707825848</v>
      </c>
      <c r="O345" s="31">
        <f>Project_Data_NYSE[[#This Row],[Operating Profit]]/Project_Data_NYSE[[#This Row],[ Total Revenue ]]</f>
        <v>0.14279714405711885</v>
      </c>
      <c r="Q345" t="s">
        <v>478</v>
      </c>
    </row>
    <row r="346" spans="1:17" x14ac:dyDescent="0.2">
      <c r="A346">
        <v>1537</v>
      </c>
      <c r="B346" t="s">
        <v>512</v>
      </c>
      <c r="C346" t="s">
        <v>16</v>
      </c>
      <c r="D346" s="48">
        <v>42369</v>
      </c>
      <c r="E346" s="3">
        <v>16965400000</v>
      </c>
      <c r="F346" s="3">
        <v>9209500000</v>
      </c>
      <c r="G346" s="3">
        <f>Project_Data_NYSE[[#This Row],[ Total Revenue ]]-Project_Data_NYSE[[#This Row],[ Cost of Goods Sold ]]</f>
        <v>7755900000</v>
      </c>
      <c r="H346" s="3">
        <v>4612100000</v>
      </c>
      <c r="I346" s="3">
        <v>692300000</v>
      </c>
      <c r="J346" s="3">
        <v>0</v>
      </c>
      <c r="K346" s="3">
        <f>Project_Data_NYSE[[#This Row],[Gross Profit]]-Project_Data_NYSE[[#This Row],[ Sales, General and Admin. ]]-Project_Data_NYSE[[#This Row],[ Research and Development ]]-Project_Data_NYSE[[#This Row],[ Other Operating Items ]]</f>
        <v>2451500000</v>
      </c>
      <c r="L346" t="s">
        <v>24</v>
      </c>
      <c r="M346" t="s">
        <v>29</v>
      </c>
      <c r="N346" s="31">
        <f>Project_Data_NYSE[[#This Row],[Gross Profit]]/Project_Data_NYSE[[#This Row],[ Total Revenue ]]</f>
        <v>0.45715986655192331</v>
      </c>
      <c r="O346" s="31">
        <f>Project_Data_NYSE[[#This Row],[Operating Profit]]/Project_Data_NYSE[[#This Row],[ Total Revenue ]]</f>
        <v>0.14449998231695096</v>
      </c>
      <c r="Q346" t="s">
        <v>480</v>
      </c>
    </row>
    <row r="347" spans="1:17" x14ac:dyDescent="0.2">
      <c r="A347">
        <v>1128</v>
      </c>
      <c r="B347" t="s">
        <v>404</v>
      </c>
      <c r="C347" t="s">
        <v>14</v>
      </c>
      <c r="D347" s="48">
        <v>42369</v>
      </c>
      <c r="E347" s="3">
        <v>9429300000</v>
      </c>
      <c r="F347" s="3">
        <v>5213200000</v>
      </c>
      <c r="G347" s="3">
        <f>Project_Data_NYSE[[#This Row],[ Total Revenue ]]-Project_Data_NYSE[[#This Row],[ Cost of Goods Sold ]]</f>
        <v>4216100000</v>
      </c>
      <c r="H347" s="3">
        <v>2180700000</v>
      </c>
      <c r="I347" s="3">
        <v>671900000</v>
      </c>
      <c r="J347" s="3">
        <v>0</v>
      </c>
      <c r="K347" s="3">
        <f>Project_Data_NYSE[[#This Row],[Gross Profit]]-Project_Data_NYSE[[#This Row],[ Sales, General and Admin. ]]-Project_Data_NYSE[[#This Row],[ Research and Development ]]-Project_Data_NYSE[[#This Row],[ Other Operating Items ]]</f>
        <v>1363500000</v>
      </c>
      <c r="L347" t="s">
        <v>24</v>
      </c>
      <c r="M347" t="s">
        <v>25</v>
      </c>
      <c r="N347" s="31">
        <f>Project_Data_NYSE[[#This Row],[Gross Profit]]/Project_Data_NYSE[[#This Row],[ Total Revenue ]]</f>
        <v>0.44712757044531409</v>
      </c>
      <c r="O347" s="31">
        <f>Project_Data_NYSE[[#This Row],[Operating Profit]]/Project_Data_NYSE[[#This Row],[ Total Revenue ]]</f>
        <v>0.14460246253698578</v>
      </c>
      <c r="Q347" t="s">
        <v>481</v>
      </c>
    </row>
    <row r="348" spans="1:17" x14ac:dyDescent="0.2">
      <c r="A348">
        <v>374</v>
      </c>
      <c r="B348" t="s">
        <v>166</v>
      </c>
      <c r="C348" t="s">
        <v>11</v>
      </c>
      <c r="D348" s="48">
        <v>41518</v>
      </c>
      <c r="E348" s="3">
        <v>105156000000</v>
      </c>
      <c r="F348" s="3">
        <v>91948000000</v>
      </c>
      <c r="G348" s="3">
        <f>Project_Data_NYSE[[#This Row],[ Total Revenue ]]-Project_Data_NYSE[[#This Row],[ Cost of Goods Sold ]]</f>
        <v>13208000000</v>
      </c>
      <c r="H348" s="3">
        <v>10104000000</v>
      </c>
      <c r="I348" s="3">
        <v>0</v>
      </c>
      <c r="J348" s="3">
        <v>0</v>
      </c>
      <c r="K348" s="3">
        <f>Project_Data_NYSE[[#This Row],[Gross Profit]]-Project_Data_NYSE[[#This Row],[ Sales, General and Admin. ]]-Project_Data_NYSE[[#This Row],[ Research and Development ]]-Project_Data_NYSE[[#This Row],[ Other Operating Items ]]</f>
        <v>3104000000</v>
      </c>
      <c r="L348" t="s">
        <v>35</v>
      </c>
      <c r="M348" t="s">
        <v>167</v>
      </c>
      <c r="N348" s="31">
        <f>Project_Data_NYSE[[#This Row],[Gross Profit]]/Project_Data_NYSE[[#This Row],[ Total Revenue ]]</f>
        <v>0.12560386473429952</v>
      </c>
      <c r="O348" s="31">
        <f>Project_Data_NYSE[[#This Row],[Operating Profit]]/Project_Data_NYSE[[#This Row],[ Total Revenue ]]</f>
        <v>2.9518049374263E-2</v>
      </c>
      <c r="Q348" t="s">
        <v>482</v>
      </c>
    </row>
    <row r="349" spans="1:17" x14ac:dyDescent="0.2">
      <c r="A349">
        <v>375</v>
      </c>
      <c r="B349" t="s">
        <v>166</v>
      </c>
      <c r="C349" t="s">
        <v>14</v>
      </c>
      <c r="D349" s="48">
        <v>41882</v>
      </c>
      <c r="E349" s="3">
        <v>112640000000</v>
      </c>
      <c r="F349" s="3">
        <v>98458000000</v>
      </c>
      <c r="G349" s="3">
        <f>Project_Data_NYSE[[#This Row],[ Total Revenue ]]-Project_Data_NYSE[[#This Row],[ Cost of Goods Sold ]]</f>
        <v>14182000000</v>
      </c>
      <c r="H349" s="3">
        <v>10899000000</v>
      </c>
      <c r="I349" s="3">
        <v>0</v>
      </c>
      <c r="J349" s="3">
        <v>0</v>
      </c>
      <c r="K349" s="3">
        <f>Project_Data_NYSE[[#This Row],[Gross Profit]]-Project_Data_NYSE[[#This Row],[ Sales, General and Admin. ]]-Project_Data_NYSE[[#This Row],[ Research and Development ]]-Project_Data_NYSE[[#This Row],[ Other Operating Items ]]</f>
        <v>3283000000</v>
      </c>
      <c r="L349" t="s">
        <v>35</v>
      </c>
      <c r="M349" t="s">
        <v>167</v>
      </c>
      <c r="N349" s="31">
        <f>Project_Data_NYSE[[#This Row],[Gross Profit]]/Project_Data_NYSE[[#This Row],[ Total Revenue ]]</f>
        <v>0.12590553977272728</v>
      </c>
      <c r="O349" s="31">
        <f>Project_Data_NYSE[[#This Row],[Operating Profit]]/Project_Data_NYSE[[#This Row],[ Total Revenue ]]</f>
        <v>2.9145951704545453E-2</v>
      </c>
      <c r="Q349" t="s">
        <v>483</v>
      </c>
    </row>
    <row r="350" spans="1:17" x14ac:dyDescent="0.2">
      <c r="A350">
        <v>376</v>
      </c>
      <c r="B350" t="s">
        <v>166</v>
      </c>
      <c r="C350" t="s">
        <v>15</v>
      </c>
      <c r="D350" s="48">
        <v>42246</v>
      </c>
      <c r="E350" s="3">
        <v>116199000000</v>
      </c>
      <c r="F350" s="3">
        <v>101065000000</v>
      </c>
      <c r="G350" s="3">
        <f>Project_Data_NYSE[[#This Row],[ Total Revenue ]]-Project_Data_NYSE[[#This Row],[ Cost of Goods Sold ]]</f>
        <v>15134000000</v>
      </c>
      <c r="H350" s="3">
        <v>11445000000</v>
      </c>
      <c r="I350" s="3">
        <v>0</v>
      </c>
      <c r="J350" s="3">
        <v>0</v>
      </c>
      <c r="K350" s="3">
        <f>Project_Data_NYSE[[#This Row],[Gross Profit]]-Project_Data_NYSE[[#This Row],[ Sales, General and Admin. ]]-Project_Data_NYSE[[#This Row],[ Research and Development ]]-Project_Data_NYSE[[#This Row],[ Other Operating Items ]]</f>
        <v>3689000000</v>
      </c>
      <c r="L350" t="s">
        <v>35</v>
      </c>
      <c r="M350" t="s">
        <v>167</v>
      </c>
      <c r="N350" s="31">
        <f>Project_Data_NYSE[[#This Row],[Gross Profit]]/Project_Data_NYSE[[#This Row],[ Total Revenue ]]</f>
        <v>0.13024208469952409</v>
      </c>
      <c r="O350" s="31">
        <f>Project_Data_NYSE[[#This Row],[Operating Profit]]/Project_Data_NYSE[[#This Row],[ Total Revenue ]]</f>
        <v>3.1747261164037553E-2</v>
      </c>
      <c r="Q350" t="s">
        <v>484</v>
      </c>
    </row>
    <row r="351" spans="1:17" x14ac:dyDescent="0.2">
      <c r="A351">
        <v>377</v>
      </c>
      <c r="B351" t="s">
        <v>166</v>
      </c>
      <c r="C351" t="s">
        <v>16</v>
      </c>
      <c r="D351" s="48">
        <v>42610</v>
      </c>
      <c r="E351" s="3">
        <v>118719000000</v>
      </c>
      <c r="F351" s="3">
        <v>102901000000</v>
      </c>
      <c r="G351" s="3">
        <f>Project_Data_NYSE[[#This Row],[ Total Revenue ]]-Project_Data_NYSE[[#This Row],[ Cost of Goods Sold ]]</f>
        <v>15818000000</v>
      </c>
      <c r="H351" s="3">
        <v>12068000000</v>
      </c>
      <c r="I351" s="3">
        <v>0</v>
      </c>
      <c r="J351" s="3">
        <v>0</v>
      </c>
      <c r="K351" s="3">
        <f>Project_Data_NYSE[[#This Row],[Gross Profit]]-Project_Data_NYSE[[#This Row],[ Sales, General and Admin. ]]-Project_Data_NYSE[[#This Row],[ Research and Development ]]-Project_Data_NYSE[[#This Row],[ Other Operating Items ]]</f>
        <v>3750000000</v>
      </c>
      <c r="L351" t="s">
        <v>35</v>
      </c>
      <c r="M351" t="s">
        <v>167</v>
      </c>
      <c r="N351" s="31">
        <f>Project_Data_NYSE[[#This Row],[Gross Profit]]/Project_Data_NYSE[[#This Row],[ Total Revenue ]]</f>
        <v>0.13323899291604546</v>
      </c>
      <c r="O351" s="31">
        <f>Project_Data_NYSE[[#This Row],[Operating Profit]]/Project_Data_NYSE[[#This Row],[ Total Revenue ]]</f>
        <v>3.1587193288353167E-2</v>
      </c>
      <c r="Q351" t="s">
        <v>485</v>
      </c>
    </row>
    <row r="352" spans="1:17" x14ac:dyDescent="0.2">
      <c r="A352">
        <v>378</v>
      </c>
      <c r="B352" t="s">
        <v>168</v>
      </c>
      <c r="C352" t="s">
        <v>11</v>
      </c>
      <c r="D352" s="48">
        <v>37802</v>
      </c>
      <c r="E352" s="3">
        <v>1577000</v>
      </c>
      <c r="F352" s="3">
        <v>258000</v>
      </c>
      <c r="G352" s="3">
        <f>Project_Data_NYSE[[#This Row],[ Total Revenue ]]-Project_Data_NYSE[[#This Row],[ Cost of Goods Sold ]]</f>
        <v>1319000</v>
      </c>
      <c r="H352" s="3">
        <v>2410000</v>
      </c>
      <c r="I352" s="3">
        <v>65000</v>
      </c>
      <c r="J352" s="3">
        <v>0</v>
      </c>
      <c r="K352" s="3">
        <f>Project_Data_NYSE[[#This Row],[Gross Profit]]-Project_Data_NYSE[[#This Row],[ Sales, General and Admin. ]]-Project_Data_NYSE[[#This Row],[ Research and Development ]]-Project_Data_NYSE[[#This Row],[ Other Operating Items ]]</f>
        <v>-1156000</v>
      </c>
      <c r="L352" t="s">
        <v>35</v>
      </c>
      <c r="M352" t="s">
        <v>169</v>
      </c>
      <c r="N352" s="31">
        <f>Project_Data_NYSE[[#This Row],[Gross Profit]]/Project_Data_NYSE[[#This Row],[ Total Revenue ]]</f>
        <v>0.83639822447685475</v>
      </c>
      <c r="O352" s="31">
        <f>Project_Data_NYSE[[#This Row],[Operating Profit]]/Project_Data_NYSE[[#This Row],[ Total Revenue ]]</f>
        <v>-0.73303741280913126</v>
      </c>
      <c r="Q352" t="s">
        <v>486</v>
      </c>
    </row>
    <row r="353" spans="1:17" x14ac:dyDescent="0.2">
      <c r="A353">
        <v>379</v>
      </c>
      <c r="B353" t="s">
        <v>168</v>
      </c>
      <c r="C353" t="s">
        <v>14</v>
      </c>
      <c r="D353" s="48">
        <v>38168</v>
      </c>
      <c r="E353" s="3">
        <v>1514000</v>
      </c>
      <c r="F353" s="3">
        <v>142000</v>
      </c>
      <c r="G353" s="3">
        <f>Project_Data_NYSE[[#This Row],[ Total Revenue ]]-Project_Data_NYSE[[#This Row],[ Cost of Goods Sold ]]</f>
        <v>1372000</v>
      </c>
      <c r="H353" s="3">
        <v>3940000</v>
      </c>
      <c r="I353" s="3">
        <v>30000</v>
      </c>
      <c r="J353" s="3">
        <v>163000</v>
      </c>
      <c r="K353" s="3">
        <f>Project_Data_NYSE[[#This Row],[Gross Profit]]-Project_Data_NYSE[[#This Row],[ Sales, General and Admin. ]]-Project_Data_NYSE[[#This Row],[ Research and Development ]]-Project_Data_NYSE[[#This Row],[ Other Operating Items ]]</f>
        <v>-2761000</v>
      </c>
      <c r="L353" t="s">
        <v>35</v>
      </c>
      <c r="M353" t="s">
        <v>169</v>
      </c>
      <c r="N353" s="31">
        <f>Project_Data_NYSE[[#This Row],[Gross Profit]]/Project_Data_NYSE[[#This Row],[ Total Revenue ]]</f>
        <v>0.90620871862615593</v>
      </c>
      <c r="O353" s="31">
        <f>Project_Data_NYSE[[#This Row],[Operating Profit]]/Project_Data_NYSE[[#This Row],[ Total Revenue ]]</f>
        <v>-1.8236459709379129</v>
      </c>
      <c r="Q353" t="s">
        <v>487</v>
      </c>
    </row>
    <row r="354" spans="1:17" x14ac:dyDescent="0.2">
      <c r="A354">
        <v>380</v>
      </c>
      <c r="B354" t="s">
        <v>168</v>
      </c>
      <c r="C354" t="s">
        <v>15</v>
      </c>
      <c r="D354" s="48">
        <v>38776</v>
      </c>
      <c r="E354" s="3">
        <v>79562000</v>
      </c>
      <c r="F354" s="3">
        <v>75508000</v>
      </c>
      <c r="G354" s="3">
        <f>Project_Data_NYSE[[#This Row],[ Total Revenue ]]-Project_Data_NYSE[[#This Row],[ Cost of Goods Sold ]]</f>
        <v>4054000</v>
      </c>
      <c r="H354" s="3">
        <v>15359000</v>
      </c>
      <c r="I354" s="3">
        <v>0</v>
      </c>
      <c r="J354" s="3">
        <v>0</v>
      </c>
      <c r="K354" s="3">
        <f>Project_Data_NYSE[[#This Row],[Gross Profit]]-Project_Data_NYSE[[#This Row],[ Sales, General and Admin. ]]-Project_Data_NYSE[[#This Row],[ Research and Development ]]-Project_Data_NYSE[[#This Row],[ Other Operating Items ]]</f>
        <v>-11305000</v>
      </c>
      <c r="L354" t="s">
        <v>35</v>
      </c>
      <c r="M354" t="s">
        <v>169</v>
      </c>
      <c r="N354" s="31">
        <f>Project_Data_NYSE[[#This Row],[Gross Profit]]/Project_Data_NYSE[[#This Row],[ Total Revenue ]]</f>
        <v>5.0953973002186972E-2</v>
      </c>
      <c r="O354" s="31">
        <f>Project_Data_NYSE[[#This Row],[Operating Profit]]/Project_Data_NYSE[[#This Row],[ Total Revenue ]]</f>
        <v>-0.14209044518740102</v>
      </c>
      <c r="Q354" t="s">
        <v>489</v>
      </c>
    </row>
    <row r="355" spans="1:17" x14ac:dyDescent="0.2">
      <c r="A355">
        <v>381</v>
      </c>
      <c r="B355" t="s">
        <v>168</v>
      </c>
      <c r="C355" t="s">
        <v>16</v>
      </c>
      <c r="D355" s="48">
        <v>39141</v>
      </c>
      <c r="E355" s="3">
        <v>99642000</v>
      </c>
      <c r="F355" s="3">
        <v>84477000</v>
      </c>
      <c r="G355" s="3">
        <f>Project_Data_NYSE[[#This Row],[ Total Revenue ]]-Project_Data_NYSE[[#This Row],[ Cost of Goods Sold ]]</f>
        <v>15165000</v>
      </c>
      <c r="H355" s="3">
        <v>25853000</v>
      </c>
      <c r="I355" s="3">
        <v>0</v>
      </c>
      <c r="J355" s="3">
        <v>0</v>
      </c>
      <c r="K355" s="3">
        <f>Project_Data_NYSE[[#This Row],[Gross Profit]]-Project_Data_NYSE[[#This Row],[ Sales, General and Admin. ]]-Project_Data_NYSE[[#This Row],[ Research and Development ]]-Project_Data_NYSE[[#This Row],[ Other Operating Items ]]</f>
        <v>-10688000</v>
      </c>
      <c r="L355" t="s">
        <v>35</v>
      </c>
      <c r="M355" t="s">
        <v>169</v>
      </c>
      <c r="N355" s="31">
        <f>Project_Data_NYSE[[#This Row],[Gross Profit]]/Project_Data_NYSE[[#This Row],[ Total Revenue ]]</f>
        <v>0.15219485759017282</v>
      </c>
      <c r="O355" s="31">
        <f>Project_Data_NYSE[[#This Row],[Operating Profit]]/Project_Data_NYSE[[#This Row],[ Total Revenue ]]</f>
        <v>-0.10726400513839546</v>
      </c>
      <c r="Q355" t="s">
        <v>491</v>
      </c>
    </row>
    <row r="356" spans="1:17" x14ac:dyDescent="0.2">
      <c r="A356">
        <v>382</v>
      </c>
      <c r="B356" t="s">
        <v>170</v>
      </c>
      <c r="C356" t="s">
        <v>11</v>
      </c>
      <c r="D356" s="48">
        <v>41483</v>
      </c>
      <c r="E356" s="3">
        <v>8052000000</v>
      </c>
      <c r="F356" s="3">
        <v>5140000000</v>
      </c>
      <c r="G356" s="3">
        <f>Project_Data_NYSE[[#This Row],[ Total Revenue ]]-Project_Data_NYSE[[#This Row],[ Cost of Goods Sold ]]</f>
        <v>2912000000</v>
      </c>
      <c r="H356" s="3">
        <v>1653000000</v>
      </c>
      <c r="I356" s="3">
        <v>128000000</v>
      </c>
      <c r="J356" s="3">
        <v>0</v>
      </c>
      <c r="K356" s="3">
        <f>Project_Data_NYSE[[#This Row],[Gross Profit]]-Project_Data_NYSE[[#This Row],[ Sales, General and Admin. ]]-Project_Data_NYSE[[#This Row],[ Research and Development ]]-Project_Data_NYSE[[#This Row],[ Other Operating Items ]]</f>
        <v>1131000000</v>
      </c>
      <c r="L356" t="s">
        <v>35</v>
      </c>
      <c r="M356" t="s">
        <v>123</v>
      </c>
      <c r="N356" s="31">
        <f>Project_Data_NYSE[[#This Row],[Gross Profit]]/Project_Data_NYSE[[#This Row],[ Total Revenue ]]</f>
        <v>0.36164927968206656</v>
      </c>
      <c r="O356" s="31">
        <f>Project_Data_NYSE[[#This Row],[Operating Profit]]/Project_Data_NYSE[[#This Row],[ Total Revenue ]]</f>
        <v>0.14046199701937406</v>
      </c>
      <c r="Q356" t="s">
        <v>492</v>
      </c>
    </row>
    <row r="357" spans="1:17" x14ac:dyDescent="0.2">
      <c r="A357">
        <v>383</v>
      </c>
      <c r="B357" t="s">
        <v>170</v>
      </c>
      <c r="C357" t="s">
        <v>14</v>
      </c>
      <c r="D357" s="48">
        <v>41854</v>
      </c>
      <c r="E357" s="3">
        <v>8268000000</v>
      </c>
      <c r="F357" s="3">
        <v>5297000000</v>
      </c>
      <c r="G357" s="3">
        <f>Project_Data_NYSE[[#This Row],[ Total Revenue ]]-Project_Data_NYSE[[#This Row],[ Cost of Goods Sold ]]</f>
        <v>2971000000</v>
      </c>
      <c r="H357" s="3">
        <v>1527000000</v>
      </c>
      <c r="I357" s="3">
        <v>122000000</v>
      </c>
      <c r="J357" s="3">
        <v>0</v>
      </c>
      <c r="K357" s="3">
        <f>Project_Data_NYSE[[#This Row],[Gross Profit]]-Project_Data_NYSE[[#This Row],[ Sales, General and Admin. ]]-Project_Data_NYSE[[#This Row],[ Research and Development ]]-Project_Data_NYSE[[#This Row],[ Other Operating Items ]]</f>
        <v>1322000000</v>
      </c>
      <c r="L357" t="s">
        <v>35</v>
      </c>
      <c r="M357" t="s">
        <v>123</v>
      </c>
      <c r="N357" s="31">
        <f>Project_Data_NYSE[[#This Row],[Gross Profit]]/Project_Data_NYSE[[#This Row],[ Total Revenue ]]</f>
        <v>0.35933720367682631</v>
      </c>
      <c r="O357" s="31">
        <f>Project_Data_NYSE[[#This Row],[Operating Profit]]/Project_Data_NYSE[[#This Row],[ Total Revenue ]]</f>
        <v>0.15989356555394291</v>
      </c>
      <c r="Q357" t="s">
        <v>493</v>
      </c>
    </row>
    <row r="358" spans="1:17" x14ac:dyDescent="0.2">
      <c r="A358">
        <v>384</v>
      </c>
      <c r="B358" t="s">
        <v>170</v>
      </c>
      <c r="C358" t="s">
        <v>15</v>
      </c>
      <c r="D358" s="48">
        <v>42218</v>
      </c>
      <c r="E358" s="3">
        <v>8082000000</v>
      </c>
      <c r="F358" s="3">
        <v>5300000000</v>
      </c>
      <c r="G358" s="3">
        <f>Project_Data_NYSE[[#This Row],[ Total Revenue ]]-Project_Data_NYSE[[#This Row],[ Cost of Goods Sold ]]</f>
        <v>2782000000</v>
      </c>
      <c r="H358" s="3">
        <v>1509000000</v>
      </c>
      <c r="I358" s="3">
        <v>117000000</v>
      </c>
      <c r="J358" s="3">
        <v>0</v>
      </c>
      <c r="K358" s="3">
        <f>Project_Data_NYSE[[#This Row],[Gross Profit]]-Project_Data_NYSE[[#This Row],[ Sales, General and Admin. ]]-Project_Data_NYSE[[#This Row],[ Research and Development ]]-Project_Data_NYSE[[#This Row],[ Other Operating Items ]]</f>
        <v>1156000000</v>
      </c>
      <c r="L358" t="s">
        <v>35</v>
      </c>
      <c r="M358" t="s">
        <v>123</v>
      </c>
      <c r="N358" s="31">
        <f>Project_Data_NYSE[[#This Row],[Gross Profit]]/Project_Data_NYSE[[#This Row],[ Total Revenue ]]</f>
        <v>0.34422172729522393</v>
      </c>
      <c r="O358" s="31">
        <f>Project_Data_NYSE[[#This Row],[Operating Profit]]/Project_Data_NYSE[[#This Row],[ Total Revenue ]]</f>
        <v>0.14303390249938133</v>
      </c>
      <c r="Q358" t="s">
        <v>494</v>
      </c>
    </row>
    <row r="359" spans="1:17" x14ac:dyDescent="0.2">
      <c r="A359">
        <v>385</v>
      </c>
      <c r="B359" t="s">
        <v>170</v>
      </c>
      <c r="C359" t="s">
        <v>16</v>
      </c>
      <c r="D359" s="48">
        <v>42582</v>
      </c>
      <c r="E359" s="3">
        <v>7961000000</v>
      </c>
      <c r="F359" s="3">
        <v>5181000000</v>
      </c>
      <c r="G359" s="3">
        <f>Project_Data_NYSE[[#This Row],[ Total Revenue ]]-Project_Data_NYSE[[#This Row],[ Cost of Goods Sold ]]</f>
        <v>2780000000</v>
      </c>
      <c r="H359" s="3">
        <v>1665000000</v>
      </c>
      <c r="I359" s="3">
        <v>124000000</v>
      </c>
      <c r="J359" s="3">
        <v>0</v>
      </c>
      <c r="K359" s="3">
        <f>Project_Data_NYSE[[#This Row],[Gross Profit]]-Project_Data_NYSE[[#This Row],[ Sales, General and Admin. ]]-Project_Data_NYSE[[#This Row],[ Research and Development ]]-Project_Data_NYSE[[#This Row],[ Other Operating Items ]]</f>
        <v>991000000</v>
      </c>
      <c r="L359" t="s">
        <v>35</v>
      </c>
      <c r="M359" t="s">
        <v>123</v>
      </c>
      <c r="N359" s="31">
        <f>Project_Data_NYSE[[#This Row],[Gross Profit]]/Project_Data_NYSE[[#This Row],[ Total Revenue ]]</f>
        <v>0.34920236151237283</v>
      </c>
      <c r="O359" s="31">
        <f>Project_Data_NYSE[[#This Row],[Operating Profit]]/Project_Data_NYSE[[#This Row],[ Total Revenue ]]</f>
        <v>0.12448184901394298</v>
      </c>
      <c r="Q359" t="s">
        <v>495</v>
      </c>
    </row>
    <row r="360" spans="1:17" x14ac:dyDescent="0.2">
      <c r="A360">
        <v>386</v>
      </c>
      <c r="B360" t="s">
        <v>171</v>
      </c>
      <c r="C360" t="s">
        <v>11</v>
      </c>
      <c r="D360" s="48">
        <v>41305</v>
      </c>
      <c r="E360" s="3">
        <v>3050195000</v>
      </c>
      <c r="F360" s="3">
        <v>683579000</v>
      </c>
      <c r="G360" s="3">
        <f>Project_Data_NYSE[[#This Row],[ Total Revenue ]]-Project_Data_NYSE[[#This Row],[ Cost of Goods Sold ]]</f>
        <v>2366616000</v>
      </c>
      <c r="H360" s="3">
        <v>2047847000</v>
      </c>
      <c r="I360" s="3">
        <v>429479000</v>
      </c>
      <c r="J360" s="3">
        <v>0</v>
      </c>
      <c r="K360" s="3">
        <f>Project_Data_NYSE[[#This Row],[Gross Profit]]-Project_Data_NYSE[[#This Row],[ Sales, General and Admin. ]]-Project_Data_NYSE[[#This Row],[ Research and Development ]]-Project_Data_NYSE[[#This Row],[ Other Operating Items ]]</f>
        <v>-110710000</v>
      </c>
      <c r="L360" t="s">
        <v>21</v>
      </c>
      <c r="M360" t="s">
        <v>56</v>
      </c>
      <c r="N360" s="31">
        <f>Project_Data_NYSE[[#This Row],[Gross Profit]]/Project_Data_NYSE[[#This Row],[ Total Revenue ]]</f>
        <v>0.7758900660449578</v>
      </c>
      <c r="O360" s="31">
        <f>Project_Data_NYSE[[#This Row],[Operating Profit]]/Project_Data_NYSE[[#This Row],[ Total Revenue ]]</f>
        <v>-3.6296040089240193E-2</v>
      </c>
      <c r="Q360" t="s">
        <v>496</v>
      </c>
    </row>
    <row r="361" spans="1:17" x14ac:dyDescent="0.2">
      <c r="A361">
        <v>387</v>
      </c>
      <c r="B361" t="s">
        <v>171</v>
      </c>
      <c r="C361" t="s">
        <v>14</v>
      </c>
      <c r="D361" s="48">
        <v>41670</v>
      </c>
      <c r="E361" s="3">
        <v>4071003000</v>
      </c>
      <c r="F361" s="3">
        <v>968428000</v>
      </c>
      <c r="G361" s="3">
        <f>Project_Data_NYSE[[#This Row],[ Total Revenue ]]-Project_Data_NYSE[[#This Row],[ Cost of Goods Sold ]]</f>
        <v>3102575000</v>
      </c>
      <c r="H361" s="3">
        <v>2764851000</v>
      </c>
      <c r="I361" s="3">
        <v>623798000</v>
      </c>
      <c r="J361" s="3">
        <v>0</v>
      </c>
      <c r="K361" s="3">
        <f>Project_Data_NYSE[[#This Row],[Gross Profit]]-Project_Data_NYSE[[#This Row],[ Sales, General and Admin. ]]-Project_Data_NYSE[[#This Row],[ Research and Development ]]-Project_Data_NYSE[[#This Row],[ Other Operating Items ]]</f>
        <v>-286074000</v>
      </c>
      <c r="L361" t="s">
        <v>21</v>
      </c>
      <c r="M361" t="s">
        <v>56</v>
      </c>
      <c r="N361" s="31">
        <f>Project_Data_NYSE[[#This Row],[Gross Profit]]/Project_Data_NYSE[[#This Row],[ Total Revenue ]]</f>
        <v>0.76211562605087735</v>
      </c>
      <c r="O361" s="31">
        <f>Project_Data_NYSE[[#This Row],[Operating Profit]]/Project_Data_NYSE[[#This Row],[ Total Revenue ]]</f>
        <v>-7.0271134656496204E-2</v>
      </c>
      <c r="Q361" t="s">
        <v>497</v>
      </c>
    </row>
    <row r="362" spans="1:17" x14ac:dyDescent="0.2">
      <c r="A362">
        <v>388</v>
      </c>
      <c r="B362" t="s">
        <v>171</v>
      </c>
      <c r="C362" t="s">
        <v>15</v>
      </c>
      <c r="D362" s="48">
        <v>42035</v>
      </c>
      <c r="E362" s="3">
        <v>5373586000</v>
      </c>
      <c r="F362" s="3">
        <v>1289270000</v>
      </c>
      <c r="G362" s="3">
        <f>Project_Data_NYSE[[#This Row],[ Total Revenue ]]-Project_Data_NYSE[[#This Row],[ Cost of Goods Sold ]]</f>
        <v>4084316000</v>
      </c>
      <c r="H362" s="3">
        <v>3437032000</v>
      </c>
      <c r="I362" s="3">
        <v>792917000</v>
      </c>
      <c r="J362" s="3">
        <v>0</v>
      </c>
      <c r="K362" s="3">
        <f>Project_Data_NYSE[[#This Row],[Gross Profit]]-Project_Data_NYSE[[#This Row],[ Sales, General and Admin. ]]-Project_Data_NYSE[[#This Row],[ Research and Development ]]-Project_Data_NYSE[[#This Row],[ Other Operating Items ]]</f>
        <v>-145633000</v>
      </c>
      <c r="L362" t="s">
        <v>21</v>
      </c>
      <c r="M362" t="s">
        <v>56</v>
      </c>
      <c r="N362" s="31">
        <f>Project_Data_NYSE[[#This Row],[Gross Profit]]/Project_Data_NYSE[[#This Row],[ Total Revenue ]]</f>
        <v>0.76007269633350982</v>
      </c>
      <c r="O362" s="31">
        <f>Project_Data_NYSE[[#This Row],[Operating Profit]]/Project_Data_NYSE[[#This Row],[ Total Revenue ]]</f>
        <v>-2.7101641250368003E-2</v>
      </c>
      <c r="Q362" t="s">
        <v>499</v>
      </c>
    </row>
    <row r="363" spans="1:17" x14ac:dyDescent="0.2">
      <c r="A363">
        <v>389</v>
      </c>
      <c r="B363" t="s">
        <v>171</v>
      </c>
      <c r="C363" t="s">
        <v>16</v>
      </c>
      <c r="D363" s="48">
        <v>42400</v>
      </c>
      <c r="E363" s="3">
        <v>6667216000</v>
      </c>
      <c r="F363" s="3">
        <v>1654548000</v>
      </c>
      <c r="G363" s="3">
        <f>Project_Data_NYSE[[#This Row],[ Total Revenue ]]-Project_Data_NYSE[[#This Row],[ Cost of Goods Sold ]]</f>
        <v>5012668000</v>
      </c>
      <c r="H363" s="3">
        <v>3951445000</v>
      </c>
      <c r="I363" s="3">
        <v>946300000</v>
      </c>
      <c r="J363" s="3">
        <v>0</v>
      </c>
      <c r="K363" s="3">
        <f>Project_Data_NYSE[[#This Row],[Gross Profit]]-Project_Data_NYSE[[#This Row],[ Sales, General and Admin. ]]-Project_Data_NYSE[[#This Row],[ Research and Development ]]-Project_Data_NYSE[[#This Row],[ Other Operating Items ]]</f>
        <v>114923000</v>
      </c>
      <c r="L363" t="s">
        <v>21</v>
      </c>
      <c r="M363" t="s">
        <v>56</v>
      </c>
      <c r="N363" s="31">
        <f>Project_Data_NYSE[[#This Row],[Gross Profit]]/Project_Data_NYSE[[#This Row],[ Total Revenue ]]</f>
        <v>0.75183824852832126</v>
      </c>
      <c r="O363" s="31">
        <f>Project_Data_NYSE[[#This Row],[Operating Profit]]/Project_Data_NYSE[[#This Row],[ Total Revenue ]]</f>
        <v>1.7237029668755295E-2</v>
      </c>
      <c r="Q363" t="s">
        <v>500</v>
      </c>
    </row>
    <row r="364" spans="1:17" x14ac:dyDescent="0.2">
      <c r="A364">
        <v>390</v>
      </c>
      <c r="B364" t="s">
        <v>172</v>
      </c>
      <c r="C364" t="s">
        <v>11</v>
      </c>
      <c r="D364" s="48">
        <v>41482</v>
      </c>
      <c r="E364" s="3">
        <v>48607000000</v>
      </c>
      <c r="F364" s="3">
        <v>19167000000</v>
      </c>
      <c r="G364" s="3">
        <f>Project_Data_NYSE[[#This Row],[ Total Revenue ]]-Project_Data_NYSE[[#This Row],[ Cost of Goods Sold ]]</f>
        <v>29440000000</v>
      </c>
      <c r="H364" s="3">
        <v>11802000000</v>
      </c>
      <c r="I364" s="3">
        <v>5942000000</v>
      </c>
      <c r="J364" s="3">
        <v>395000000</v>
      </c>
      <c r="K364" s="3">
        <f>Project_Data_NYSE[[#This Row],[Gross Profit]]-Project_Data_NYSE[[#This Row],[ Sales, General and Admin. ]]-Project_Data_NYSE[[#This Row],[ Research and Development ]]-Project_Data_NYSE[[#This Row],[ Other Operating Items ]]</f>
        <v>11301000000</v>
      </c>
      <c r="L364" t="s">
        <v>21</v>
      </c>
      <c r="M364" t="s">
        <v>173</v>
      </c>
      <c r="N364" s="31">
        <f>Project_Data_NYSE[[#This Row],[Gross Profit]]/Project_Data_NYSE[[#This Row],[ Total Revenue ]]</f>
        <v>0.60567407986503996</v>
      </c>
      <c r="O364" s="31">
        <f>Project_Data_NYSE[[#This Row],[Operating Profit]]/Project_Data_NYSE[[#This Row],[ Total Revenue ]]</f>
        <v>0.2324973769210196</v>
      </c>
      <c r="Q364" t="s">
        <v>502</v>
      </c>
    </row>
    <row r="365" spans="1:17" x14ac:dyDescent="0.2">
      <c r="A365">
        <v>391</v>
      </c>
      <c r="B365" t="s">
        <v>172</v>
      </c>
      <c r="C365" t="s">
        <v>14</v>
      </c>
      <c r="D365" s="48">
        <v>41846</v>
      </c>
      <c r="E365" s="3">
        <v>47142000000</v>
      </c>
      <c r="F365" s="3">
        <v>19373000000</v>
      </c>
      <c r="G365" s="3">
        <f>Project_Data_NYSE[[#This Row],[ Total Revenue ]]-Project_Data_NYSE[[#This Row],[ Cost of Goods Sold ]]</f>
        <v>27769000000</v>
      </c>
      <c r="H365" s="3">
        <v>11437000000</v>
      </c>
      <c r="I365" s="3">
        <v>6294000000</v>
      </c>
      <c r="J365" s="3">
        <v>275000000</v>
      </c>
      <c r="K365" s="3">
        <f>Project_Data_NYSE[[#This Row],[Gross Profit]]-Project_Data_NYSE[[#This Row],[ Sales, General and Admin. ]]-Project_Data_NYSE[[#This Row],[ Research and Development ]]-Project_Data_NYSE[[#This Row],[ Other Operating Items ]]</f>
        <v>9763000000</v>
      </c>
      <c r="L365" t="s">
        <v>21</v>
      </c>
      <c r="M365" t="s">
        <v>173</v>
      </c>
      <c r="N365" s="31">
        <f>Project_Data_NYSE[[#This Row],[Gross Profit]]/Project_Data_NYSE[[#This Row],[ Total Revenue ]]</f>
        <v>0.58905010394128376</v>
      </c>
      <c r="O365" s="31">
        <f>Project_Data_NYSE[[#This Row],[Operating Profit]]/Project_Data_NYSE[[#This Row],[ Total Revenue ]]</f>
        <v>0.20709770480675407</v>
      </c>
      <c r="Q365" t="s">
        <v>503</v>
      </c>
    </row>
    <row r="366" spans="1:17" x14ac:dyDescent="0.2">
      <c r="A366">
        <v>392</v>
      </c>
      <c r="B366" t="s">
        <v>172</v>
      </c>
      <c r="C366" t="s">
        <v>15</v>
      </c>
      <c r="D366" s="48">
        <v>42210</v>
      </c>
      <c r="E366" s="3">
        <v>49161000000</v>
      </c>
      <c r="F366" s="3">
        <v>19480000000</v>
      </c>
      <c r="G366" s="3">
        <f>Project_Data_NYSE[[#This Row],[ Total Revenue ]]-Project_Data_NYSE[[#This Row],[ Cost of Goods Sold ]]</f>
        <v>29681000000</v>
      </c>
      <c r="H366" s="3">
        <v>11861000000</v>
      </c>
      <c r="I366" s="3">
        <v>6207000000</v>
      </c>
      <c r="J366" s="3">
        <v>359000000</v>
      </c>
      <c r="K366" s="3">
        <f>Project_Data_NYSE[[#This Row],[Gross Profit]]-Project_Data_NYSE[[#This Row],[ Sales, General and Admin. ]]-Project_Data_NYSE[[#This Row],[ Research and Development ]]-Project_Data_NYSE[[#This Row],[ Other Operating Items ]]</f>
        <v>11254000000</v>
      </c>
      <c r="L366" t="s">
        <v>21</v>
      </c>
      <c r="M366" t="s">
        <v>173</v>
      </c>
      <c r="N366" s="31">
        <f>Project_Data_NYSE[[#This Row],[Gross Profit]]/Project_Data_NYSE[[#This Row],[ Total Revenue ]]</f>
        <v>0.60375094078639568</v>
      </c>
      <c r="O366" s="31">
        <f>Project_Data_NYSE[[#This Row],[Operating Profit]]/Project_Data_NYSE[[#This Row],[ Total Revenue ]]</f>
        <v>0.22892129940399911</v>
      </c>
      <c r="Q366" t="s">
        <v>504</v>
      </c>
    </row>
    <row r="367" spans="1:17" x14ac:dyDescent="0.2">
      <c r="A367">
        <v>393</v>
      </c>
      <c r="B367" t="s">
        <v>172</v>
      </c>
      <c r="C367" t="s">
        <v>16</v>
      </c>
      <c r="D367" s="48">
        <v>42581</v>
      </c>
      <c r="E367" s="3">
        <v>49247000000</v>
      </c>
      <c r="F367" s="3">
        <v>18287000000</v>
      </c>
      <c r="G367" s="3">
        <f>Project_Data_NYSE[[#This Row],[ Total Revenue ]]-Project_Data_NYSE[[#This Row],[ Cost of Goods Sold ]]</f>
        <v>30960000000</v>
      </c>
      <c r="H367" s="3">
        <v>11433000000</v>
      </c>
      <c r="I367" s="3">
        <v>6296000000</v>
      </c>
      <c r="J367" s="3">
        <v>303000000</v>
      </c>
      <c r="K367" s="3">
        <f>Project_Data_NYSE[[#This Row],[Gross Profit]]-Project_Data_NYSE[[#This Row],[ Sales, General and Admin. ]]-Project_Data_NYSE[[#This Row],[ Research and Development ]]-Project_Data_NYSE[[#This Row],[ Other Operating Items ]]</f>
        <v>12928000000</v>
      </c>
      <c r="L367" t="s">
        <v>21</v>
      </c>
      <c r="M367" t="s">
        <v>173</v>
      </c>
      <c r="N367" s="31">
        <f>Project_Data_NYSE[[#This Row],[Gross Profit]]/Project_Data_NYSE[[#This Row],[ Total Revenue ]]</f>
        <v>0.62866773610575266</v>
      </c>
      <c r="O367" s="31">
        <f>Project_Data_NYSE[[#This Row],[Operating Profit]]/Project_Data_NYSE[[#This Row],[ Total Revenue ]]</f>
        <v>0.26251345259609721</v>
      </c>
      <c r="Q367" t="s">
        <v>506</v>
      </c>
    </row>
    <row r="368" spans="1:17" x14ac:dyDescent="0.2">
      <c r="A368">
        <v>394</v>
      </c>
      <c r="B368" t="s">
        <v>174</v>
      </c>
      <c r="C368" t="s">
        <v>11</v>
      </c>
      <c r="D368" s="48">
        <v>42097</v>
      </c>
      <c r="E368" s="3">
        <v>4069746000</v>
      </c>
      <c r="F368" s="3">
        <v>3282301000</v>
      </c>
      <c r="G368" s="3">
        <f>Project_Data_NYSE[[#This Row],[ Total Revenue ]]-Project_Data_NYSE[[#This Row],[ Cost of Goods Sold ]]</f>
        <v>787445000</v>
      </c>
      <c r="H368" s="3">
        <v>194207000</v>
      </c>
      <c r="I368" s="3">
        <v>0</v>
      </c>
      <c r="J368" s="3">
        <v>137058000</v>
      </c>
      <c r="K368" s="3">
        <f>Project_Data_NYSE[[#This Row],[Gross Profit]]-Project_Data_NYSE[[#This Row],[ Sales, General and Admin. ]]-Project_Data_NYSE[[#This Row],[ Research and Development ]]-Project_Data_NYSE[[#This Row],[ Other Operating Items ]]</f>
        <v>456180000</v>
      </c>
      <c r="L368" t="s">
        <v>21</v>
      </c>
      <c r="M368" t="s">
        <v>175</v>
      </c>
      <c r="N368" s="31">
        <f>Project_Data_NYSE[[#This Row],[Gross Profit]]/Project_Data_NYSE[[#This Row],[ Total Revenue ]]</f>
        <v>0.19348750511702695</v>
      </c>
      <c r="O368" s="31">
        <f>Project_Data_NYSE[[#This Row],[Operating Profit]]/Project_Data_NYSE[[#This Row],[ Total Revenue ]]</f>
        <v>0.11209053341412462</v>
      </c>
      <c r="Q368" t="s">
        <v>508</v>
      </c>
    </row>
    <row r="369" spans="1:17" x14ac:dyDescent="0.2">
      <c r="A369">
        <v>395</v>
      </c>
      <c r="B369" t="s">
        <v>174</v>
      </c>
      <c r="C369" t="s">
        <v>14</v>
      </c>
      <c r="D369" s="48">
        <v>42461</v>
      </c>
      <c r="E369" s="3">
        <v>4250447000</v>
      </c>
      <c r="F369" s="3">
        <v>3575631000</v>
      </c>
      <c r="G369" s="3">
        <f>Project_Data_NYSE[[#This Row],[ Total Revenue ]]-Project_Data_NYSE[[#This Row],[ Cost of Goods Sold ]]</f>
        <v>674816000</v>
      </c>
      <c r="H369" s="3">
        <v>187244000</v>
      </c>
      <c r="I369" s="3">
        <v>0</v>
      </c>
      <c r="J369" s="3">
        <v>182242000</v>
      </c>
      <c r="K369" s="3">
        <f>Project_Data_NYSE[[#This Row],[Gross Profit]]-Project_Data_NYSE[[#This Row],[ Sales, General and Admin. ]]-Project_Data_NYSE[[#This Row],[ Research and Development ]]-Project_Data_NYSE[[#This Row],[ Other Operating Items ]]</f>
        <v>305330000</v>
      </c>
      <c r="L369" t="s">
        <v>21</v>
      </c>
      <c r="M369" t="s">
        <v>175</v>
      </c>
      <c r="N369" s="31">
        <f>Project_Data_NYSE[[#This Row],[Gross Profit]]/Project_Data_NYSE[[#This Row],[ Total Revenue ]]</f>
        <v>0.15876353710562677</v>
      </c>
      <c r="O369" s="31">
        <f>Project_Data_NYSE[[#This Row],[Operating Profit]]/Project_Data_NYSE[[#This Row],[ Total Revenue ]]</f>
        <v>7.1834797610698359E-2</v>
      </c>
      <c r="Q369" t="s">
        <v>509</v>
      </c>
    </row>
    <row r="370" spans="1:17" x14ac:dyDescent="0.2">
      <c r="A370">
        <v>396</v>
      </c>
      <c r="B370" t="s">
        <v>176</v>
      </c>
      <c r="C370" t="s">
        <v>11</v>
      </c>
      <c r="D370" s="48">
        <v>41639</v>
      </c>
      <c r="E370" s="3">
        <v>12026000000</v>
      </c>
      <c r="F370" s="3">
        <v>3931000000</v>
      </c>
      <c r="G370" s="3">
        <f>Project_Data_NYSE[[#This Row],[ Total Revenue ]]-Project_Data_NYSE[[#This Row],[ Cost of Goods Sold ]]</f>
        <v>8095000000</v>
      </c>
      <c r="H370" s="3">
        <v>3518000000</v>
      </c>
      <c r="I370" s="3">
        <v>0</v>
      </c>
      <c r="J370" s="3">
        <v>1104000000</v>
      </c>
      <c r="K370" s="3">
        <f>Project_Data_NYSE[[#This Row],[Gross Profit]]-Project_Data_NYSE[[#This Row],[ Sales, General and Admin. ]]-Project_Data_NYSE[[#This Row],[ Research and Development ]]-Project_Data_NYSE[[#This Row],[ Other Operating Items ]]</f>
        <v>3473000000</v>
      </c>
      <c r="L370" t="s">
        <v>12</v>
      </c>
      <c r="M370" t="s">
        <v>177</v>
      </c>
      <c r="N370" s="31">
        <f>Project_Data_NYSE[[#This Row],[Gross Profit]]/Project_Data_NYSE[[#This Row],[ Total Revenue ]]</f>
        <v>0.67312489605853987</v>
      </c>
      <c r="O370" s="31">
        <f>Project_Data_NYSE[[#This Row],[Operating Profit]]/Project_Data_NYSE[[#This Row],[ Total Revenue ]]</f>
        <v>0.28879095293530682</v>
      </c>
      <c r="Q370" t="s">
        <v>510</v>
      </c>
    </row>
    <row r="371" spans="1:17" x14ac:dyDescent="0.2">
      <c r="A371">
        <v>397</v>
      </c>
      <c r="B371" t="s">
        <v>176</v>
      </c>
      <c r="C371" t="s">
        <v>14</v>
      </c>
      <c r="D371" s="48">
        <v>41999</v>
      </c>
      <c r="E371" s="3">
        <v>12669000000</v>
      </c>
      <c r="F371" s="3">
        <v>4100000000</v>
      </c>
      <c r="G371" s="3">
        <f>Project_Data_NYSE[[#This Row],[ Total Revenue ]]-Project_Data_NYSE[[#This Row],[ Cost of Goods Sold ]]</f>
        <v>8569000000</v>
      </c>
      <c r="H371" s="3">
        <v>3805000000</v>
      </c>
      <c r="I371" s="3">
        <v>0</v>
      </c>
      <c r="J371" s="3">
        <v>1151000000</v>
      </c>
      <c r="K371" s="3">
        <f>Project_Data_NYSE[[#This Row],[Gross Profit]]-Project_Data_NYSE[[#This Row],[ Sales, General and Admin. ]]-Project_Data_NYSE[[#This Row],[ Research and Development ]]-Project_Data_NYSE[[#This Row],[ Other Operating Items ]]</f>
        <v>3613000000</v>
      </c>
      <c r="L371" t="s">
        <v>12</v>
      </c>
      <c r="M371" t="s">
        <v>177</v>
      </c>
      <c r="N371" s="31">
        <f>Project_Data_NYSE[[#This Row],[Gross Profit]]/Project_Data_NYSE[[#This Row],[ Total Revenue ]]</f>
        <v>0.6763754045307443</v>
      </c>
      <c r="O371" s="31">
        <f>Project_Data_NYSE[[#This Row],[Operating Profit]]/Project_Data_NYSE[[#This Row],[ Total Revenue ]]</f>
        <v>0.28518430815376117</v>
      </c>
      <c r="Q371" t="s">
        <v>511</v>
      </c>
    </row>
    <row r="372" spans="1:17" x14ac:dyDescent="0.2">
      <c r="A372">
        <v>398</v>
      </c>
      <c r="B372" t="s">
        <v>176</v>
      </c>
      <c r="C372" t="s">
        <v>15</v>
      </c>
      <c r="D372" s="48">
        <v>42363</v>
      </c>
      <c r="E372" s="3">
        <v>11811000000</v>
      </c>
      <c r="F372" s="3">
        <v>3293000000</v>
      </c>
      <c r="G372" s="3">
        <f>Project_Data_NYSE[[#This Row],[ Total Revenue ]]-Project_Data_NYSE[[#This Row],[ Cost of Goods Sold ]]</f>
        <v>8518000000</v>
      </c>
      <c r="H372" s="3">
        <v>3726000000</v>
      </c>
      <c r="I372" s="3">
        <v>0</v>
      </c>
      <c r="J372" s="3">
        <v>1208000000</v>
      </c>
      <c r="K372" s="3">
        <f>Project_Data_NYSE[[#This Row],[Gross Profit]]-Project_Data_NYSE[[#This Row],[ Sales, General and Admin. ]]-Project_Data_NYSE[[#This Row],[ Research and Development ]]-Project_Data_NYSE[[#This Row],[ Other Operating Items ]]</f>
        <v>3584000000</v>
      </c>
      <c r="L372" t="s">
        <v>12</v>
      </c>
      <c r="M372" t="s">
        <v>177</v>
      </c>
      <c r="N372" s="31">
        <f>Project_Data_NYSE[[#This Row],[Gross Profit]]/Project_Data_NYSE[[#This Row],[ Total Revenue ]]</f>
        <v>0.72119210905088482</v>
      </c>
      <c r="O372" s="31">
        <f>Project_Data_NYSE[[#This Row],[Operating Profit]]/Project_Data_NYSE[[#This Row],[ Total Revenue ]]</f>
        <v>0.30344594022521376</v>
      </c>
      <c r="Q372" t="s">
        <v>512</v>
      </c>
    </row>
    <row r="373" spans="1:17" x14ac:dyDescent="0.2">
      <c r="A373">
        <v>399</v>
      </c>
      <c r="B373" t="s">
        <v>176</v>
      </c>
      <c r="C373" t="s">
        <v>16</v>
      </c>
      <c r="D373" s="48">
        <v>42734</v>
      </c>
      <c r="E373" s="3">
        <v>11069000000</v>
      </c>
      <c r="F373" s="3">
        <v>2782000000</v>
      </c>
      <c r="G373" s="3">
        <f>Project_Data_NYSE[[#This Row],[ Total Revenue ]]-Project_Data_NYSE[[#This Row],[ Cost of Goods Sold ]]</f>
        <v>8287000000</v>
      </c>
      <c r="H373" s="3">
        <v>3597000000</v>
      </c>
      <c r="I373" s="3">
        <v>0</v>
      </c>
      <c r="J373" s="3">
        <v>1301000000</v>
      </c>
      <c r="K373" s="3">
        <f>Project_Data_NYSE[[#This Row],[Gross Profit]]-Project_Data_NYSE[[#This Row],[ Sales, General and Admin. ]]-Project_Data_NYSE[[#This Row],[ Research and Development ]]-Project_Data_NYSE[[#This Row],[ Other Operating Items ]]</f>
        <v>3389000000</v>
      </c>
      <c r="L373" t="s">
        <v>12</v>
      </c>
      <c r="M373" t="s">
        <v>177</v>
      </c>
      <c r="N373" s="31">
        <f>Project_Data_NYSE[[#This Row],[Gross Profit]]/Project_Data_NYSE[[#This Row],[ Total Revenue ]]</f>
        <v>0.74866744963411325</v>
      </c>
      <c r="O373" s="31">
        <f>Project_Data_NYSE[[#This Row],[Operating Profit]]/Project_Data_NYSE[[#This Row],[ Total Revenue ]]</f>
        <v>0.30617038576203814</v>
      </c>
      <c r="Q373" t="s">
        <v>513</v>
      </c>
    </row>
    <row r="374" spans="1:17" x14ac:dyDescent="0.2">
      <c r="A374">
        <v>400</v>
      </c>
      <c r="B374" t="s">
        <v>178</v>
      </c>
      <c r="C374" t="s">
        <v>11</v>
      </c>
      <c r="D374" s="48">
        <v>41425</v>
      </c>
      <c r="E374" s="3">
        <v>4245964000</v>
      </c>
      <c r="F374" s="3">
        <v>2492655000</v>
      </c>
      <c r="G374" s="3">
        <f>Project_Data_NYSE[[#This Row],[ Total Revenue ]]-Project_Data_NYSE[[#This Row],[ Cost of Goods Sold ]]</f>
        <v>1753309000</v>
      </c>
      <c r="H374" s="3">
        <v>1187331000</v>
      </c>
      <c r="I374" s="3">
        <v>0</v>
      </c>
      <c r="J374" s="3">
        <v>0</v>
      </c>
      <c r="K374" s="3">
        <f>Project_Data_NYSE[[#This Row],[Gross Profit]]-Project_Data_NYSE[[#This Row],[ Sales, General and Admin. ]]-Project_Data_NYSE[[#This Row],[ Research and Development ]]-Project_Data_NYSE[[#This Row],[ Other Operating Items ]]</f>
        <v>565978000</v>
      </c>
      <c r="L374" t="s">
        <v>12</v>
      </c>
      <c r="M374" t="s">
        <v>179</v>
      </c>
      <c r="N374" s="31">
        <f>Project_Data_NYSE[[#This Row],[Gross Profit]]/Project_Data_NYSE[[#This Row],[ Total Revenue ]]</f>
        <v>0.41293543704091695</v>
      </c>
      <c r="O374" s="31">
        <f>Project_Data_NYSE[[#This Row],[Operating Profit]]/Project_Data_NYSE[[#This Row],[ Total Revenue ]]</f>
        <v>0.13329788005739096</v>
      </c>
      <c r="Q374" t="s">
        <v>514</v>
      </c>
    </row>
    <row r="375" spans="1:17" x14ac:dyDescent="0.2">
      <c r="A375">
        <v>401</v>
      </c>
      <c r="B375" t="s">
        <v>178</v>
      </c>
      <c r="C375" t="s">
        <v>14</v>
      </c>
      <c r="D375" s="48">
        <v>41790</v>
      </c>
      <c r="E375" s="3">
        <v>4193844000</v>
      </c>
      <c r="F375" s="3">
        <v>2444085000</v>
      </c>
      <c r="G375" s="3">
        <f>Project_Data_NYSE[[#This Row],[ Total Revenue ]]-Project_Data_NYSE[[#This Row],[ Cost of Goods Sold ]]</f>
        <v>1749759000</v>
      </c>
      <c r="H375" s="3">
        <v>1147039000</v>
      </c>
      <c r="I375" s="3">
        <v>0</v>
      </c>
      <c r="J375" s="3">
        <v>0</v>
      </c>
      <c r="K375" s="3">
        <f>Project_Data_NYSE[[#This Row],[Gross Profit]]-Project_Data_NYSE[[#This Row],[ Sales, General and Admin. ]]-Project_Data_NYSE[[#This Row],[ Research and Development ]]-Project_Data_NYSE[[#This Row],[ Other Operating Items ]]</f>
        <v>602720000</v>
      </c>
      <c r="L375" t="s">
        <v>12</v>
      </c>
      <c r="M375" t="s">
        <v>179</v>
      </c>
      <c r="N375" s="31">
        <f>Project_Data_NYSE[[#This Row],[Gross Profit]]/Project_Data_NYSE[[#This Row],[ Total Revenue ]]</f>
        <v>0.41722081221905249</v>
      </c>
      <c r="O375" s="31">
        <f>Project_Data_NYSE[[#This Row],[Operating Profit]]/Project_Data_NYSE[[#This Row],[ Total Revenue ]]</f>
        <v>0.14371540763080362</v>
      </c>
      <c r="Q375" t="s">
        <v>515</v>
      </c>
    </row>
    <row r="376" spans="1:17" x14ac:dyDescent="0.2">
      <c r="A376">
        <v>402</v>
      </c>
      <c r="B376" t="s">
        <v>178</v>
      </c>
      <c r="C376" t="s">
        <v>15</v>
      </c>
      <c r="D376" s="48">
        <v>42155</v>
      </c>
      <c r="E376" s="3">
        <v>4476886000</v>
      </c>
      <c r="F376" s="3">
        <v>2555549000</v>
      </c>
      <c r="G376" s="3">
        <f>Project_Data_NYSE[[#This Row],[ Total Revenue ]]-Project_Data_NYSE[[#This Row],[ Cost of Goods Sold ]]</f>
        <v>1921337000</v>
      </c>
      <c r="H376" s="3">
        <v>1224930000</v>
      </c>
      <c r="I376" s="3">
        <v>0</v>
      </c>
      <c r="J376" s="3">
        <v>0</v>
      </c>
      <c r="K376" s="3">
        <f>Project_Data_NYSE[[#This Row],[Gross Profit]]-Project_Data_NYSE[[#This Row],[ Sales, General and Admin. ]]-Project_Data_NYSE[[#This Row],[ Research and Development ]]-Project_Data_NYSE[[#This Row],[ Other Operating Items ]]</f>
        <v>696407000</v>
      </c>
      <c r="L376" t="s">
        <v>12</v>
      </c>
      <c r="M376" t="s">
        <v>179</v>
      </c>
      <c r="N376" s="31">
        <f>Project_Data_NYSE[[#This Row],[Gross Profit]]/Project_Data_NYSE[[#This Row],[ Total Revenue ]]</f>
        <v>0.42916817627252513</v>
      </c>
      <c r="O376" s="31">
        <f>Project_Data_NYSE[[#This Row],[Operating Profit]]/Project_Data_NYSE[[#This Row],[ Total Revenue ]]</f>
        <v>0.15555611646130815</v>
      </c>
      <c r="Q376" t="s">
        <v>517</v>
      </c>
    </row>
    <row r="377" spans="1:17" x14ac:dyDescent="0.2">
      <c r="A377">
        <v>403</v>
      </c>
      <c r="B377" t="s">
        <v>178</v>
      </c>
      <c r="C377" t="s">
        <v>16</v>
      </c>
      <c r="D377" s="48">
        <v>42521</v>
      </c>
      <c r="E377" s="3">
        <v>4905458000</v>
      </c>
      <c r="F377" s="3">
        <v>2775588000</v>
      </c>
      <c r="G377" s="3">
        <f>Project_Data_NYSE[[#This Row],[ Total Revenue ]]-Project_Data_NYSE[[#This Row],[ Cost of Goods Sold ]]</f>
        <v>2129870000</v>
      </c>
      <c r="H377" s="3">
        <v>1348122000</v>
      </c>
      <c r="I377" s="3">
        <v>0</v>
      </c>
      <c r="J377" s="3">
        <v>0</v>
      </c>
      <c r="K377" s="3">
        <f>Project_Data_NYSE[[#This Row],[Gross Profit]]-Project_Data_NYSE[[#This Row],[ Sales, General and Admin. ]]-Project_Data_NYSE[[#This Row],[ Research and Development ]]-Project_Data_NYSE[[#This Row],[ Other Operating Items ]]</f>
        <v>781748000</v>
      </c>
      <c r="L377" t="s">
        <v>12</v>
      </c>
      <c r="M377" t="s">
        <v>179</v>
      </c>
      <c r="N377" s="31">
        <f>Project_Data_NYSE[[#This Row],[Gross Profit]]/Project_Data_NYSE[[#This Row],[ Total Revenue ]]</f>
        <v>0.43418371944067202</v>
      </c>
      <c r="O377" s="31">
        <f>Project_Data_NYSE[[#This Row],[Operating Profit]]/Project_Data_NYSE[[#This Row],[ Total Revenue ]]</f>
        <v>0.15936289740937543</v>
      </c>
      <c r="Q377" t="s">
        <v>518</v>
      </c>
    </row>
    <row r="378" spans="1:17" x14ac:dyDescent="0.2">
      <c r="A378">
        <v>404</v>
      </c>
      <c r="B378" t="s">
        <v>180</v>
      </c>
      <c r="C378" t="s">
        <v>11</v>
      </c>
      <c r="D378" s="48">
        <v>41274</v>
      </c>
      <c r="E378" s="3">
        <v>18376000000</v>
      </c>
      <c r="F378" s="3">
        <v>7639000000</v>
      </c>
      <c r="G378" s="3">
        <f>Project_Data_NYSE[[#This Row],[ Total Revenue ]]-Project_Data_NYSE[[#This Row],[ Cost of Goods Sold ]]</f>
        <v>10737000000</v>
      </c>
      <c r="H378" s="3">
        <v>3244000000</v>
      </c>
      <c r="I378" s="3">
        <v>0</v>
      </c>
      <c r="J378" s="3">
        <v>4780000000</v>
      </c>
      <c r="K378" s="3">
        <f>Project_Data_NYSE[[#This Row],[Gross Profit]]-Project_Data_NYSE[[#This Row],[ Sales, General and Admin. ]]-Project_Data_NYSE[[#This Row],[ Research and Development ]]-Project_Data_NYSE[[#This Row],[ Other Operating Items ]]</f>
        <v>2713000000</v>
      </c>
      <c r="L378" t="s">
        <v>181</v>
      </c>
      <c r="M378" t="s">
        <v>182</v>
      </c>
      <c r="N378" s="31">
        <f>Project_Data_NYSE[[#This Row],[Gross Profit]]/Project_Data_NYSE[[#This Row],[ Total Revenue ]]</f>
        <v>0.58429473225946882</v>
      </c>
      <c r="O378" s="31">
        <f>Project_Data_NYSE[[#This Row],[Operating Profit]]/Project_Data_NYSE[[#This Row],[ Total Revenue ]]</f>
        <v>0.14763822377013497</v>
      </c>
      <c r="Q378" t="s">
        <v>519</v>
      </c>
    </row>
    <row r="379" spans="1:17" x14ac:dyDescent="0.2">
      <c r="A379">
        <v>405</v>
      </c>
      <c r="B379" t="s">
        <v>180</v>
      </c>
      <c r="C379" t="s">
        <v>14</v>
      </c>
      <c r="D379" s="48">
        <v>41639</v>
      </c>
      <c r="E379" s="3">
        <v>18095000000</v>
      </c>
      <c r="F379" s="3">
        <v>7507000000</v>
      </c>
      <c r="G379" s="3">
        <f>Project_Data_NYSE[[#This Row],[ Total Revenue ]]-Project_Data_NYSE[[#This Row],[ Cost of Goods Sold ]]</f>
        <v>10588000000</v>
      </c>
      <c r="H379" s="3">
        <v>3502000000</v>
      </c>
      <c r="I379" s="3">
        <v>0</v>
      </c>
      <c r="J379" s="3">
        <v>4541000000</v>
      </c>
      <c r="K379" s="3">
        <f>Project_Data_NYSE[[#This Row],[Gross Profit]]-Project_Data_NYSE[[#This Row],[ Sales, General and Admin. ]]-Project_Data_NYSE[[#This Row],[ Research and Development ]]-Project_Data_NYSE[[#This Row],[ Other Operating Items ]]</f>
        <v>2545000000</v>
      </c>
      <c r="L379" t="s">
        <v>181</v>
      </c>
      <c r="M379" t="s">
        <v>182</v>
      </c>
      <c r="N379" s="31">
        <f>Project_Data_NYSE[[#This Row],[Gross Profit]]/Project_Data_NYSE[[#This Row],[ Total Revenue ]]</f>
        <v>0.58513401492124895</v>
      </c>
      <c r="O379" s="31">
        <f>Project_Data_NYSE[[#This Row],[Operating Profit]]/Project_Data_NYSE[[#This Row],[ Total Revenue ]]</f>
        <v>0.14064658745509809</v>
      </c>
      <c r="Q379" t="s">
        <v>520</v>
      </c>
    </row>
    <row r="380" spans="1:17" x14ac:dyDescent="0.2">
      <c r="A380">
        <v>406</v>
      </c>
      <c r="B380" t="s">
        <v>180</v>
      </c>
      <c r="C380" t="s">
        <v>15</v>
      </c>
      <c r="D380" s="48">
        <v>42004</v>
      </c>
      <c r="E380" s="3">
        <v>18031000000</v>
      </c>
      <c r="F380" s="3">
        <v>7846000000</v>
      </c>
      <c r="G380" s="3">
        <f>Project_Data_NYSE[[#This Row],[ Total Revenue ]]-Project_Data_NYSE[[#This Row],[ Cost of Goods Sold ]]</f>
        <v>10185000000</v>
      </c>
      <c r="H380" s="3">
        <v>3347000000</v>
      </c>
      <c r="I380" s="3">
        <v>0</v>
      </c>
      <c r="J380" s="3">
        <v>4428000000</v>
      </c>
      <c r="K380" s="3">
        <f>Project_Data_NYSE[[#This Row],[Gross Profit]]-Project_Data_NYSE[[#This Row],[ Sales, General and Admin. ]]-Project_Data_NYSE[[#This Row],[ Research and Development ]]-Project_Data_NYSE[[#This Row],[ Other Operating Items ]]</f>
        <v>2410000000</v>
      </c>
      <c r="L380" t="s">
        <v>181</v>
      </c>
      <c r="M380" t="s">
        <v>182</v>
      </c>
      <c r="N380" s="31">
        <f>Project_Data_NYSE[[#This Row],[Gross Profit]]/Project_Data_NYSE[[#This Row],[ Total Revenue ]]</f>
        <v>0.56486051799678327</v>
      </c>
      <c r="O380" s="31">
        <f>Project_Data_NYSE[[#This Row],[Operating Profit]]/Project_Data_NYSE[[#This Row],[ Total Revenue ]]</f>
        <v>0.1336586989074372</v>
      </c>
      <c r="Q380" t="s">
        <v>521</v>
      </c>
    </row>
    <row r="381" spans="1:17" x14ac:dyDescent="0.2">
      <c r="A381">
        <v>407</v>
      </c>
      <c r="B381" t="s">
        <v>180</v>
      </c>
      <c r="C381" t="s">
        <v>16</v>
      </c>
      <c r="D381" s="48">
        <v>42369</v>
      </c>
      <c r="E381" s="3">
        <v>17900000000</v>
      </c>
      <c r="F381" s="3">
        <v>7778000000</v>
      </c>
      <c r="G381" s="3">
        <f>Project_Data_NYSE[[#This Row],[ Total Revenue ]]-Project_Data_NYSE[[#This Row],[ Cost of Goods Sold ]]</f>
        <v>10122000000</v>
      </c>
      <c r="H381" s="3">
        <v>3328000000</v>
      </c>
      <c r="I381" s="3">
        <v>0</v>
      </c>
      <c r="J381" s="3">
        <v>4189000000</v>
      </c>
      <c r="K381" s="3">
        <f>Project_Data_NYSE[[#This Row],[Gross Profit]]-Project_Data_NYSE[[#This Row],[ Sales, General and Admin. ]]-Project_Data_NYSE[[#This Row],[ Research and Development ]]-Project_Data_NYSE[[#This Row],[ Other Operating Items ]]</f>
        <v>2605000000</v>
      </c>
      <c r="L381" t="s">
        <v>181</v>
      </c>
      <c r="M381" t="s">
        <v>182</v>
      </c>
      <c r="N381" s="31">
        <f>Project_Data_NYSE[[#This Row],[Gross Profit]]/Project_Data_NYSE[[#This Row],[ Total Revenue ]]</f>
        <v>0.56547486033519556</v>
      </c>
      <c r="O381" s="31">
        <f>Project_Data_NYSE[[#This Row],[Operating Profit]]/Project_Data_NYSE[[#This Row],[ Total Revenue ]]</f>
        <v>0.14553072625698324</v>
      </c>
      <c r="Q381" t="s">
        <v>522</v>
      </c>
    </row>
    <row r="382" spans="1:17" x14ac:dyDescent="0.2">
      <c r="A382">
        <v>408</v>
      </c>
      <c r="B382" t="s">
        <v>183</v>
      </c>
      <c r="C382" t="s">
        <v>11</v>
      </c>
      <c r="D382" s="48">
        <v>41274</v>
      </c>
      <c r="E382" s="3">
        <v>7346472000</v>
      </c>
      <c r="F382" s="3">
        <v>4278241000</v>
      </c>
      <c r="G382" s="3">
        <f>Project_Data_NYSE[[#This Row],[ Total Revenue ]]-Project_Data_NYSE[[#This Row],[ Cost of Goods Sold ]]</f>
        <v>3068231000</v>
      </c>
      <c r="H382" s="3">
        <v>1557646000</v>
      </c>
      <c r="I382" s="3">
        <v>0</v>
      </c>
      <c r="J382" s="3">
        <v>149089000</v>
      </c>
      <c r="K382" s="3">
        <f>Project_Data_NYSE[[#This Row],[Gross Profit]]-Project_Data_NYSE[[#This Row],[ Sales, General and Admin. ]]-Project_Data_NYSE[[#This Row],[ Research and Development ]]-Project_Data_NYSE[[#This Row],[ Other Operating Items ]]</f>
        <v>1361496000</v>
      </c>
      <c r="L382" t="s">
        <v>21</v>
      </c>
      <c r="M382" t="s">
        <v>175</v>
      </c>
      <c r="N382" s="31">
        <f>Project_Data_NYSE[[#This Row],[Gross Profit]]/Project_Data_NYSE[[#This Row],[ Total Revenue ]]</f>
        <v>0.4176468650530486</v>
      </c>
      <c r="O382" s="31">
        <f>Project_Data_NYSE[[#This Row],[Operating Profit]]/Project_Data_NYSE[[#This Row],[ Total Revenue ]]</f>
        <v>0.18532650774412535</v>
      </c>
      <c r="Q382" t="s">
        <v>523</v>
      </c>
    </row>
    <row r="383" spans="1:17" x14ac:dyDescent="0.2">
      <c r="A383">
        <v>409</v>
      </c>
      <c r="B383" t="s">
        <v>183</v>
      </c>
      <c r="C383" t="s">
        <v>14</v>
      </c>
      <c r="D383" s="48">
        <v>41639</v>
      </c>
      <c r="E383" s="3">
        <v>8843200000</v>
      </c>
      <c r="F383" s="3">
        <v>5265500000</v>
      </c>
      <c r="G383" s="3">
        <f>Project_Data_NYSE[[#This Row],[ Total Revenue ]]-Project_Data_NYSE[[#This Row],[ Cost of Goods Sold ]]</f>
        <v>3577700000</v>
      </c>
      <c r="H383" s="3">
        <v>1727600000</v>
      </c>
      <c r="I383" s="3">
        <v>0</v>
      </c>
      <c r="J383" s="3">
        <v>172200000</v>
      </c>
      <c r="K383" s="3">
        <f>Project_Data_NYSE[[#This Row],[Gross Profit]]-Project_Data_NYSE[[#This Row],[ Sales, General and Admin. ]]-Project_Data_NYSE[[#This Row],[ Research and Development ]]-Project_Data_NYSE[[#This Row],[ Other Operating Items ]]</f>
        <v>1677900000</v>
      </c>
      <c r="L383" t="s">
        <v>21</v>
      </c>
      <c r="M383" t="s">
        <v>175</v>
      </c>
      <c r="N383" s="31">
        <f>Project_Data_NYSE[[#This Row],[Gross Profit]]/Project_Data_NYSE[[#This Row],[ Total Revenue ]]</f>
        <v>0.40457074362221818</v>
      </c>
      <c r="O383" s="31">
        <f>Project_Data_NYSE[[#This Row],[Operating Profit]]/Project_Data_NYSE[[#This Row],[ Total Revenue ]]</f>
        <v>0.18973900850370906</v>
      </c>
      <c r="Q383" t="s">
        <v>524</v>
      </c>
    </row>
    <row r="384" spans="1:17" x14ac:dyDescent="0.2">
      <c r="A384">
        <v>410</v>
      </c>
      <c r="B384" t="s">
        <v>183</v>
      </c>
      <c r="C384" t="s">
        <v>15</v>
      </c>
      <c r="D384" s="48">
        <v>42004</v>
      </c>
      <c r="E384" s="3">
        <v>10262700000</v>
      </c>
      <c r="F384" s="3">
        <v>6141100000</v>
      </c>
      <c r="G384" s="3">
        <f>Project_Data_NYSE[[#This Row],[ Total Revenue ]]-Project_Data_NYSE[[#This Row],[ Cost of Goods Sold ]]</f>
        <v>4121600000</v>
      </c>
      <c r="H384" s="3">
        <v>2037000000</v>
      </c>
      <c r="I384" s="3">
        <v>0</v>
      </c>
      <c r="J384" s="3">
        <v>199700000</v>
      </c>
      <c r="K384" s="3">
        <f>Project_Data_NYSE[[#This Row],[Gross Profit]]-Project_Data_NYSE[[#This Row],[ Sales, General and Admin. ]]-Project_Data_NYSE[[#This Row],[ Research and Development ]]-Project_Data_NYSE[[#This Row],[ Other Operating Items ]]</f>
        <v>1884900000</v>
      </c>
      <c r="L384" t="s">
        <v>21</v>
      </c>
      <c r="M384" t="s">
        <v>175</v>
      </c>
      <c r="N384" s="31">
        <f>Project_Data_NYSE[[#This Row],[Gross Profit]]/Project_Data_NYSE[[#This Row],[ Total Revenue ]]</f>
        <v>0.40160971284359864</v>
      </c>
      <c r="O384" s="31">
        <f>Project_Data_NYSE[[#This Row],[Operating Profit]]/Project_Data_NYSE[[#This Row],[ Total Revenue ]]</f>
        <v>0.18366511736677482</v>
      </c>
      <c r="Q384" t="s">
        <v>525</v>
      </c>
    </row>
    <row r="385" spans="1:17" x14ac:dyDescent="0.2">
      <c r="A385">
        <v>411</v>
      </c>
      <c r="B385" t="s">
        <v>183</v>
      </c>
      <c r="C385" t="s">
        <v>16</v>
      </c>
      <c r="D385" s="48">
        <v>42369</v>
      </c>
      <c r="E385" s="3">
        <v>12416000000</v>
      </c>
      <c r="F385" s="3">
        <v>7440200000</v>
      </c>
      <c r="G385" s="3">
        <f>Project_Data_NYSE[[#This Row],[ Total Revenue ]]-Project_Data_NYSE[[#This Row],[ Cost of Goods Sold ]]</f>
        <v>4975800000</v>
      </c>
      <c r="H385" s="3">
        <v>2508600000</v>
      </c>
      <c r="I385" s="3">
        <v>0</v>
      </c>
      <c r="J385" s="3">
        <v>325200000</v>
      </c>
      <c r="K385" s="3">
        <f>Project_Data_NYSE[[#This Row],[Gross Profit]]-Project_Data_NYSE[[#This Row],[ Sales, General and Admin. ]]-Project_Data_NYSE[[#This Row],[ Research and Development ]]-Project_Data_NYSE[[#This Row],[ Other Operating Items ]]</f>
        <v>2142000000</v>
      </c>
      <c r="L385" t="s">
        <v>21</v>
      </c>
      <c r="M385" t="s">
        <v>175</v>
      </c>
      <c r="N385" s="31">
        <f>Project_Data_NYSE[[#This Row],[Gross Profit]]/Project_Data_NYSE[[#This Row],[ Total Revenue ]]</f>
        <v>0.40075708762886597</v>
      </c>
      <c r="O385" s="31">
        <f>Project_Data_NYSE[[#This Row],[Operating Profit]]/Project_Data_NYSE[[#This Row],[ Total Revenue ]]</f>
        <v>0.17251932989690721</v>
      </c>
      <c r="Q385" t="s">
        <v>526</v>
      </c>
    </row>
    <row r="386" spans="1:17" x14ac:dyDescent="0.2">
      <c r="A386">
        <v>412</v>
      </c>
      <c r="B386" t="s">
        <v>184</v>
      </c>
      <c r="C386" t="s">
        <v>11</v>
      </c>
      <c r="D386" s="48">
        <v>41639</v>
      </c>
      <c r="E386" s="3">
        <v>2918434000</v>
      </c>
      <c r="F386" s="3">
        <v>502795000</v>
      </c>
      <c r="G386" s="3">
        <f>Project_Data_NYSE[[#This Row],[ Total Revenue ]]-Project_Data_NYSE[[#This Row],[ Cost of Goods Sold ]]</f>
        <v>2415639000</v>
      </c>
      <c r="H386" s="3">
        <v>1476916000</v>
      </c>
      <c r="I386" s="3">
        <v>516338000</v>
      </c>
      <c r="J386" s="3">
        <v>41668000</v>
      </c>
      <c r="K386" s="3">
        <f>Project_Data_NYSE[[#This Row],[Gross Profit]]-Project_Data_NYSE[[#This Row],[ Sales, General and Admin. ]]-Project_Data_NYSE[[#This Row],[ Research and Development ]]-Project_Data_NYSE[[#This Row],[ Other Operating Items ]]</f>
        <v>380717000</v>
      </c>
      <c r="L386" t="s">
        <v>21</v>
      </c>
      <c r="M386" t="s">
        <v>56</v>
      </c>
      <c r="N386" s="31">
        <f>Project_Data_NYSE[[#This Row],[Gross Profit]]/Project_Data_NYSE[[#This Row],[ Total Revenue ]]</f>
        <v>0.82771753618550226</v>
      </c>
      <c r="O386" s="31">
        <f>Project_Data_NYSE[[#This Row],[Operating Profit]]/Project_Data_NYSE[[#This Row],[ Total Revenue ]]</f>
        <v>0.13045249609893525</v>
      </c>
      <c r="Q386" t="s">
        <v>527</v>
      </c>
    </row>
    <row r="387" spans="1:17" x14ac:dyDescent="0.2">
      <c r="A387">
        <v>413</v>
      </c>
      <c r="B387" t="s">
        <v>184</v>
      </c>
      <c r="C387" t="s">
        <v>14</v>
      </c>
      <c r="D387" s="48">
        <v>42004</v>
      </c>
      <c r="E387" s="3">
        <v>3142856000</v>
      </c>
      <c r="F387" s="3">
        <v>620219000</v>
      </c>
      <c r="G387" s="3">
        <f>Project_Data_NYSE[[#This Row],[ Total Revenue ]]-Project_Data_NYSE[[#This Row],[ Cost of Goods Sold ]]</f>
        <v>2522637000</v>
      </c>
      <c r="H387" s="3">
        <v>1600187000</v>
      </c>
      <c r="I387" s="3">
        <v>553817000</v>
      </c>
      <c r="J387" s="3">
        <v>39577000</v>
      </c>
      <c r="K387" s="3">
        <f>Project_Data_NYSE[[#This Row],[Gross Profit]]-Project_Data_NYSE[[#This Row],[ Sales, General and Admin. ]]-Project_Data_NYSE[[#This Row],[ Research and Development ]]-Project_Data_NYSE[[#This Row],[ Other Operating Items ]]</f>
        <v>329056000</v>
      </c>
      <c r="L387" t="s">
        <v>21</v>
      </c>
      <c r="M387" t="s">
        <v>56</v>
      </c>
      <c r="N387" s="31">
        <f>Project_Data_NYSE[[#This Row],[Gross Profit]]/Project_Data_NYSE[[#This Row],[ Total Revenue ]]</f>
        <v>0.80265751914818884</v>
      </c>
      <c r="O387" s="31">
        <f>Project_Data_NYSE[[#This Row],[Operating Profit]]/Project_Data_NYSE[[#This Row],[ Total Revenue ]]</f>
        <v>0.10469967443624525</v>
      </c>
      <c r="Q387" t="s">
        <v>528</v>
      </c>
    </row>
    <row r="388" spans="1:17" x14ac:dyDescent="0.2">
      <c r="A388">
        <v>414</v>
      </c>
      <c r="B388" t="s">
        <v>184</v>
      </c>
      <c r="C388" t="s">
        <v>15</v>
      </c>
      <c r="D388" s="48">
        <v>42369</v>
      </c>
      <c r="E388" s="3">
        <v>3275594000</v>
      </c>
      <c r="F388" s="3">
        <v>614364000</v>
      </c>
      <c r="G388" s="3">
        <f>Project_Data_NYSE[[#This Row],[ Total Revenue ]]-Project_Data_NYSE[[#This Row],[ Cost of Goods Sold ]]</f>
        <v>2661230000</v>
      </c>
      <c r="H388" s="3">
        <v>1538027000</v>
      </c>
      <c r="I388" s="3">
        <v>563975000</v>
      </c>
      <c r="J388" s="3">
        <v>41595000</v>
      </c>
      <c r="K388" s="3">
        <f>Project_Data_NYSE[[#This Row],[Gross Profit]]-Project_Data_NYSE[[#This Row],[ Sales, General and Admin. ]]-Project_Data_NYSE[[#This Row],[ Research and Development ]]-Project_Data_NYSE[[#This Row],[ Other Operating Items ]]</f>
        <v>517633000</v>
      </c>
      <c r="L388" t="s">
        <v>21</v>
      </c>
      <c r="M388" t="s">
        <v>56</v>
      </c>
      <c r="N388" s="31">
        <f>Project_Data_NYSE[[#This Row],[Gross Profit]]/Project_Data_NYSE[[#This Row],[ Total Revenue ]]</f>
        <v>0.81244195709236244</v>
      </c>
      <c r="O388" s="31">
        <f>Project_Data_NYSE[[#This Row],[Operating Profit]]/Project_Data_NYSE[[#This Row],[ Total Revenue ]]</f>
        <v>0.1580272158271141</v>
      </c>
      <c r="Q388" t="s">
        <v>529</v>
      </c>
    </row>
    <row r="389" spans="1:17" x14ac:dyDescent="0.2">
      <c r="A389">
        <v>415</v>
      </c>
      <c r="B389" t="s">
        <v>184</v>
      </c>
      <c r="C389" t="s">
        <v>16</v>
      </c>
      <c r="D389" s="48">
        <v>42735</v>
      </c>
      <c r="E389" s="3">
        <v>3418265000</v>
      </c>
      <c r="F389" s="3">
        <v>559541000</v>
      </c>
      <c r="G389" s="3">
        <f>Project_Data_NYSE[[#This Row],[ Total Revenue ]]-Project_Data_NYSE[[#This Row],[ Cost of Goods Sold ]]</f>
        <v>2858724000</v>
      </c>
      <c r="H389" s="3">
        <v>1620006000</v>
      </c>
      <c r="I389" s="3">
        <v>489265000</v>
      </c>
      <c r="J389" s="3">
        <v>29173000</v>
      </c>
      <c r="K389" s="3">
        <f>Project_Data_NYSE[[#This Row],[Gross Profit]]-Project_Data_NYSE[[#This Row],[ Sales, General and Admin. ]]-Project_Data_NYSE[[#This Row],[ Research and Development ]]-Project_Data_NYSE[[#This Row],[ Other Operating Items ]]</f>
        <v>720280000</v>
      </c>
      <c r="L389" t="s">
        <v>21</v>
      </c>
      <c r="M389" t="s">
        <v>56</v>
      </c>
      <c r="N389" s="31">
        <f>Project_Data_NYSE[[#This Row],[Gross Profit]]/Project_Data_NYSE[[#This Row],[ Total Revenue ]]</f>
        <v>0.83630847813144971</v>
      </c>
      <c r="O389" s="31">
        <f>Project_Data_NYSE[[#This Row],[Operating Profit]]/Project_Data_NYSE[[#This Row],[ Total Revenue ]]</f>
        <v>0.21071508499194766</v>
      </c>
      <c r="Q389" t="s">
        <v>530</v>
      </c>
    </row>
    <row r="390" spans="1:17" x14ac:dyDescent="0.2">
      <c r="A390">
        <v>416</v>
      </c>
      <c r="B390" t="s">
        <v>185</v>
      </c>
      <c r="C390" t="s">
        <v>11</v>
      </c>
      <c r="D390" s="48">
        <v>41639</v>
      </c>
      <c r="E390" s="3">
        <v>126761000000</v>
      </c>
      <c r="F390" s="3">
        <v>102978000000</v>
      </c>
      <c r="G390" s="3">
        <f>Project_Data_NYSE[[#This Row],[ Total Revenue ]]-Project_Data_NYSE[[#This Row],[ Cost of Goods Sold ]]</f>
        <v>23783000000</v>
      </c>
      <c r="H390" s="3">
        <v>0</v>
      </c>
      <c r="I390" s="3">
        <v>0</v>
      </c>
      <c r="J390" s="3">
        <v>0</v>
      </c>
      <c r="K390" s="3">
        <f>Project_Data_NYSE[[#This Row],[Gross Profit]]-Project_Data_NYSE[[#This Row],[ Sales, General and Admin. ]]-Project_Data_NYSE[[#This Row],[ Research and Development ]]-Project_Data_NYSE[[#This Row],[ Other Operating Items ]]</f>
        <v>23783000000</v>
      </c>
      <c r="L390" t="s">
        <v>35</v>
      </c>
      <c r="M390" t="s">
        <v>186</v>
      </c>
      <c r="N390" s="31">
        <f>Project_Data_NYSE[[#This Row],[Gross Profit]]/Project_Data_NYSE[[#This Row],[ Total Revenue ]]</f>
        <v>0.18762079819502844</v>
      </c>
      <c r="O390" s="31">
        <f>Project_Data_NYSE[[#This Row],[Operating Profit]]/Project_Data_NYSE[[#This Row],[ Total Revenue ]]</f>
        <v>0.18762079819502844</v>
      </c>
      <c r="Q390" t="s">
        <v>531</v>
      </c>
    </row>
    <row r="391" spans="1:17" x14ac:dyDescent="0.2">
      <c r="A391">
        <v>417</v>
      </c>
      <c r="B391" t="s">
        <v>185</v>
      </c>
      <c r="C391" t="s">
        <v>14</v>
      </c>
      <c r="D391" s="48">
        <v>42004</v>
      </c>
      <c r="E391" s="3">
        <v>139367000000</v>
      </c>
      <c r="F391" s="3">
        <v>114000000000</v>
      </c>
      <c r="G391" s="3">
        <f>Project_Data_NYSE[[#This Row],[ Total Revenue ]]-Project_Data_NYSE[[#This Row],[ Cost of Goods Sold ]]</f>
        <v>25367000000</v>
      </c>
      <c r="H391" s="3">
        <v>0</v>
      </c>
      <c r="I391" s="3">
        <v>0</v>
      </c>
      <c r="J391" s="3">
        <v>0</v>
      </c>
      <c r="K391" s="3">
        <f>Project_Data_NYSE[[#This Row],[Gross Profit]]-Project_Data_NYSE[[#This Row],[ Sales, General and Admin. ]]-Project_Data_NYSE[[#This Row],[ Research and Development ]]-Project_Data_NYSE[[#This Row],[ Other Operating Items ]]</f>
        <v>25367000000</v>
      </c>
      <c r="L391" t="s">
        <v>35</v>
      </c>
      <c r="M391" t="s">
        <v>186</v>
      </c>
      <c r="N391" s="31">
        <f>Project_Data_NYSE[[#This Row],[Gross Profit]]/Project_Data_NYSE[[#This Row],[ Total Revenue ]]</f>
        <v>0.18201582871124442</v>
      </c>
      <c r="O391" s="31">
        <f>Project_Data_NYSE[[#This Row],[Operating Profit]]/Project_Data_NYSE[[#This Row],[ Total Revenue ]]</f>
        <v>0.18201582871124442</v>
      </c>
      <c r="Q391" t="s">
        <v>532</v>
      </c>
    </row>
    <row r="392" spans="1:17" x14ac:dyDescent="0.2">
      <c r="A392">
        <v>418</v>
      </c>
      <c r="B392" t="s">
        <v>185</v>
      </c>
      <c r="C392" t="s">
        <v>15</v>
      </c>
      <c r="D392" s="48">
        <v>42369</v>
      </c>
      <c r="E392" s="3">
        <v>153290000000</v>
      </c>
      <c r="F392" s="3">
        <v>126762000000</v>
      </c>
      <c r="G392" s="3">
        <f>Project_Data_NYSE[[#This Row],[ Total Revenue ]]-Project_Data_NYSE[[#This Row],[ Cost of Goods Sold ]]</f>
        <v>26528000000</v>
      </c>
      <c r="H392" s="3">
        <v>0</v>
      </c>
      <c r="I392" s="3">
        <v>0</v>
      </c>
      <c r="J392" s="3">
        <v>0</v>
      </c>
      <c r="K392" s="3">
        <f>Project_Data_NYSE[[#This Row],[Gross Profit]]-Project_Data_NYSE[[#This Row],[ Sales, General and Admin. ]]-Project_Data_NYSE[[#This Row],[ Research and Development ]]-Project_Data_NYSE[[#This Row],[ Other Operating Items ]]</f>
        <v>26528000000</v>
      </c>
      <c r="L392" t="s">
        <v>35</v>
      </c>
      <c r="M392" t="s">
        <v>186</v>
      </c>
      <c r="N392" s="31">
        <f>Project_Data_NYSE[[#This Row],[Gross Profit]]/Project_Data_NYSE[[#This Row],[ Total Revenue ]]</f>
        <v>0.17305760323569705</v>
      </c>
      <c r="O392" s="31">
        <f>Project_Data_NYSE[[#This Row],[Operating Profit]]/Project_Data_NYSE[[#This Row],[ Total Revenue ]]</f>
        <v>0.17305760323569705</v>
      </c>
      <c r="Q392" t="s">
        <v>533</v>
      </c>
    </row>
    <row r="393" spans="1:17" x14ac:dyDescent="0.2">
      <c r="A393">
        <v>419</v>
      </c>
      <c r="B393" t="s">
        <v>185</v>
      </c>
      <c r="C393" t="s">
        <v>16</v>
      </c>
      <c r="D393" s="48">
        <v>42735</v>
      </c>
      <c r="E393" s="3">
        <v>177526000000</v>
      </c>
      <c r="F393" s="3">
        <v>148669000000</v>
      </c>
      <c r="G393" s="3">
        <f>Project_Data_NYSE[[#This Row],[ Total Revenue ]]-Project_Data_NYSE[[#This Row],[ Cost of Goods Sold ]]</f>
        <v>28857000000</v>
      </c>
      <c r="H393" s="3">
        <v>0</v>
      </c>
      <c r="I393" s="3">
        <v>0</v>
      </c>
      <c r="J393" s="3">
        <v>0</v>
      </c>
      <c r="K393" s="3">
        <f>Project_Data_NYSE[[#This Row],[Gross Profit]]-Project_Data_NYSE[[#This Row],[ Sales, General and Admin. ]]-Project_Data_NYSE[[#This Row],[ Research and Development ]]-Project_Data_NYSE[[#This Row],[ Other Operating Items ]]</f>
        <v>28857000000</v>
      </c>
      <c r="L393" t="s">
        <v>35</v>
      </c>
      <c r="M393" t="s">
        <v>186</v>
      </c>
      <c r="N393" s="31">
        <f>Project_Data_NYSE[[#This Row],[Gross Profit]]/Project_Data_NYSE[[#This Row],[ Total Revenue ]]</f>
        <v>0.16255083762378469</v>
      </c>
      <c r="O393" s="31">
        <f>Project_Data_NYSE[[#This Row],[Operating Profit]]/Project_Data_NYSE[[#This Row],[ Total Revenue ]]</f>
        <v>0.16255083762378469</v>
      </c>
      <c r="Q393" t="s">
        <v>534</v>
      </c>
    </row>
    <row r="394" spans="1:17" x14ac:dyDescent="0.2">
      <c r="A394">
        <v>420</v>
      </c>
      <c r="B394" t="s">
        <v>187</v>
      </c>
      <c r="C394" t="s">
        <v>11</v>
      </c>
      <c r="D394" s="48">
        <v>41274</v>
      </c>
      <c r="E394" s="3">
        <v>230590000000</v>
      </c>
      <c r="F394" s="3">
        <v>163336000000</v>
      </c>
      <c r="G394" s="3">
        <f>Project_Data_NYSE[[#This Row],[ Total Revenue ]]-Project_Data_NYSE[[#This Row],[ Cost of Goods Sold ]]</f>
        <v>67254000000</v>
      </c>
      <c r="H394" s="3">
        <v>17100000000</v>
      </c>
      <c r="I394" s="3">
        <v>0</v>
      </c>
      <c r="J394" s="3">
        <v>13413000000</v>
      </c>
      <c r="K394" s="3">
        <f>Project_Data_NYSE[[#This Row],[Gross Profit]]-Project_Data_NYSE[[#This Row],[ Sales, General and Admin. ]]-Project_Data_NYSE[[#This Row],[ Research and Development ]]-Project_Data_NYSE[[#This Row],[ Other Operating Items ]]</f>
        <v>36741000000</v>
      </c>
      <c r="L394" t="s">
        <v>82</v>
      </c>
      <c r="M394" t="s">
        <v>143</v>
      </c>
      <c r="N394" s="31">
        <f>Project_Data_NYSE[[#This Row],[Gross Profit]]/Project_Data_NYSE[[#This Row],[ Total Revenue ]]</f>
        <v>0.29166052300620149</v>
      </c>
      <c r="O394" s="31">
        <f>Project_Data_NYSE[[#This Row],[Operating Profit]]/Project_Data_NYSE[[#This Row],[ Total Revenue ]]</f>
        <v>0.15933474998915825</v>
      </c>
      <c r="Q394" t="s">
        <v>535</v>
      </c>
    </row>
    <row r="395" spans="1:17" x14ac:dyDescent="0.2">
      <c r="A395">
        <v>421</v>
      </c>
      <c r="B395" t="s">
        <v>187</v>
      </c>
      <c r="C395" t="s">
        <v>14</v>
      </c>
      <c r="D395" s="48">
        <v>41639</v>
      </c>
      <c r="E395" s="3">
        <v>220156000000</v>
      </c>
      <c r="F395" s="3">
        <v>159323000000</v>
      </c>
      <c r="G395" s="3">
        <f>Project_Data_NYSE[[#This Row],[ Total Revenue ]]-Project_Data_NYSE[[#This Row],[ Cost of Goods Sold ]]</f>
        <v>60833000000</v>
      </c>
      <c r="H395" s="3">
        <v>17573000000</v>
      </c>
      <c r="I395" s="3">
        <v>0</v>
      </c>
      <c r="J395" s="3">
        <v>14186000000</v>
      </c>
      <c r="K395" s="3">
        <f>Project_Data_NYSE[[#This Row],[Gross Profit]]-Project_Data_NYSE[[#This Row],[ Sales, General and Admin. ]]-Project_Data_NYSE[[#This Row],[ Research and Development ]]-Project_Data_NYSE[[#This Row],[ Other Operating Items ]]</f>
        <v>29074000000</v>
      </c>
      <c r="L395" t="s">
        <v>82</v>
      </c>
      <c r="M395" t="s">
        <v>143</v>
      </c>
      <c r="N395" s="31">
        <f>Project_Data_NYSE[[#This Row],[Gross Profit]]/Project_Data_NYSE[[#This Row],[ Total Revenue ]]</f>
        <v>0.27631770199313216</v>
      </c>
      <c r="O395" s="31">
        <f>Project_Data_NYSE[[#This Row],[Operating Profit]]/Project_Data_NYSE[[#This Row],[ Total Revenue ]]</f>
        <v>0.13206090226929995</v>
      </c>
      <c r="Q395" t="s">
        <v>536</v>
      </c>
    </row>
    <row r="396" spans="1:17" x14ac:dyDescent="0.2">
      <c r="A396">
        <v>422</v>
      </c>
      <c r="B396" t="s">
        <v>187</v>
      </c>
      <c r="C396" t="s">
        <v>15</v>
      </c>
      <c r="D396" s="48">
        <v>42004</v>
      </c>
      <c r="E396" s="3">
        <v>200494000000</v>
      </c>
      <c r="F396" s="3">
        <v>144956000000</v>
      </c>
      <c r="G396" s="3">
        <f>Project_Data_NYSE[[#This Row],[ Total Revenue ]]-Project_Data_NYSE[[#This Row],[ Cost of Goods Sold ]]</f>
        <v>55538000000</v>
      </c>
      <c r="H396" s="3">
        <v>17034000000</v>
      </c>
      <c r="I396" s="3">
        <v>0</v>
      </c>
      <c r="J396" s="3">
        <v>16793000000</v>
      </c>
      <c r="K396" s="3">
        <f>Project_Data_NYSE[[#This Row],[Gross Profit]]-Project_Data_NYSE[[#This Row],[ Sales, General and Admin. ]]-Project_Data_NYSE[[#This Row],[ Research and Development ]]-Project_Data_NYSE[[#This Row],[ Other Operating Items ]]</f>
        <v>21711000000</v>
      </c>
      <c r="L396" t="s">
        <v>82</v>
      </c>
      <c r="M396" t="s">
        <v>143</v>
      </c>
      <c r="N396" s="31">
        <f>Project_Data_NYSE[[#This Row],[Gross Profit]]/Project_Data_NYSE[[#This Row],[ Total Revenue ]]</f>
        <v>0.27700579568465888</v>
      </c>
      <c r="O396" s="31">
        <f>Project_Data_NYSE[[#This Row],[Operating Profit]]/Project_Data_NYSE[[#This Row],[ Total Revenue ]]</f>
        <v>0.10828752980139056</v>
      </c>
      <c r="Q396" t="s">
        <v>537</v>
      </c>
    </row>
    <row r="397" spans="1:17" x14ac:dyDescent="0.2">
      <c r="A397">
        <v>423</v>
      </c>
      <c r="B397" t="s">
        <v>187</v>
      </c>
      <c r="C397" t="s">
        <v>16</v>
      </c>
      <c r="D397" s="48">
        <v>42369</v>
      </c>
      <c r="E397" s="3">
        <v>129925000000</v>
      </c>
      <c r="F397" s="3">
        <v>92785000000</v>
      </c>
      <c r="G397" s="3">
        <f>Project_Data_NYSE[[#This Row],[ Total Revenue ]]-Project_Data_NYSE[[#This Row],[ Cost of Goods Sold ]]</f>
        <v>37140000000</v>
      </c>
      <c r="H397" s="3">
        <v>16473000000</v>
      </c>
      <c r="I397" s="3">
        <v>0</v>
      </c>
      <c r="J397" s="3">
        <v>21037000000</v>
      </c>
      <c r="K397" s="3">
        <f>Project_Data_NYSE[[#This Row],[Gross Profit]]-Project_Data_NYSE[[#This Row],[ Sales, General and Admin. ]]-Project_Data_NYSE[[#This Row],[ Research and Development ]]-Project_Data_NYSE[[#This Row],[ Other Operating Items ]]</f>
        <v>-370000000</v>
      </c>
      <c r="L397" t="s">
        <v>82</v>
      </c>
      <c r="M397" t="s">
        <v>143</v>
      </c>
      <c r="N397" s="31">
        <f>Project_Data_NYSE[[#This Row],[Gross Profit]]/Project_Data_NYSE[[#This Row],[ Total Revenue ]]</f>
        <v>0.28585722532230134</v>
      </c>
      <c r="O397" s="31">
        <f>Project_Data_NYSE[[#This Row],[Operating Profit]]/Project_Data_NYSE[[#This Row],[ Total Revenue ]]</f>
        <v>-2.8477968058495287E-3</v>
      </c>
      <c r="Q397" t="s">
        <v>538</v>
      </c>
    </row>
    <row r="398" spans="1:17" x14ac:dyDescent="0.2">
      <c r="A398">
        <v>424</v>
      </c>
      <c r="B398" t="s">
        <v>188</v>
      </c>
      <c r="C398" t="s">
        <v>11</v>
      </c>
      <c r="D398" s="48">
        <v>41274</v>
      </c>
      <c r="E398" s="3">
        <v>1819814000</v>
      </c>
      <c r="F398" s="3">
        <v>343743000</v>
      </c>
      <c r="G398" s="3">
        <f>Project_Data_NYSE[[#This Row],[ Total Revenue ]]-Project_Data_NYSE[[#This Row],[ Cost of Goods Sold ]]</f>
        <v>1476071000</v>
      </c>
      <c r="H398" s="3">
        <v>133796000</v>
      </c>
      <c r="I398" s="3">
        <v>0</v>
      </c>
      <c r="J398" s="3">
        <v>579315000</v>
      </c>
      <c r="K398" s="3">
        <f>Project_Data_NYSE[[#This Row],[Gross Profit]]-Project_Data_NYSE[[#This Row],[ Sales, General and Admin. ]]-Project_Data_NYSE[[#This Row],[ Research and Development ]]-Project_Data_NYSE[[#This Row],[ Other Operating Items ]]</f>
        <v>762960000</v>
      </c>
      <c r="L398" t="s">
        <v>82</v>
      </c>
      <c r="M398" t="s">
        <v>83</v>
      </c>
      <c r="N398" s="31">
        <f>Project_Data_NYSE[[#This Row],[Gross Profit]]/Project_Data_NYSE[[#This Row],[ Total Revenue ]]</f>
        <v>0.81111091573094829</v>
      </c>
      <c r="O398" s="31">
        <f>Project_Data_NYSE[[#This Row],[Operating Profit]]/Project_Data_NYSE[[#This Row],[ Total Revenue ]]</f>
        <v>0.41925163780474267</v>
      </c>
      <c r="Q398" t="s">
        <v>539</v>
      </c>
    </row>
    <row r="399" spans="1:17" x14ac:dyDescent="0.2">
      <c r="A399">
        <v>425</v>
      </c>
      <c r="B399" t="s">
        <v>188</v>
      </c>
      <c r="C399" t="s">
        <v>14</v>
      </c>
      <c r="D399" s="48">
        <v>41639</v>
      </c>
      <c r="E399" s="3">
        <v>2319919000</v>
      </c>
      <c r="F399" s="3">
        <v>455436000</v>
      </c>
      <c r="G399" s="3">
        <f>Project_Data_NYSE[[#This Row],[ Total Revenue ]]-Project_Data_NYSE[[#This Row],[ Cost of Goods Sold ]]</f>
        <v>1864483000</v>
      </c>
      <c r="H399" s="3">
        <v>169815000</v>
      </c>
      <c r="I399" s="3">
        <v>0</v>
      </c>
      <c r="J399" s="3">
        <v>778655000</v>
      </c>
      <c r="K399" s="3">
        <f>Project_Data_NYSE[[#This Row],[Gross Profit]]-Project_Data_NYSE[[#This Row],[ Sales, General and Admin. ]]-Project_Data_NYSE[[#This Row],[ Research and Development ]]-Project_Data_NYSE[[#This Row],[ Other Operating Items ]]</f>
        <v>916013000</v>
      </c>
      <c r="L399" t="s">
        <v>82</v>
      </c>
      <c r="M399" t="s">
        <v>83</v>
      </c>
      <c r="N399" s="31">
        <f>Project_Data_NYSE[[#This Row],[Gross Profit]]/Project_Data_NYSE[[#This Row],[ Total Revenue ]]</f>
        <v>0.80368452519247435</v>
      </c>
      <c r="O399" s="31">
        <f>Project_Data_NYSE[[#This Row],[Operating Profit]]/Project_Data_NYSE[[#This Row],[ Total Revenue ]]</f>
        <v>0.39484697526077417</v>
      </c>
      <c r="Q399" t="s">
        <v>540</v>
      </c>
    </row>
    <row r="400" spans="1:17" x14ac:dyDescent="0.2">
      <c r="A400">
        <v>426</v>
      </c>
      <c r="B400" t="s">
        <v>188</v>
      </c>
      <c r="C400" t="s">
        <v>15</v>
      </c>
      <c r="D400" s="48">
        <v>42004</v>
      </c>
      <c r="E400" s="3">
        <v>2660147000</v>
      </c>
      <c r="F400" s="3">
        <v>538374000</v>
      </c>
      <c r="G400" s="3">
        <f>Project_Data_NYSE[[#This Row],[ Total Revenue ]]-Project_Data_NYSE[[#This Row],[ Cost of Goods Sold ]]</f>
        <v>2121773000</v>
      </c>
      <c r="H400" s="3">
        <v>204161000</v>
      </c>
      <c r="I400" s="3">
        <v>0</v>
      </c>
      <c r="J400" s="3">
        <v>986812000</v>
      </c>
      <c r="K400" s="3">
        <f>Project_Data_NYSE[[#This Row],[Gross Profit]]-Project_Data_NYSE[[#This Row],[ Sales, General and Admin. ]]-Project_Data_NYSE[[#This Row],[ Research and Development ]]-Project_Data_NYSE[[#This Row],[ Other Operating Items ]]</f>
        <v>930800000</v>
      </c>
      <c r="L400" t="s">
        <v>82</v>
      </c>
      <c r="M400" t="s">
        <v>83</v>
      </c>
      <c r="N400" s="31">
        <f>Project_Data_NYSE[[#This Row],[Gross Profit]]/Project_Data_NYSE[[#This Row],[ Total Revenue ]]</f>
        <v>0.79761494383581055</v>
      </c>
      <c r="O400" s="31">
        <f>Project_Data_NYSE[[#This Row],[Operating Profit]]/Project_Data_NYSE[[#This Row],[ Total Revenue ]]</f>
        <v>0.3499054751485538</v>
      </c>
      <c r="Q400" t="s">
        <v>541</v>
      </c>
    </row>
    <row r="401" spans="1:17" x14ac:dyDescent="0.2">
      <c r="A401">
        <v>427</v>
      </c>
      <c r="B401" t="s">
        <v>188</v>
      </c>
      <c r="C401" t="s">
        <v>16</v>
      </c>
      <c r="D401" s="48">
        <v>42369</v>
      </c>
      <c r="E401" s="3">
        <v>1803573000</v>
      </c>
      <c r="F401" s="3">
        <v>541359000</v>
      </c>
      <c r="G401" s="3">
        <f>Project_Data_NYSE[[#This Row],[ Total Revenue ]]-Project_Data_NYSE[[#This Row],[ Cost of Goods Sold ]]</f>
        <v>1262214000</v>
      </c>
      <c r="H401" s="3">
        <v>230734000</v>
      </c>
      <c r="I401" s="3">
        <v>0</v>
      </c>
      <c r="J401" s="3">
        <v>1230853000</v>
      </c>
      <c r="K401" s="3">
        <f>Project_Data_NYSE[[#This Row],[Gross Profit]]-Project_Data_NYSE[[#This Row],[ Sales, General and Admin. ]]-Project_Data_NYSE[[#This Row],[ Research and Development ]]-Project_Data_NYSE[[#This Row],[ Other Operating Items ]]</f>
        <v>-199373000</v>
      </c>
      <c r="L401" t="s">
        <v>82</v>
      </c>
      <c r="M401" t="s">
        <v>83</v>
      </c>
      <c r="N401" s="31">
        <f>Project_Data_NYSE[[#This Row],[Gross Profit]]/Project_Data_NYSE[[#This Row],[ Total Revenue ]]</f>
        <v>0.69984081598027914</v>
      </c>
      <c r="O401" s="31">
        <f>Project_Data_NYSE[[#This Row],[Operating Profit]]/Project_Data_NYSE[[#This Row],[ Total Revenue ]]</f>
        <v>-0.11054334922955711</v>
      </c>
      <c r="Q401" t="s">
        <v>542</v>
      </c>
    </row>
    <row r="402" spans="1:17" x14ac:dyDescent="0.2">
      <c r="A402">
        <v>428</v>
      </c>
      <c r="B402" t="s">
        <v>189</v>
      </c>
      <c r="C402" t="s">
        <v>11</v>
      </c>
      <c r="D402" s="48">
        <v>41274</v>
      </c>
      <c r="E402" s="3">
        <v>12835000000</v>
      </c>
      <c r="F402" s="3">
        <v>8300000000</v>
      </c>
      <c r="G402" s="3">
        <f>Project_Data_NYSE[[#This Row],[ Total Revenue ]]-Project_Data_NYSE[[#This Row],[ Cost of Goods Sold ]]</f>
        <v>4535000000</v>
      </c>
      <c r="H402" s="3">
        <v>550000000</v>
      </c>
      <c r="I402" s="3">
        <v>0</v>
      </c>
      <c r="J402" s="3">
        <v>1127000000</v>
      </c>
      <c r="K402" s="3">
        <f>Project_Data_NYSE[[#This Row],[Gross Profit]]-Project_Data_NYSE[[#This Row],[ Sales, General and Admin. ]]-Project_Data_NYSE[[#This Row],[ Research and Development ]]-Project_Data_NYSE[[#This Row],[ Other Operating Items ]]</f>
        <v>2858000000</v>
      </c>
      <c r="L402" t="s">
        <v>41</v>
      </c>
      <c r="M402" t="s">
        <v>44</v>
      </c>
      <c r="N402" s="31">
        <f>Project_Data_NYSE[[#This Row],[Gross Profit]]/Project_Data_NYSE[[#This Row],[ Total Revenue ]]</f>
        <v>0.35333073626801714</v>
      </c>
      <c r="O402" s="31">
        <f>Project_Data_NYSE[[#This Row],[Operating Profit]]/Project_Data_NYSE[[#This Row],[ Total Revenue ]]</f>
        <v>0.22267238021036229</v>
      </c>
      <c r="Q402" t="s">
        <v>543</v>
      </c>
    </row>
    <row r="403" spans="1:17" x14ac:dyDescent="0.2">
      <c r="A403">
        <v>429</v>
      </c>
      <c r="B403" t="s">
        <v>189</v>
      </c>
      <c r="C403" t="s">
        <v>14</v>
      </c>
      <c r="D403" s="48">
        <v>41639</v>
      </c>
      <c r="E403" s="3">
        <v>13120000000</v>
      </c>
      <c r="F403" s="3">
        <v>8033000000</v>
      </c>
      <c r="G403" s="3">
        <f>Project_Data_NYSE[[#This Row],[ Total Revenue ]]-Project_Data_NYSE[[#This Row],[ Cost of Goods Sold ]]</f>
        <v>5087000000</v>
      </c>
      <c r="H403" s="3">
        <v>563000000</v>
      </c>
      <c r="I403" s="3">
        <v>0</v>
      </c>
      <c r="J403" s="3">
        <v>1208000000</v>
      </c>
      <c r="K403" s="3">
        <f>Project_Data_NYSE[[#This Row],[Gross Profit]]-Project_Data_NYSE[[#This Row],[ Sales, General and Admin. ]]-Project_Data_NYSE[[#This Row],[ Research and Development ]]-Project_Data_NYSE[[#This Row],[ Other Operating Items ]]</f>
        <v>3316000000</v>
      </c>
      <c r="L403" t="s">
        <v>41</v>
      </c>
      <c r="M403" t="s">
        <v>44</v>
      </c>
      <c r="N403" s="31">
        <f>Project_Data_NYSE[[#This Row],[Gross Profit]]/Project_Data_NYSE[[#This Row],[ Total Revenue ]]</f>
        <v>0.38772865853658539</v>
      </c>
      <c r="O403" s="31">
        <f>Project_Data_NYSE[[#This Row],[Operating Profit]]/Project_Data_NYSE[[#This Row],[ Total Revenue ]]</f>
        <v>0.25274390243902439</v>
      </c>
      <c r="Q403" t="s">
        <v>544</v>
      </c>
    </row>
    <row r="404" spans="1:17" x14ac:dyDescent="0.2">
      <c r="A404">
        <v>430</v>
      </c>
      <c r="B404" t="s">
        <v>189</v>
      </c>
      <c r="C404" t="s">
        <v>15</v>
      </c>
      <c r="D404" s="48">
        <v>42004</v>
      </c>
      <c r="E404" s="3">
        <v>12436000000</v>
      </c>
      <c r="F404" s="3">
        <v>7881000000</v>
      </c>
      <c r="G404" s="3">
        <f>Project_Data_NYSE[[#This Row],[ Total Revenue ]]-Project_Data_NYSE[[#This Row],[ Cost of Goods Sold ]]</f>
        <v>4555000000</v>
      </c>
      <c r="H404" s="3">
        <v>542000000</v>
      </c>
      <c r="I404" s="3">
        <v>0</v>
      </c>
      <c r="J404" s="3">
        <v>1292000000</v>
      </c>
      <c r="K404" s="3">
        <f>Project_Data_NYSE[[#This Row],[Gross Profit]]-Project_Data_NYSE[[#This Row],[ Sales, General and Admin. ]]-Project_Data_NYSE[[#This Row],[ Research and Development ]]-Project_Data_NYSE[[#This Row],[ Other Operating Items ]]</f>
        <v>2721000000</v>
      </c>
      <c r="L404" t="s">
        <v>41</v>
      </c>
      <c r="M404" t="s">
        <v>44</v>
      </c>
      <c r="N404" s="31">
        <f>Project_Data_NYSE[[#This Row],[Gross Profit]]/Project_Data_NYSE[[#This Row],[ Total Revenue ]]</f>
        <v>0.36627532968800258</v>
      </c>
      <c r="O404" s="31">
        <f>Project_Data_NYSE[[#This Row],[Operating Profit]]/Project_Data_NYSE[[#This Row],[ Total Revenue ]]</f>
        <v>0.21880025731746541</v>
      </c>
      <c r="Q404" t="s">
        <v>545</v>
      </c>
    </row>
    <row r="405" spans="1:17" x14ac:dyDescent="0.2">
      <c r="A405">
        <v>431</v>
      </c>
      <c r="B405" t="s">
        <v>189</v>
      </c>
      <c r="C405" t="s">
        <v>16</v>
      </c>
      <c r="D405" s="48">
        <v>42369</v>
      </c>
      <c r="E405" s="3">
        <v>11683000000</v>
      </c>
      <c r="F405" s="3">
        <v>6201000000</v>
      </c>
      <c r="G405" s="3">
        <f>Project_Data_NYSE[[#This Row],[ Total Revenue ]]-Project_Data_NYSE[[#This Row],[ Cost of Goods Sold ]]</f>
        <v>5482000000</v>
      </c>
      <c r="H405" s="3">
        <v>551000000</v>
      </c>
      <c r="I405" s="3">
        <v>0</v>
      </c>
      <c r="J405" s="3">
        <v>1395000000</v>
      </c>
      <c r="K405" s="3">
        <f>Project_Data_NYSE[[#This Row],[Gross Profit]]-Project_Data_NYSE[[#This Row],[ Sales, General and Admin. ]]-Project_Data_NYSE[[#This Row],[ Research and Development ]]-Project_Data_NYSE[[#This Row],[ Other Operating Items ]]</f>
        <v>3536000000</v>
      </c>
      <c r="L405" t="s">
        <v>41</v>
      </c>
      <c r="M405" t="s">
        <v>44</v>
      </c>
      <c r="N405" s="31">
        <f>Project_Data_NYSE[[#This Row],[Gross Profit]]/Project_Data_NYSE[[#This Row],[ Total Revenue ]]</f>
        <v>0.46922879397415046</v>
      </c>
      <c r="O405" s="31">
        <f>Project_Data_NYSE[[#This Row],[Operating Profit]]/Project_Data_NYSE[[#This Row],[ Total Revenue ]]</f>
        <v>0.30266198750320977</v>
      </c>
      <c r="Q405" t="s">
        <v>546</v>
      </c>
    </row>
    <row r="406" spans="1:17" x14ac:dyDescent="0.2">
      <c r="A406">
        <v>432</v>
      </c>
      <c r="B406" t="s">
        <v>190</v>
      </c>
      <c r="C406" t="s">
        <v>11</v>
      </c>
      <c r="D406" s="48">
        <v>41639</v>
      </c>
      <c r="E406" s="3">
        <v>37773000000</v>
      </c>
      <c r="F406" s="3">
        <v>20964000000</v>
      </c>
      <c r="G406" s="3">
        <f>Project_Data_NYSE[[#This Row],[ Total Revenue ]]-Project_Data_NYSE[[#This Row],[ Cost of Goods Sold ]]</f>
        <v>16809000000</v>
      </c>
      <c r="H406" s="3">
        <v>11349000000</v>
      </c>
      <c r="I406" s="3">
        <v>0</v>
      </c>
      <c r="J406" s="3">
        <v>1658000000</v>
      </c>
      <c r="K406" s="3">
        <f>Project_Data_NYSE[[#This Row],[Gross Profit]]-Project_Data_NYSE[[#This Row],[ Sales, General and Admin. ]]-Project_Data_NYSE[[#This Row],[ Research and Development ]]-Project_Data_NYSE[[#This Row],[ Other Operating Items ]]</f>
        <v>3802000000</v>
      </c>
      <c r="L406" t="s">
        <v>12</v>
      </c>
      <c r="M406" t="s">
        <v>13</v>
      </c>
      <c r="N406" s="31">
        <f>Project_Data_NYSE[[#This Row],[Gross Profit]]/Project_Data_NYSE[[#This Row],[ Total Revenue ]]</f>
        <v>0.44500039710904615</v>
      </c>
      <c r="O406" s="31">
        <f>Project_Data_NYSE[[#This Row],[Operating Profit]]/Project_Data_NYSE[[#This Row],[ Total Revenue ]]</f>
        <v>0.10065390622931723</v>
      </c>
      <c r="Q406" t="s">
        <v>547</v>
      </c>
    </row>
    <row r="407" spans="1:17" x14ac:dyDescent="0.2">
      <c r="A407">
        <v>433</v>
      </c>
      <c r="B407" t="s">
        <v>190</v>
      </c>
      <c r="C407" t="s">
        <v>14</v>
      </c>
      <c r="D407" s="48">
        <v>42004</v>
      </c>
      <c r="E407" s="3">
        <v>40362000000</v>
      </c>
      <c r="F407" s="3">
        <v>22967000000</v>
      </c>
      <c r="G407" s="3">
        <f>Project_Data_NYSE[[#This Row],[ Total Revenue ]]-Project_Data_NYSE[[#This Row],[ Cost of Goods Sold ]]</f>
        <v>17395000000</v>
      </c>
      <c r="H407" s="3">
        <v>12702000000</v>
      </c>
      <c r="I407" s="3">
        <v>0</v>
      </c>
      <c r="J407" s="3">
        <v>1771000000</v>
      </c>
      <c r="K407" s="3">
        <f>Project_Data_NYSE[[#This Row],[Gross Profit]]-Project_Data_NYSE[[#This Row],[ Sales, General and Admin. ]]-Project_Data_NYSE[[#This Row],[ Research and Development ]]-Project_Data_NYSE[[#This Row],[ Other Operating Items ]]</f>
        <v>2922000000</v>
      </c>
      <c r="L407" t="s">
        <v>12</v>
      </c>
      <c r="M407" t="s">
        <v>13</v>
      </c>
      <c r="N407" s="31">
        <f>Project_Data_NYSE[[#This Row],[Gross Profit]]/Project_Data_NYSE[[#This Row],[ Total Revenue ]]</f>
        <v>0.43097467915365939</v>
      </c>
      <c r="O407" s="31">
        <f>Project_Data_NYSE[[#This Row],[Operating Profit]]/Project_Data_NYSE[[#This Row],[ Total Revenue ]]</f>
        <v>7.2394826817303401E-2</v>
      </c>
      <c r="Q407" t="s">
        <v>548</v>
      </c>
    </row>
    <row r="408" spans="1:17" x14ac:dyDescent="0.2">
      <c r="A408">
        <v>434</v>
      </c>
      <c r="B408" t="s">
        <v>190</v>
      </c>
      <c r="C408" t="s">
        <v>15</v>
      </c>
      <c r="D408" s="48">
        <v>42369</v>
      </c>
      <c r="E408" s="3">
        <v>40704000000</v>
      </c>
      <c r="F408" s="3">
        <v>17096000000</v>
      </c>
      <c r="G408" s="3">
        <f>Project_Data_NYSE[[#This Row],[ Total Revenue ]]-Project_Data_NYSE[[#This Row],[ Cost of Goods Sold ]]</f>
        <v>23608000000</v>
      </c>
      <c r="H408" s="3">
        <v>13936000000</v>
      </c>
      <c r="I408" s="3">
        <v>0</v>
      </c>
      <c r="J408" s="3">
        <v>1835000000</v>
      </c>
      <c r="K408" s="3">
        <f>Project_Data_NYSE[[#This Row],[Gross Profit]]-Project_Data_NYSE[[#This Row],[ Sales, General and Admin. ]]-Project_Data_NYSE[[#This Row],[ Research and Development ]]-Project_Data_NYSE[[#This Row],[ Other Operating Items ]]</f>
        <v>7837000000</v>
      </c>
      <c r="L408" t="s">
        <v>12</v>
      </c>
      <c r="M408" t="s">
        <v>13</v>
      </c>
      <c r="N408" s="31">
        <f>Project_Data_NYSE[[#This Row],[Gross Profit]]/Project_Data_NYSE[[#This Row],[ Total Revenue ]]</f>
        <v>0.57999213836477992</v>
      </c>
      <c r="O408" s="31">
        <f>Project_Data_NYSE[[#This Row],[Operating Profit]]/Project_Data_NYSE[[#This Row],[ Total Revenue ]]</f>
        <v>0.19253636006289307</v>
      </c>
      <c r="Q408" t="s">
        <v>549</v>
      </c>
    </row>
    <row r="409" spans="1:17" x14ac:dyDescent="0.2">
      <c r="A409">
        <v>435</v>
      </c>
      <c r="B409" t="s">
        <v>190</v>
      </c>
      <c r="C409" t="s">
        <v>16</v>
      </c>
      <c r="D409" s="48">
        <v>42735</v>
      </c>
      <c r="E409" s="3">
        <v>39639000000</v>
      </c>
      <c r="F409" s="3">
        <v>15940000000</v>
      </c>
      <c r="G409" s="3">
        <f>Project_Data_NYSE[[#This Row],[ Total Revenue ]]-Project_Data_NYSE[[#This Row],[ Cost of Goods Sold ]]</f>
        <v>23699000000</v>
      </c>
      <c r="H409" s="3">
        <v>14845000000</v>
      </c>
      <c r="I409" s="3">
        <v>0</v>
      </c>
      <c r="J409" s="3">
        <v>1902000000</v>
      </c>
      <c r="K409" s="3">
        <f>Project_Data_NYSE[[#This Row],[Gross Profit]]-Project_Data_NYSE[[#This Row],[ Sales, General and Admin. ]]-Project_Data_NYSE[[#This Row],[ Research and Development ]]-Project_Data_NYSE[[#This Row],[ Other Operating Items ]]</f>
        <v>6952000000</v>
      </c>
      <c r="L409" t="s">
        <v>12</v>
      </c>
      <c r="M409" t="s">
        <v>13</v>
      </c>
      <c r="N409" s="31">
        <f>Project_Data_NYSE[[#This Row],[Gross Profit]]/Project_Data_NYSE[[#This Row],[ Total Revenue ]]</f>
        <v>0.59787078382401171</v>
      </c>
      <c r="O409" s="31">
        <f>Project_Data_NYSE[[#This Row],[Operating Profit]]/Project_Data_NYSE[[#This Row],[ Total Revenue ]]</f>
        <v>0.17538283004112112</v>
      </c>
      <c r="Q409" t="s">
        <v>550</v>
      </c>
    </row>
    <row r="410" spans="1:17" x14ac:dyDescent="0.2">
      <c r="A410">
        <v>436</v>
      </c>
      <c r="B410" t="s">
        <v>191</v>
      </c>
      <c r="C410" t="s">
        <v>11</v>
      </c>
      <c r="D410" s="48">
        <v>41639</v>
      </c>
      <c r="E410" s="3">
        <v>28998000000</v>
      </c>
      <c r="F410" s="3">
        <v>17642000000</v>
      </c>
      <c r="G410" s="3">
        <f>Project_Data_NYSE[[#This Row],[ Total Revenue ]]-Project_Data_NYSE[[#This Row],[ Cost of Goods Sold ]]</f>
        <v>11356000000</v>
      </c>
      <c r="H410" s="3">
        <v>6564000000</v>
      </c>
      <c r="I410" s="3">
        <v>2037000000</v>
      </c>
      <c r="J410" s="3">
        <v>0</v>
      </c>
      <c r="K410" s="3">
        <f>Project_Data_NYSE[[#This Row],[Gross Profit]]-Project_Data_NYSE[[#This Row],[ Sales, General and Admin. ]]-Project_Data_NYSE[[#This Row],[ Research and Development ]]-Project_Data_NYSE[[#This Row],[ Other Operating Items ]]</f>
        <v>2755000000</v>
      </c>
      <c r="L410" t="s">
        <v>58</v>
      </c>
      <c r="M410" t="s">
        <v>192</v>
      </c>
      <c r="N410" s="31">
        <f>Project_Data_NYSE[[#This Row],[Gross Profit]]/Project_Data_NYSE[[#This Row],[ Total Revenue ]]</f>
        <v>0.39161321470446236</v>
      </c>
      <c r="O410" s="31">
        <f>Project_Data_NYSE[[#This Row],[Operating Profit]]/Project_Data_NYSE[[#This Row],[ Total Revenue ]]</f>
        <v>9.5006552176012143E-2</v>
      </c>
      <c r="Q410" t="s">
        <v>551</v>
      </c>
    </row>
    <row r="411" spans="1:17" x14ac:dyDescent="0.2">
      <c r="A411">
        <v>437</v>
      </c>
      <c r="B411" t="s">
        <v>191</v>
      </c>
      <c r="C411" t="s">
        <v>14</v>
      </c>
      <c r="D411" s="48">
        <v>42004</v>
      </c>
      <c r="E411" s="3">
        <v>28406000000</v>
      </c>
      <c r="F411" s="3">
        <v>17023000000</v>
      </c>
      <c r="G411" s="3">
        <f>Project_Data_NYSE[[#This Row],[ Total Revenue ]]-Project_Data_NYSE[[#This Row],[ Cost of Goods Sold ]]</f>
        <v>11383000000</v>
      </c>
      <c r="H411" s="3">
        <v>5536000000</v>
      </c>
      <c r="I411" s="3">
        <v>1958000000</v>
      </c>
      <c r="J411" s="3">
        <v>0</v>
      </c>
      <c r="K411" s="3">
        <f>Project_Data_NYSE[[#This Row],[Gross Profit]]-Project_Data_NYSE[[#This Row],[ Sales, General and Admin. ]]-Project_Data_NYSE[[#This Row],[ Research and Development ]]-Project_Data_NYSE[[#This Row],[ Other Operating Items ]]</f>
        <v>3889000000</v>
      </c>
      <c r="L411" t="s">
        <v>58</v>
      </c>
      <c r="M411" t="s">
        <v>192</v>
      </c>
      <c r="N411" s="31">
        <f>Project_Data_NYSE[[#This Row],[Gross Profit]]/Project_Data_NYSE[[#This Row],[ Total Revenue ]]</f>
        <v>0.40072519890164049</v>
      </c>
      <c r="O411" s="31">
        <f>Project_Data_NYSE[[#This Row],[Operating Profit]]/Project_Data_NYSE[[#This Row],[ Total Revenue ]]</f>
        <v>0.13690769555727664</v>
      </c>
      <c r="Q411" t="s">
        <v>552</v>
      </c>
    </row>
    <row r="412" spans="1:17" x14ac:dyDescent="0.2">
      <c r="A412">
        <v>438</v>
      </c>
      <c r="B412" t="s">
        <v>191</v>
      </c>
      <c r="C412" t="s">
        <v>15</v>
      </c>
      <c r="D412" s="48">
        <v>42369</v>
      </c>
      <c r="E412" s="3">
        <v>25130000000</v>
      </c>
      <c r="F412" s="3">
        <v>15112000000</v>
      </c>
      <c r="G412" s="3">
        <f>Project_Data_NYSE[[#This Row],[ Total Revenue ]]-Project_Data_NYSE[[#This Row],[ Cost of Goods Sold ]]</f>
        <v>10018000000</v>
      </c>
      <c r="H412" s="3">
        <v>5074000000</v>
      </c>
      <c r="I412" s="3">
        <v>1898000000</v>
      </c>
      <c r="J412" s="3">
        <v>0</v>
      </c>
      <c r="K412" s="3">
        <f>Project_Data_NYSE[[#This Row],[Gross Profit]]-Project_Data_NYSE[[#This Row],[ Sales, General and Admin. ]]-Project_Data_NYSE[[#This Row],[ Research and Development ]]-Project_Data_NYSE[[#This Row],[ Other Operating Items ]]</f>
        <v>3046000000</v>
      </c>
      <c r="L412" t="s">
        <v>58</v>
      </c>
      <c r="M412" t="s">
        <v>192</v>
      </c>
      <c r="N412" s="31">
        <f>Project_Data_NYSE[[#This Row],[Gross Profit]]/Project_Data_NYSE[[#This Row],[ Total Revenue ]]</f>
        <v>0.39864703541583763</v>
      </c>
      <c r="O412" s="31">
        <f>Project_Data_NYSE[[#This Row],[Operating Profit]]/Project_Data_NYSE[[#This Row],[ Total Revenue ]]</f>
        <v>0.12120970951054516</v>
      </c>
      <c r="Q412" t="s">
        <v>554</v>
      </c>
    </row>
    <row r="413" spans="1:17" x14ac:dyDescent="0.2">
      <c r="A413">
        <v>439</v>
      </c>
      <c r="B413" t="s">
        <v>191</v>
      </c>
      <c r="C413" t="s">
        <v>16</v>
      </c>
      <c r="D413" s="48">
        <v>42735</v>
      </c>
      <c r="E413" s="3">
        <v>24594000000</v>
      </c>
      <c r="F413" s="3">
        <v>14469000000</v>
      </c>
      <c r="G413" s="3">
        <f>Project_Data_NYSE[[#This Row],[ Total Revenue ]]-Project_Data_NYSE[[#This Row],[ Cost of Goods Sold ]]</f>
        <v>10125000000</v>
      </c>
      <c r="H413" s="3">
        <v>5005000000</v>
      </c>
      <c r="I413" s="3">
        <v>1641000000</v>
      </c>
      <c r="J413" s="3">
        <v>0</v>
      </c>
      <c r="K413" s="3">
        <f>Project_Data_NYSE[[#This Row],[Gross Profit]]-Project_Data_NYSE[[#This Row],[ Sales, General and Admin. ]]-Project_Data_NYSE[[#This Row],[ Research and Development ]]-Project_Data_NYSE[[#This Row],[ Other Operating Items ]]</f>
        <v>3479000000</v>
      </c>
      <c r="L413" t="s">
        <v>58</v>
      </c>
      <c r="M413" t="s">
        <v>192</v>
      </c>
      <c r="N413" s="31">
        <f>Project_Data_NYSE[[#This Row],[Gross Profit]]/Project_Data_NYSE[[#This Row],[ Total Revenue ]]</f>
        <v>0.41168577701878506</v>
      </c>
      <c r="O413" s="31">
        <f>Project_Data_NYSE[[#This Row],[Operating Profit]]/Project_Data_NYSE[[#This Row],[ Total Revenue ]]</f>
        <v>0.14145726599983735</v>
      </c>
      <c r="Q413" t="s">
        <v>555</v>
      </c>
    </row>
    <row r="414" spans="1:17" x14ac:dyDescent="0.2">
      <c r="A414">
        <v>440</v>
      </c>
      <c r="B414" t="s">
        <v>193</v>
      </c>
      <c r="C414" t="s">
        <v>11</v>
      </c>
      <c r="D414" s="48">
        <v>41578</v>
      </c>
      <c r="E414" s="3">
        <v>37795400000</v>
      </c>
      <c r="F414" s="3">
        <v>25667300000</v>
      </c>
      <c r="G414" s="3">
        <f>Project_Data_NYSE[[#This Row],[ Total Revenue ]]-Project_Data_NYSE[[#This Row],[ Cost of Goods Sold ]]</f>
        <v>12128100000</v>
      </c>
      <c r="H414" s="3">
        <v>4426100000</v>
      </c>
      <c r="I414" s="3">
        <v>1477300000</v>
      </c>
      <c r="J414" s="3">
        <v>0</v>
      </c>
      <c r="K414" s="3">
        <f>Project_Data_NYSE[[#This Row],[Gross Profit]]-Project_Data_NYSE[[#This Row],[ Sales, General and Admin. ]]-Project_Data_NYSE[[#This Row],[ Research and Development ]]-Project_Data_NYSE[[#This Row],[ Other Operating Items ]]</f>
        <v>6224700000</v>
      </c>
      <c r="L414" t="s">
        <v>12</v>
      </c>
      <c r="M414" t="s">
        <v>126</v>
      </c>
      <c r="N414" s="31">
        <f>Project_Data_NYSE[[#This Row],[Gross Profit]]/Project_Data_NYSE[[#This Row],[ Total Revenue ]]</f>
        <v>0.32088825624282319</v>
      </c>
      <c r="O414" s="31">
        <f>Project_Data_NYSE[[#This Row],[Operating Profit]]/Project_Data_NYSE[[#This Row],[ Total Revenue ]]</f>
        <v>0.16469464538012563</v>
      </c>
      <c r="Q414" t="s">
        <v>556</v>
      </c>
    </row>
    <row r="415" spans="1:17" x14ac:dyDescent="0.2">
      <c r="A415">
        <v>441</v>
      </c>
      <c r="B415" t="s">
        <v>193</v>
      </c>
      <c r="C415" t="s">
        <v>14</v>
      </c>
      <c r="D415" s="48">
        <v>41943</v>
      </c>
      <c r="E415" s="3">
        <v>36066900000</v>
      </c>
      <c r="F415" s="3">
        <v>24775800000</v>
      </c>
      <c r="G415" s="3">
        <f>Project_Data_NYSE[[#This Row],[ Total Revenue ]]-Project_Data_NYSE[[#This Row],[ Cost of Goods Sold ]]</f>
        <v>11291100000</v>
      </c>
      <c r="H415" s="3">
        <v>4377700000</v>
      </c>
      <c r="I415" s="3">
        <v>1452000000</v>
      </c>
      <c r="J415" s="3">
        <v>0</v>
      </c>
      <c r="K415" s="3">
        <f>Project_Data_NYSE[[#This Row],[Gross Profit]]-Project_Data_NYSE[[#This Row],[ Sales, General and Admin. ]]-Project_Data_NYSE[[#This Row],[ Research and Development ]]-Project_Data_NYSE[[#This Row],[ Other Operating Items ]]</f>
        <v>5461400000</v>
      </c>
      <c r="L415" t="s">
        <v>12</v>
      </c>
      <c r="M415" t="s">
        <v>126</v>
      </c>
      <c r="N415" s="31">
        <f>Project_Data_NYSE[[#This Row],[Gross Profit]]/Project_Data_NYSE[[#This Row],[ Total Revenue ]]</f>
        <v>0.31305989702469578</v>
      </c>
      <c r="O415" s="31">
        <f>Project_Data_NYSE[[#This Row],[Operating Profit]]/Project_Data_NYSE[[#This Row],[ Total Revenue ]]</f>
        <v>0.15142415899342609</v>
      </c>
      <c r="Q415" t="s">
        <v>557</v>
      </c>
    </row>
    <row r="416" spans="1:17" x14ac:dyDescent="0.2">
      <c r="A416">
        <v>442</v>
      </c>
      <c r="B416" t="s">
        <v>193</v>
      </c>
      <c r="C416" t="s">
        <v>15</v>
      </c>
      <c r="D416" s="48">
        <v>42308</v>
      </c>
      <c r="E416" s="3">
        <v>28862800000</v>
      </c>
      <c r="F416" s="3">
        <v>20143200000</v>
      </c>
      <c r="G416" s="3">
        <f>Project_Data_NYSE[[#This Row],[ Total Revenue ]]-Project_Data_NYSE[[#This Row],[ Cost of Goods Sold ]]</f>
        <v>8719600000</v>
      </c>
      <c r="H416" s="3">
        <v>3834400000</v>
      </c>
      <c r="I416" s="3">
        <v>1425100000</v>
      </c>
      <c r="J416" s="3">
        <v>0</v>
      </c>
      <c r="K416" s="3">
        <f>Project_Data_NYSE[[#This Row],[Gross Profit]]-Project_Data_NYSE[[#This Row],[ Sales, General and Admin. ]]-Project_Data_NYSE[[#This Row],[ Research and Development ]]-Project_Data_NYSE[[#This Row],[ Other Operating Items ]]</f>
        <v>3460100000</v>
      </c>
      <c r="L416" t="s">
        <v>12</v>
      </c>
      <c r="M416" t="s">
        <v>126</v>
      </c>
      <c r="N416" s="31">
        <f>Project_Data_NYSE[[#This Row],[Gross Profit]]/Project_Data_NYSE[[#This Row],[ Total Revenue ]]</f>
        <v>0.3021051318652383</v>
      </c>
      <c r="O416" s="31">
        <f>Project_Data_NYSE[[#This Row],[Operating Profit]]/Project_Data_NYSE[[#This Row],[ Total Revenue ]]</f>
        <v>0.11988095403079396</v>
      </c>
      <c r="Q416" t="s">
        <v>558</v>
      </c>
    </row>
    <row r="417" spans="1:17" x14ac:dyDescent="0.2">
      <c r="A417">
        <v>443</v>
      </c>
      <c r="B417" t="s">
        <v>193</v>
      </c>
      <c r="C417" t="s">
        <v>16</v>
      </c>
      <c r="D417" s="48">
        <v>42674</v>
      </c>
      <c r="E417" s="3">
        <v>26644000000</v>
      </c>
      <c r="F417" s="3">
        <v>18248900000</v>
      </c>
      <c r="G417" s="3">
        <f>Project_Data_NYSE[[#This Row],[ Total Revenue ]]-Project_Data_NYSE[[#This Row],[ Cost of Goods Sold ]]</f>
        <v>8395100000</v>
      </c>
      <c r="H417" s="3">
        <v>4018300000</v>
      </c>
      <c r="I417" s="3">
        <v>1389100000</v>
      </c>
      <c r="J417" s="3">
        <v>0</v>
      </c>
      <c r="K417" s="3">
        <f>Project_Data_NYSE[[#This Row],[Gross Profit]]-Project_Data_NYSE[[#This Row],[ Sales, General and Admin. ]]-Project_Data_NYSE[[#This Row],[ Research and Development ]]-Project_Data_NYSE[[#This Row],[ Other Operating Items ]]</f>
        <v>2987700000</v>
      </c>
      <c r="L417" t="s">
        <v>12</v>
      </c>
      <c r="M417" t="s">
        <v>126</v>
      </c>
      <c r="N417" s="31">
        <f>Project_Data_NYSE[[#This Row],[Gross Profit]]/Project_Data_NYSE[[#This Row],[ Total Revenue ]]</f>
        <v>0.31508407146074163</v>
      </c>
      <c r="O417" s="31">
        <f>Project_Data_NYSE[[#This Row],[Operating Profit]]/Project_Data_NYSE[[#This Row],[ Total Revenue ]]</f>
        <v>0.11213406395436121</v>
      </c>
      <c r="Q417" t="s">
        <v>559</v>
      </c>
    </row>
    <row r="418" spans="1:17" x14ac:dyDescent="0.2">
      <c r="A418">
        <v>444</v>
      </c>
      <c r="B418" t="s">
        <v>194</v>
      </c>
      <c r="C418" t="s">
        <v>11</v>
      </c>
      <c r="D418" s="48">
        <v>41243</v>
      </c>
      <c r="E418" s="3">
        <v>8984000000</v>
      </c>
      <c r="F418" s="3">
        <v>845000000</v>
      </c>
      <c r="G418" s="3">
        <f>Project_Data_NYSE[[#This Row],[ Total Revenue ]]-Project_Data_NYSE[[#This Row],[ Cost of Goods Sold ]]</f>
        <v>8139000000</v>
      </c>
      <c r="H418" s="3">
        <v>3052000000</v>
      </c>
      <c r="I418" s="3">
        <v>0</v>
      </c>
      <c r="J418" s="3">
        <v>848000000</v>
      </c>
      <c r="K418" s="3">
        <f>Project_Data_NYSE[[#This Row],[Gross Profit]]-Project_Data_NYSE[[#This Row],[ Sales, General and Admin. ]]-Project_Data_NYSE[[#This Row],[ Research and Development ]]-Project_Data_NYSE[[#This Row],[ Other Operating Items ]]</f>
        <v>4239000000</v>
      </c>
      <c r="L418" t="s">
        <v>46</v>
      </c>
      <c r="M418" t="s">
        <v>99</v>
      </c>
      <c r="N418" s="31">
        <f>Project_Data_NYSE[[#This Row],[Gross Profit]]/Project_Data_NYSE[[#This Row],[ Total Revenue ]]</f>
        <v>0.90594390026714156</v>
      </c>
      <c r="O418" s="31">
        <f>Project_Data_NYSE[[#This Row],[Operating Profit]]/Project_Data_NYSE[[#This Row],[ Total Revenue ]]</f>
        <v>0.47183882457702581</v>
      </c>
      <c r="Q418" t="s">
        <v>560</v>
      </c>
    </row>
    <row r="419" spans="1:17" x14ac:dyDescent="0.2">
      <c r="A419">
        <v>445</v>
      </c>
      <c r="B419" t="s">
        <v>194</v>
      </c>
      <c r="C419" t="s">
        <v>14</v>
      </c>
      <c r="D419" s="48">
        <v>41639</v>
      </c>
      <c r="E419" s="3">
        <v>9370000000</v>
      </c>
      <c r="F419" s="3">
        <v>698000000</v>
      </c>
      <c r="G419" s="3">
        <f>Project_Data_NYSE[[#This Row],[ Total Revenue ]]-Project_Data_NYSE[[#This Row],[ Cost of Goods Sold ]]</f>
        <v>8672000000</v>
      </c>
      <c r="H419" s="3">
        <v>3194000000</v>
      </c>
      <c r="I419" s="3">
        <v>0</v>
      </c>
      <c r="J419" s="3">
        <v>1086000000</v>
      </c>
      <c r="K419" s="3">
        <f>Project_Data_NYSE[[#This Row],[Gross Profit]]-Project_Data_NYSE[[#This Row],[ Sales, General and Admin. ]]-Project_Data_NYSE[[#This Row],[ Research and Development ]]-Project_Data_NYSE[[#This Row],[ Other Operating Items ]]</f>
        <v>4392000000</v>
      </c>
      <c r="L419" t="s">
        <v>46</v>
      </c>
      <c r="M419" t="s">
        <v>99</v>
      </c>
      <c r="N419" s="31">
        <f>Project_Data_NYSE[[#This Row],[Gross Profit]]/Project_Data_NYSE[[#This Row],[ Total Revenue ]]</f>
        <v>0.92550693703308429</v>
      </c>
      <c r="O419" s="31">
        <f>Project_Data_NYSE[[#This Row],[Operating Profit]]/Project_Data_NYSE[[#This Row],[ Total Revenue ]]</f>
        <v>0.46872998932764143</v>
      </c>
      <c r="Q419" t="s">
        <v>562</v>
      </c>
    </row>
    <row r="420" spans="1:17" x14ac:dyDescent="0.2">
      <c r="A420">
        <v>446</v>
      </c>
      <c r="B420" t="s">
        <v>194</v>
      </c>
      <c r="C420" t="s">
        <v>15</v>
      </c>
      <c r="D420" s="48">
        <v>42004</v>
      </c>
      <c r="E420" s="3">
        <v>9611000000</v>
      </c>
      <c r="F420" s="3">
        <v>614000000</v>
      </c>
      <c r="G420" s="3">
        <f>Project_Data_NYSE[[#This Row],[ Total Revenue ]]-Project_Data_NYSE[[#This Row],[ Cost of Goods Sold ]]</f>
        <v>8997000000</v>
      </c>
      <c r="H420" s="3">
        <v>3340000000</v>
      </c>
      <c r="I420" s="3">
        <v>0</v>
      </c>
      <c r="J420" s="3">
        <v>1443000000</v>
      </c>
      <c r="K420" s="3">
        <f>Project_Data_NYSE[[#This Row],[Gross Profit]]-Project_Data_NYSE[[#This Row],[ Sales, General and Admin. ]]-Project_Data_NYSE[[#This Row],[ Research and Development ]]-Project_Data_NYSE[[#This Row],[ Other Operating Items ]]</f>
        <v>4214000000</v>
      </c>
      <c r="L420" t="s">
        <v>46</v>
      </c>
      <c r="M420" t="s">
        <v>99</v>
      </c>
      <c r="N420" s="31">
        <f>Project_Data_NYSE[[#This Row],[Gross Profit]]/Project_Data_NYSE[[#This Row],[ Total Revenue ]]</f>
        <v>0.93611486837998126</v>
      </c>
      <c r="O420" s="31">
        <f>Project_Data_NYSE[[#This Row],[Operating Profit]]/Project_Data_NYSE[[#This Row],[ Total Revenue ]]</f>
        <v>0.43845593590677351</v>
      </c>
      <c r="Q420" t="s">
        <v>563</v>
      </c>
    </row>
    <row r="421" spans="1:17" x14ac:dyDescent="0.2">
      <c r="A421">
        <v>447</v>
      </c>
      <c r="B421" t="s">
        <v>194</v>
      </c>
      <c r="C421" t="s">
        <v>16</v>
      </c>
      <c r="D421" s="48">
        <v>42369</v>
      </c>
      <c r="E421" s="3">
        <v>10002000000</v>
      </c>
      <c r="F421" s="3">
        <v>623000000</v>
      </c>
      <c r="G421" s="3">
        <f>Project_Data_NYSE[[#This Row],[ Total Revenue ]]-Project_Data_NYSE[[#This Row],[ Cost of Goods Sold ]]</f>
        <v>9379000000</v>
      </c>
      <c r="H421" s="3">
        <v>3615000000</v>
      </c>
      <c r="I421" s="3">
        <v>0</v>
      </c>
      <c r="J421" s="3">
        <v>1512000000</v>
      </c>
      <c r="K421" s="3">
        <f>Project_Data_NYSE[[#This Row],[Gross Profit]]-Project_Data_NYSE[[#This Row],[ Sales, General and Admin. ]]-Project_Data_NYSE[[#This Row],[ Research and Development ]]-Project_Data_NYSE[[#This Row],[ Other Operating Items ]]</f>
        <v>4252000000</v>
      </c>
      <c r="L421" t="s">
        <v>46</v>
      </c>
      <c r="M421" t="s">
        <v>99</v>
      </c>
      <c r="N421" s="31">
        <f>Project_Data_NYSE[[#This Row],[Gross Profit]]/Project_Data_NYSE[[#This Row],[ Total Revenue ]]</f>
        <v>0.9377124575084983</v>
      </c>
      <c r="O421" s="31">
        <f>Project_Data_NYSE[[#This Row],[Operating Profit]]/Project_Data_NYSE[[#This Row],[ Total Revenue ]]</f>
        <v>0.4251149770045991</v>
      </c>
      <c r="Q421" t="s">
        <v>564</v>
      </c>
    </row>
    <row r="422" spans="1:17" x14ac:dyDescent="0.2">
      <c r="A422">
        <v>448</v>
      </c>
      <c r="B422" t="s">
        <v>195</v>
      </c>
      <c r="C422" t="s">
        <v>11</v>
      </c>
      <c r="D422" s="48">
        <v>41306</v>
      </c>
      <c r="E422" s="3">
        <v>16022128000</v>
      </c>
      <c r="F422" s="3">
        <v>10936727000</v>
      </c>
      <c r="G422" s="3">
        <f>Project_Data_NYSE[[#This Row],[ Total Revenue ]]-Project_Data_NYSE[[#This Row],[ Cost of Goods Sold ]]</f>
        <v>5085401000</v>
      </c>
      <c r="H422" s="3">
        <v>3430125000</v>
      </c>
      <c r="I422" s="3">
        <v>0</v>
      </c>
      <c r="J422" s="3">
        <v>0</v>
      </c>
      <c r="K422" s="3">
        <f>Project_Data_NYSE[[#This Row],[Gross Profit]]-Project_Data_NYSE[[#This Row],[ Sales, General and Admin. ]]-Project_Data_NYSE[[#This Row],[ Research and Development ]]-Project_Data_NYSE[[#This Row],[ Other Operating Items ]]</f>
        <v>1655276000</v>
      </c>
      <c r="L422" t="s">
        <v>18</v>
      </c>
      <c r="M422" t="s">
        <v>196</v>
      </c>
      <c r="N422" s="31">
        <f>Project_Data_NYSE[[#This Row],[Gross Profit]]/Project_Data_NYSE[[#This Row],[ Total Revenue ]]</f>
        <v>0.3173986002358738</v>
      </c>
      <c r="O422" s="31">
        <f>Project_Data_NYSE[[#This Row],[Operating Profit]]/Project_Data_NYSE[[#This Row],[ Total Revenue ]]</f>
        <v>0.10331186968422672</v>
      </c>
      <c r="Q422" t="s">
        <v>565</v>
      </c>
    </row>
    <row r="423" spans="1:17" x14ac:dyDescent="0.2">
      <c r="A423">
        <v>449</v>
      </c>
      <c r="B423" t="s">
        <v>195</v>
      </c>
      <c r="C423" t="s">
        <v>14</v>
      </c>
      <c r="D423" s="48">
        <v>41670</v>
      </c>
      <c r="E423" s="3">
        <v>17504167000</v>
      </c>
      <c r="F423" s="3">
        <v>12068425000</v>
      </c>
      <c r="G423" s="3">
        <f>Project_Data_NYSE[[#This Row],[ Total Revenue ]]-Project_Data_NYSE[[#This Row],[ Cost of Goods Sold ]]</f>
        <v>5435742000</v>
      </c>
      <c r="H423" s="3">
        <v>3699557000</v>
      </c>
      <c r="I423" s="3">
        <v>0</v>
      </c>
      <c r="J423" s="3">
        <v>0</v>
      </c>
      <c r="K423" s="3">
        <f>Project_Data_NYSE[[#This Row],[Gross Profit]]-Project_Data_NYSE[[#This Row],[ Sales, General and Admin. ]]-Project_Data_NYSE[[#This Row],[ Research and Development ]]-Project_Data_NYSE[[#This Row],[ Other Operating Items ]]</f>
        <v>1736185000</v>
      </c>
      <c r="L423" t="s">
        <v>18</v>
      </c>
      <c r="M423" t="s">
        <v>196</v>
      </c>
      <c r="N423" s="31">
        <f>Project_Data_NYSE[[#This Row],[Gross Profit]]/Project_Data_NYSE[[#This Row],[ Total Revenue ]]</f>
        <v>0.31053988458862397</v>
      </c>
      <c r="O423" s="31">
        <f>Project_Data_NYSE[[#This Row],[Operating Profit]]/Project_Data_NYSE[[#This Row],[ Total Revenue ]]</f>
        <v>9.918695359796327E-2</v>
      </c>
      <c r="Q423" t="s">
        <v>566</v>
      </c>
    </row>
    <row r="424" spans="1:17" x14ac:dyDescent="0.2">
      <c r="A424">
        <v>450</v>
      </c>
      <c r="B424" t="s">
        <v>195</v>
      </c>
      <c r="C424" t="s">
        <v>15</v>
      </c>
      <c r="D424" s="48">
        <v>42034</v>
      </c>
      <c r="E424" s="3">
        <v>18909588000</v>
      </c>
      <c r="F424" s="3">
        <v>13107081000</v>
      </c>
      <c r="G424" s="3">
        <f>Project_Data_NYSE[[#This Row],[ Total Revenue ]]-Project_Data_NYSE[[#This Row],[ Cost of Goods Sold ]]</f>
        <v>5802507000</v>
      </c>
      <c r="H424" s="3">
        <v>4033414000</v>
      </c>
      <c r="I424" s="3">
        <v>0</v>
      </c>
      <c r="J424" s="3">
        <v>0</v>
      </c>
      <c r="K424" s="3">
        <f>Project_Data_NYSE[[#This Row],[Gross Profit]]-Project_Data_NYSE[[#This Row],[ Sales, General and Admin. ]]-Project_Data_NYSE[[#This Row],[ Research and Development ]]-Project_Data_NYSE[[#This Row],[ Other Operating Items ]]</f>
        <v>1769093000</v>
      </c>
      <c r="L424" t="s">
        <v>18</v>
      </c>
      <c r="M424" t="s">
        <v>196</v>
      </c>
      <c r="N424" s="31">
        <f>Project_Data_NYSE[[#This Row],[Gross Profit]]/Project_Data_NYSE[[#This Row],[ Total Revenue ]]</f>
        <v>0.30685528420820168</v>
      </c>
      <c r="O424" s="31">
        <f>Project_Data_NYSE[[#This Row],[Operating Profit]]/Project_Data_NYSE[[#This Row],[ Total Revenue ]]</f>
        <v>9.3555343458567156E-2</v>
      </c>
      <c r="Q424" t="s">
        <v>567</v>
      </c>
    </row>
    <row r="425" spans="1:17" x14ac:dyDescent="0.2">
      <c r="A425">
        <v>451</v>
      </c>
      <c r="B425" t="s">
        <v>195</v>
      </c>
      <c r="C425" t="s">
        <v>16</v>
      </c>
      <c r="D425" s="48">
        <v>42398</v>
      </c>
      <c r="E425" s="3">
        <v>20368562000</v>
      </c>
      <c r="F425" s="3">
        <v>14062471000</v>
      </c>
      <c r="G425" s="3">
        <f>Project_Data_NYSE[[#This Row],[ Total Revenue ]]-Project_Data_NYSE[[#This Row],[ Cost of Goods Sold ]]</f>
        <v>6306091000</v>
      </c>
      <c r="H425" s="3">
        <v>4365797000</v>
      </c>
      <c r="I425" s="3">
        <v>0</v>
      </c>
      <c r="J425" s="3">
        <v>0</v>
      </c>
      <c r="K425" s="3">
        <f>Project_Data_NYSE[[#This Row],[Gross Profit]]-Project_Data_NYSE[[#This Row],[ Sales, General and Admin. ]]-Project_Data_NYSE[[#This Row],[ Research and Development ]]-Project_Data_NYSE[[#This Row],[ Other Operating Items ]]</f>
        <v>1940294000</v>
      </c>
      <c r="L425" t="s">
        <v>18</v>
      </c>
      <c r="M425" t="s">
        <v>196</v>
      </c>
      <c r="N425" s="31">
        <f>Project_Data_NYSE[[#This Row],[Gross Profit]]/Project_Data_NYSE[[#This Row],[ Total Revenue ]]</f>
        <v>0.30959922453043076</v>
      </c>
      <c r="O425" s="31">
        <f>Project_Data_NYSE[[#This Row],[Operating Profit]]/Project_Data_NYSE[[#This Row],[ Total Revenue ]]</f>
        <v>9.5259252960518279E-2</v>
      </c>
      <c r="Q425" t="s">
        <v>568</v>
      </c>
    </row>
    <row r="426" spans="1:17" x14ac:dyDescent="0.2">
      <c r="A426">
        <v>748</v>
      </c>
      <c r="B426" t="s">
        <v>289</v>
      </c>
      <c r="C426" t="s">
        <v>11</v>
      </c>
      <c r="D426" s="48">
        <v>41274</v>
      </c>
      <c r="E426" s="3">
        <v>33013000000</v>
      </c>
      <c r="F426" s="3">
        <v>5717000000</v>
      </c>
      <c r="G426" s="3">
        <f>Project_Data_NYSE[[#This Row],[ Total Revenue ]]-Project_Data_NYSE[[#This Row],[ Cost of Goods Sold ]]</f>
        <v>27296000000</v>
      </c>
      <c r="H426" s="3">
        <v>20801000000</v>
      </c>
      <c r="I426" s="3">
        <v>0</v>
      </c>
      <c r="J426" s="3">
        <v>1679000000</v>
      </c>
      <c r="K426" s="3">
        <f>Project_Data_NYSE[[#This Row],[Gross Profit]]-Project_Data_NYSE[[#This Row],[ Sales, General and Admin. ]]-Project_Data_NYSE[[#This Row],[ Research and Development ]]-Project_Data_NYSE[[#This Row],[ Other Operating Items ]]</f>
        <v>4816000000</v>
      </c>
      <c r="L426" t="s">
        <v>24</v>
      </c>
      <c r="M426" t="s">
        <v>198</v>
      </c>
      <c r="N426" s="31">
        <f>Project_Data_NYSE[[#This Row],[Gross Profit]]/Project_Data_NYSE[[#This Row],[ Total Revenue ]]</f>
        <v>0.8268257958985854</v>
      </c>
      <c r="O426" s="31">
        <f>Project_Data_NYSE[[#This Row],[Operating Profit]]/Project_Data_NYSE[[#This Row],[ Total Revenue ]]</f>
        <v>0.14588192530215369</v>
      </c>
      <c r="Q426" t="s">
        <v>569</v>
      </c>
    </row>
    <row r="427" spans="1:17" x14ac:dyDescent="0.2">
      <c r="A427">
        <v>216</v>
      </c>
      <c r="B427" t="s">
        <v>111</v>
      </c>
      <c r="C427" t="s">
        <v>15</v>
      </c>
      <c r="D427" s="48">
        <v>42277</v>
      </c>
      <c r="E427" s="3">
        <v>10282000000</v>
      </c>
      <c r="F427" s="3">
        <v>5587000000</v>
      </c>
      <c r="G427" s="3">
        <f>Project_Data_NYSE[[#This Row],[ Total Revenue ]]-Project_Data_NYSE[[#This Row],[ Cost of Goods Sold ]]</f>
        <v>4695000000</v>
      </c>
      <c r="H427" s="3">
        <v>2563000000</v>
      </c>
      <c r="I427" s="3">
        <v>632000000</v>
      </c>
      <c r="J427" s="3">
        <v>0</v>
      </c>
      <c r="K427" s="3">
        <f>Project_Data_NYSE[[#This Row],[Gross Profit]]-Project_Data_NYSE[[#This Row],[ Sales, General and Admin. ]]-Project_Data_NYSE[[#This Row],[ Research and Development ]]-Project_Data_NYSE[[#This Row],[ Other Operating Items ]]</f>
        <v>1500000000</v>
      </c>
      <c r="L427" t="s">
        <v>24</v>
      </c>
      <c r="M427" t="s">
        <v>29</v>
      </c>
      <c r="N427" s="31">
        <f>Project_Data_NYSE[[#This Row],[Gross Profit]]/Project_Data_NYSE[[#This Row],[ Total Revenue ]]</f>
        <v>0.45662322505349157</v>
      </c>
      <c r="O427" s="31">
        <f>Project_Data_NYSE[[#This Row],[Operating Profit]]/Project_Data_NYSE[[#This Row],[ Total Revenue ]]</f>
        <v>0.14588601439408674</v>
      </c>
      <c r="Q427" t="s">
        <v>570</v>
      </c>
    </row>
    <row r="428" spans="1:17" x14ac:dyDescent="0.2">
      <c r="A428">
        <v>1750</v>
      </c>
      <c r="B428" t="s">
        <v>567</v>
      </c>
      <c r="C428" t="s">
        <v>14</v>
      </c>
      <c r="D428" s="48">
        <v>41639</v>
      </c>
      <c r="E428" s="3">
        <v>2950800000</v>
      </c>
      <c r="F428" s="3">
        <v>1373400000</v>
      </c>
      <c r="G428" s="3">
        <f>Project_Data_NYSE[[#This Row],[ Total Revenue ]]-Project_Data_NYSE[[#This Row],[ Cost of Goods Sold ]]</f>
        <v>1577400000</v>
      </c>
      <c r="H428" s="3">
        <v>1144800000</v>
      </c>
      <c r="I428" s="3">
        <v>0</v>
      </c>
      <c r="J428" s="3">
        <v>0</v>
      </c>
      <c r="K428" s="3">
        <f>Project_Data_NYSE[[#This Row],[Gross Profit]]-Project_Data_NYSE[[#This Row],[ Sales, General and Admin. ]]-Project_Data_NYSE[[#This Row],[ Research and Development ]]-Project_Data_NYSE[[#This Row],[ Other Operating Items ]]</f>
        <v>432600000</v>
      </c>
      <c r="L428" t="s">
        <v>24</v>
      </c>
      <c r="M428" t="s">
        <v>165</v>
      </c>
      <c r="N428" s="31">
        <f>Project_Data_NYSE[[#This Row],[Gross Profit]]/Project_Data_NYSE[[#This Row],[ Total Revenue ]]</f>
        <v>0.53456689711264738</v>
      </c>
      <c r="O428" s="31">
        <f>Project_Data_NYSE[[#This Row],[Operating Profit]]/Project_Data_NYSE[[#This Row],[ Total Revenue ]]</f>
        <v>0.14660431069540464</v>
      </c>
      <c r="Q428" t="s">
        <v>571</v>
      </c>
    </row>
    <row r="429" spans="1:17" x14ac:dyDescent="0.2">
      <c r="A429">
        <v>240</v>
      </c>
      <c r="B429" t="s">
        <v>118</v>
      </c>
      <c r="C429" t="s">
        <v>15</v>
      </c>
      <c r="D429" s="48">
        <v>42004</v>
      </c>
      <c r="E429" s="3">
        <v>7380000000</v>
      </c>
      <c r="F429" s="3">
        <v>2210000000</v>
      </c>
      <c r="G429" s="3">
        <f>Project_Data_NYSE[[#This Row],[ Total Revenue ]]-Project_Data_NYSE[[#This Row],[ Cost of Goods Sold ]]</f>
        <v>5170000000</v>
      </c>
      <c r="H429" s="3">
        <v>2817000000</v>
      </c>
      <c r="I429" s="3">
        <v>817000000</v>
      </c>
      <c r="J429" s="3">
        <v>438000000</v>
      </c>
      <c r="K429" s="3">
        <f>Project_Data_NYSE[[#This Row],[Gross Profit]]-Project_Data_NYSE[[#This Row],[ Sales, General and Admin. ]]-Project_Data_NYSE[[#This Row],[ Research and Development ]]-Project_Data_NYSE[[#This Row],[ Other Operating Items ]]</f>
        <v>1098000000</v>
      </c>
      <c r="L429" t="s">
        <v>24</v>
      </c>
      <c r="M429" t="s">
        <v>29</v>
      </c>
      <c r="N429" s="31">
        <f>Project_Data_NYSE[[#This Row],[Gross Profit]]/Project_Data_NYSE[[#This Row],[ Total Revenue ]]</f>
        <v>0.70054200542005418</v>
      </c>
      <c r="O429" s="31">
        <f>Project_Data_NYSE[[#This Row],[Operating Profit]]/Project_Data_NYSE[[#This Row],[ Total Revenue ]]</f>
        <v>0.14878048780487804</v>
      </c>
      <c r="Q429" t="s">
        <v>572</v>
      </c>
    </row>
    <row r="430" spans="1:17" x14ac:dyDescent="0.2">
      <c r="A430">
        <v>456</v>
      </c>
      <c r="B430" t="s">
        <v>199</v>
      </c>
      <c r="C430" t="s">
        <v>11</v>
      </c>
      <c r="D430" s="48">
        <v>41547</v>
      </c>
      <c r="E430" s="3">
        <v>6259300000</v>
      </c>
      <c r="F430" s="3">
        <v>4853500000</v>
      </c>
      <c r="G430" s="3">
        <f>Project_Data_NYSE[[#This Row],[ Total Revenue ]]-Project_Data_NYSE[[#This Row],[ Cost of Goods Sold ]]</f>
        <v>1405800000</v>
      </c>
      <c r="H430" s="3">
        <v>649900000</v>
      </c>
      <c r="I430" s="3">
        <v>0</v>
      </c>
      <c r="J430" s="3">
        <v>0</v>
      </c>
      <c r="K430" s="3">
        <f>Project_Data_NYSE[[#This Row],[Gross Profit]]-Project_Data_NYSE[[#This Row],[ Sales, General and Admin. ]]-Project_Data_NYSE[[#This Row],[ Research and Development ]]-Project_Data_NYSE[[#This Row],[ Other Operating Items ]]</f>
        <v>755900000</v>
      </c>
      <c r="L430" t="s">
        <v>18</v>
      </c>
      <c r="M430" t="s">
        <v>200</v>
      </c>
      <c r="N430" s="31">
        <f>Project_Data_NYSE[[#This Row],[Gross Profit]]/Project_Data_NYSE[[#This Row],[ Total Revenue ]]</f>
        <v>0.22459380441902449</v>
      </c>
      <c r="O430" s="31">
        <f>Project_Data_NYSE[[#This Row],[Operating Profit]]/Project_Data_NYSE[[#This Row],[ Total Revenue ]]</f>
        <v>0.12076430271755628</v>
      </c>
      <c r="Q430" t="s">
        <v>573</v>
      </c>
    </row>
    <row r="431" spans="1:17" x14ac:dyDescent="0.2">
      <c r="A431">
        <v>457</v>
      </c>
      <c r="B431" t="s">
        <v>199</v>
      </c>
      <c r="C431" t="s">
        <v>14</v>
      </c>
      <c r="D431" s="48">
        <v>41912</v>
      </c>
      <c r="E431" s="3">
        <v>8024900000</v>
      </c>
      <c r="F431" s="3">
        <v>6268600000</v>
      </c>
      <c r="G431" s="3">
        <f>Project_Data_NYSE[[#This Row],[ Total Revenue ]]-Project_Data_NYSE[[#This Row],[ Cost of Goods Sold ]]</f>
        <v>1756300000</v>
      </c>
      <c r="H431" s="3">
        <v>826900000</v>
      </c>
      <c r="I431" s="3">
        <v>0</v>
      </c>
      <c r="J431" s="3">
        <v>0</v>
      </c>
      <c r="K431" s="3">
        <f>Project_Data_NYSE[[#This Row],[Gross Profit]]-Project_Data_NYSE[[#This Row],[ Sales, General and Admin. ]]-Project_Data_NYSE[[#This Row],[ Research and Development ]]-Project_Data_NYSE[[#This Row],[ Other Operating Items ]]</f>
        <v>929400000</v>
      </c>
      <c r="L431" t="s">
        <v>18</v>
      </c>
      <c r="M431" t="s">
        <v>200</v>
      </c>
      <c r="N431" s="31">
        <f>Project_Data_NYSE[[#This Row],[Gross Profit]]/Project_Data_NYSE[[#This Row],[ Total Revenue ]]</f>
        <v>0.21885630973594686</v>
      </c>
      <c r="O431" s="31">
        <f>Project_Data_NYSE[[#This Row],[Operating Profit]]/Project_Data_NYSE[[#This Row],[ Total Revenue ]]</f>
        <v>0.11581452728382909</v>
      </c>
      <c r="Q431" t="s">
        <v>574</v>
      </c>
    </row>
    <row r="432" spans="1:17" x14ac:dyDescent="0.2">
      <c r="A432">
        <v>458</v>
      </c>
      <c r="B432" t="s">
        <v>199</v>
      </c>
      <c r="C432" t="s">
        <v>15</v>
      </c>
      <c r="D432" s="48">
        <v>42277</v>
      </c>
      <c r="E432" s="3">
        <v>10824000000</v>
      </c>
      <c r="F432" s="3">
        <v>8535700000</v>
      </c>
      <c r="G432" s="3">
        <f>Project_Data_NYSE[[#This Row],[ Total Revenue ]]-Project_Data_NYSE[[#This Row],[ Cost of Goods Sold ]]</f>
        <v>2288300000</v>
      </c>
      <c r="H432" s="3">
        <v>1003000000</v>
      </c>
      <c r="I432" s="3">
        <v>0</v>
      </c>
      <c r="J432" s="3">
        <v>0</v>
      </c>
      <c r="K432" s="3">
        <f>Project_Data_NYSE[[#This Row],[Gross Profit]]-Project_Data_NYSE[[#This Row],[ Sales, General and Admin. ]]-Project_Data_NYSE[[#This Row],[ Research and Development ]]-Project_Data_NYSE[[#This Row],[ Other Operating Items ]]</f>
        <v>1285300000</v>
      </c>
      <c r="L432" t="s">
        <v>18</v>
      </c>
      <c r="M432" t="s">
        <v>200</v>
      </c>
      <c r="N432" s="31">
        <f>Project_Data_NYSE[[#This Row],[Gross Profit]]/Project_Data_NYSE[[#This Row],[ Total Revenue ]]</f>
        <v>0.21140983000739097</v>
      </c>
      <c r="O432" s="31">
        <f>Project_Data_NYSE[[#This Row],[Operating Profit]]/Project_Data_NYSE[[#This Row],[ Total Revenue ]]</f>
        <v>0.11874538063562454</v>
      </c>
    </row>
    <row r="433" spans="1:15" x14ac:dyDescent="0.2">
      <c r="A433">
        <v>459</v>
      </c>
      <c r="B433" t="s">
        <v>199</v>
      </c>
      <c r="C433" t="s">
        <v>16</v>
      </c>
      <c r="D433" s="48">
        <v>42643</v>
      </c>
      <c r="E433" s="3">
        <v>12157400000</v>
      </c>
      <c r="F433" s="3">
        <v>9502600000</v>
      </c>
      <c r="G433" s="3">
        <f>Project_Data_NYSE[[#This Row],[ Total Revenue ]]-Project_Data_NYSE[[#This Row],[ Cost of Goods Sold ]]</f>
        <v>2654800000</v>
      </c>
      <c r="H433" s="3">
        <v>1100300000</v>
      </c>
      <c r="I433" s="3">
        <v>0</v>
      </c>
      <c r="J433" s="3">
        <v>0</v>
      </c>
      <c r="K433" s="3">
        <f>Project_Data_NYSE[[#This Row],[Gross Profit]]-Project_Data_NYSE[[#This Row],[ Sales, General and Admin. ]]-Project_Data_NYSE[[#This Row],[ Research and Development ]]-Project_Data_NYSE[[#This Row],[ Other Operating Items ]]</f>
        <v>1554500000</v>
      </c>
      <c r="L433" t="s">
        <v>18</v>
      </c>
      <c r="M433" t="s">
        <v>200</v>
      </c>
      <c r="N433" s="31">
        <f>Project_Data_NYSE[[#This Row],[Gross Profit]]/Project_Data_NYSE[[#This Row],[ Total Revenue ]]</f>
        <v>0.2183690591738365</v>
      </c>
      <c r="O433" s="31">
        <f>Project_Data_NYSE[[#This Row],[Operating Profit]]/Project_Data_NYSE[[#This Row],[ Total Revenue ]]</f>
        <v>0.12786451050389064</v>
      </c>
    </row>
    <row r="434" spans="1:15" x14ac:dyDescent="0.2">
      <c r="A434">
        <v>460</v>
      </c>
      <c r="B434" t="s">
        <v>201</v>
      </c>
      <c r="C434" t="s">
        <v>11</v>
      </c>
      <c r="D434" s="48">
        <v>41274</v>
      </c>
      <c r="E434" s="3">
        <v>18260400000</v>
      </c>
      <c r="F434" s="3">
        <v>8846100000</v>
      </c>
      <c r="G434" s="3">
        <f>Project_Data_NYSE[[#This Row],[ Total Revenue ]]-Project_Data_NYSE[[#This Row],[ Cost of Goods Sold ]]</f>
        <v>9414300000</v>
      </c>
      <c r="H434" s="3">
        <v>5181200000</v>
      </c>
      <c r="I434" s="3">
        <v>1137900000</v>
      </c>
      <c r="J434" s="3">
        <v>0</v>
      </c>
      <c r="K434" s="3">
        <f>Project_Data_NYSE[[#This Row],[Gross Profit]]-Project_Data_NYSE[[#This Row],[ Sales, General and Admin. ]]-Project_Data_NYSE[[#This Row],[ Research and Development ]]-Project_Data_NYSE[[#This Row],[ Other Operating Items ]]</f>
        <v>3095200000</v>
      </c>
      <c r="L434" t="s">
        <v>12</v>
      </c>
      <c r="M434" t="s">
        <v>163</v>
      </c>
      <c r="N434" s="31">
        <f>Project_Data_NYSE[[#This Row],[Gross Profit]]/Project_Data_NYSE[[#This Row],[ Total Revenue ]]</f>
        <v>0.51555825721232829</v>
      </c>
      <c r="O434" s="31">
        <f>Project_Data_NYSE[[#This Row],[Operating Profit]]/Project_Data_NYSE[[#This Row],[ Total Revenue ]]</f>
        <v>0.1695034062780662</v>
      </c>
    </row>
    <row r="435" spans="1:15" x14ac:dyDescent="0.2">
      <c r="A435">
        <v>461</v>
      </c>
      <c r="B435" t="s">
        <v>201</v>
      </c>
      <c r="C435" t="s">
        <v>14</v>
      </c>
      <c r="D435" s="48">
        <v>41639</v>
      </c>
      <c r="E435" s="3">
        <v>18283100000</v>
      </c>
      <c r="F435" s="3">
        <v>8941100000</v>
      </c>
      <c r="G435" s="3">
        <f>Project_Data_NYSE[[#This Row],[ Total Revenue ]]-Project_Data_NYSE[[#This Row],[ Cost of Goods Sold ]]</f>
        <v>9342000000</v>
      </c>
      <c r="H435" s="3">
        <v>5117100000</v>
      </c>
      <c r="I435" s="3">
        <v>1104400000</v>
      </c>
      <c r="J435" s="3">
        <v>0</v>
      </c>
      <c r="K435" s="3">
        <f>Project_Data_NYSE[[#This Row],[Gross Profit]]-Project_Data_NYSE[[#This Row],[ Sales, General and Admin. ]]-Project_Data_NYSE[[#This Row],[ Research and Development ]]-Project_Data_NYSE[[#This Row],[ Other Operating Items ]]</f>
        <v>3120500000</v>
      </c>
      <c r="L435" t="s">
        <v>12</v>
      </c>
      <c r="M435" t="s">
        <v>163</v>
      </c>
      <c r="N435" s="31">
        <f>Project_Data_NYSE[[#This Row],[Gross Profit]]/Project_Data_NYSE[[#This Row],[ Total Revenue ]]</f>
        <v>0.51096367683817301</v>
      </c>
      <c r="O435" s="31">
        <f>Project_Data_NYSE[[#This Row],[Operating Profit]]/Project_Data_NYSE[[#This Row],[ Total Revenue ]]</f>
        <v>0.17067674519091403</v>
      </c>
    </row>
    <row r="436" spans="1:15" x14ac:dyDescent="0.2">
      <c r="A436">
        <v>462</v>
      </c>
      <c r="B436" t="s">
        <v>201</v>
      </c>
      <c r="C436" t="s">
        <v>15</v>
      </c>
      <c r="D436" s="48">
        <v>42004</v>
      </c>
      <c r="E436" s="3">
        <v>19154000000</v>
      </c>
      <c r="F436" s="3">
        <v>9261400000</v>
      </c>
      <c r="G436" s="3">
        <f>Project_Data_NYSE[[#This Row],[ Total Revenue ]]-Project_Data_NYSE[[#This Row],[ Cost of Goods Sold ]]</f>
        <v>9892600000</v>
      </c>
      <c r="H436" s="3">
        <v>5389000000</v>
      </c>
      <c r="I436" s="3">
        <v>1157000000</v>
      </c>
      <c r="J436" s="3">
        <v>0</v>
      </c>
      <c r="K436" s="3">
        <f>Project_Data_NYSE[[#This Row],[Gross Profit]]-Project_Data_NYSE[[#This Row],[ Sales, General and Admin. ]]-Project_Data_NYSE[[#This Row],[ Research and Development ]]-Project_Data_NYSE[[#This Row],[ Other Operating Items ]]</f>
        <v>3346600000</v>
      </c>
      <c r="L436" t="s">
        <v>12</v>
      </c>
      <c r="M436" t="s">
        <v>163</v>
      </c>
      <c r="N436" s="31">
        <f>Project_Data_NYSE[[#This Row],[Gross Profit]]/Project_Data_NYSE[[#This Row],[ Total Revenue ]]</f>
        <v>0.51647697608854548</v>
      </c>
      <c r="O436" s="31">
        <f>Project_Data_NYSE[[#This Row],[Operating Profit]]/Project_Data_NYSE[[#This Row],[ Total Revenue ]]</f>
        <v>0.17472068497441787</v>
      </c>
    </row>
    <row r="437" spans="1:15" x14ac:dyDescent="0.2">
      <c r="A437">
        <v>463</v>
      </c>
      <c r="B437" t="s">
        <v>201</v>
      </c>
      <c r="C437" t="s">
        <v>16</v>
      </c>
      <c r="D437" s="48">
        <v>42369</v>
      </c>
      <c r="E437" s="3">
        <v>20563100000</v>
      </c>
      <c r="F437" s="3">
        <v>9800600000</v>
      </c>
      <c r="G437" s="3">
        <f>Project_Data_NYSE[[#This Row],[ Total Revenue ]]-Project_Data_NYSE[[#This Row],[ Cost of Goods Sold ]]</f>
        <v>10762500000</v>
      </c>
      <c r="H437" s="3">
        <v>6054300000</v>
      </c>
      <c r="I437" s="3">
        <v>1239100000</v>
      </c>
      <c r="J437" s="3">
        <v>0</v>
      </c>
      <c r="K437" s="3">
        <f>Project_Data_NYSE[[#This Row],[Gross Profit]]-Project_Data_NYSE[[#This Row],[ Sales, General and Admin. ]]-Project_Data_NYSE[[#This Row],[ Research and Development ]]-Project_Data_NYSE[[#This Row],[ Other Operating Items ]]</f>
        <v>3469100000</v>
      </c>
      <c r="L437" t="s">
        <v>12</v>
      </c>
      <c r="M437" t="s">
        <v>163</v>
      </c>
      <c r="N437" s="31">
        <f>Project_Data_NYSE[[#This Row],[Gross Profit]]/Project_Data_NYSE[[#This Row],[ Total Revenue ]]</f>
        <v>0.52338898317860638</v>
      </c>
      <c r="O437" s="31">
        <f>Project_Data_NYSE[[#This Row],[Operating Profit]]/Project_Data_NYSE[[#This Row],[ Total Revenue ]]</f>
        <v>0.16870510769290623</v>
      </c>
    </row>
    <row r="438" spans="1:15" x14ac:dyDescent="0.2">
      <c r="A438">
        <v>464</v>
      </c>
      <c r="B438" t="s">
        <v>202</v>
      </c>
      <c r="C438" t="s">
        <v>11</v>
      </c>
      <c r="D438" s="48">
        <v>41545</v>
      </c>
      <c r="E438" s="3">
        <v>45041000000</v>
      </c>
      <c r="F438" s="3">
        <v>25034000000</v>
      </c>
      <c r="G438" s="3">
        <f>Project_Data_NYSE[[#This Row],[ Total Revenue ]]-Project_Data_NYSE[[#This Row],[ Cost of Goods Sold ]]</f>
        <v>20007000000</v>
      </c>
      <c r="H438" s="3">
        <v>8365000000</v>
      </c>
      <c r="I438" s="3">
        <v>0</v>
      </c>
      <c r="J438" s="3">
        <v>2192000000</v>
      </c>
      <c r="K438" s="3">
        <f>Project_Data_NYSE[[#This Row],[Gross Profit]]-Project_Data_NYSE[[#This Row],[ Sales, General and Admin. ]]-Project_Data_NYSE[[#This Row],[ Research and Development ]]-Project_Data_NYSE[[#This Row],[ Other Operating Items ]]</f>
        <v>9450000000</v>
      </c>
      <c r="L438" t="s">
        <v>18</v>
      </c>
      <c r="M438" t="s">
        <v>203</v>
      </c>
      <c r="N438" s="31">
        <f>Project_Data_NYSE[[#This Row],[Gross Profit]]/Project_Data_NYSE[[#This Row],[ Total Revenue ]]</f>
        <v>0.4441952887369286</v>
      </c>
      <c r="O438" s="31">
        <f>Project_Data_NYSE[[#This Row],[Operating Profit]]/Project_Data_NYSE[[#This Row],[ Total Revenue ]]</f>
        <v>0.20980884083390688</v>
      </c>
    </row>
    <row r="439" spans="1:15" x14ac:dyDescent="0.2">
      <c r="A439">
        <v>465</v>
      </c>
      <c r="B439" t="s">
        <v>202</v>
      </c>
      <c r="C439" t="s">
        <v>14</v>
      </c>
      <c r="D439" s="48">
        <v>41909</v>
      </c>
      <c r="E439" s="3">
        <v>48813000000</v>
      </c>
      <c r="F439" s="3">
        <v>26420000000</v>
      </c>
      <c r="G439" s="3">
        <f>Project_Data_NYSE[[#This Row],[ Total Revenue ]]-Project_Data_NYSE[[#This Row],[ Cost of Goods Sold ]]</f>
        <v>22393000000</v>
      </c>
      <c r="H439" s="3">
        <v>8565000000</v>
      </c>
      <c r="I439" s="3">
        <v>0</v>
      </c>
      <c r="J439" s="3">
        <v>2288000000</v>
      </c>
      <c r="K439" s="3">
        <f>Project_Data_NYSE[[#This Row],[Gross Profit]]-Project_Data_NYSE[[#This Row],[ Sales, General and Admin. ]]-Project_Data_NYSE[[#This Row],[ Research and Development ]]-Project_Data_NYSE[[#This Row],[ Other Operating Items ]]</f>
        <v>11540000000</v>
      </c>
      <c r="L439" t="s">
        <v>18</v>
      </c>
      <c r="M439" t="s">
        <v>203</v>
      </c>
      <c r="N439" s="31">
        <f>Project_Data_NYSE[[#This Row],[Gross Profit]]/Project_Data_NYSE[[#This Row],[ Total Revenue ]]</f>
        <v>0.45875074263003707</v>
      </c>
      <c r="O439" s="31">
        <f>Project_Data_NYSE[[#This Row],[Operating Profit]]/Project_Data_NYSE[[#This Row],[ Total Revenue ]]</f>
        <v>0.23641243111466209</v>
      </c>
    </row>
    <row r="440" spans="1:15" x14ac:dyDescent="0.2">
      <c r="A440">
        <v>466</v>
      </c>
      <c r="B440" t="s">
        <v>202</v>
      </c>
      <c r="C440" t="s">
        <v>15</v>
      </c>
      <c r="D440" s="48">
        <v>42280</v>
      </c>
      <c r="E440" s="3">
        <v>52465000000</v>
      </c>
      <c r="F440" s="3">
        <v>28364000000</v>
      </c>
      <c r="G440" s="3">
        <f>Project_Data_NYSE[[#This Row],[ Total Revenue ]]-Project_Data_NYSE[[#This Row],[ Cost of Goods Sold ]]</f>
        <v>24101000000</v>
      </c>
      <c r="H440" s="3">
        <v>8523000000</v>
      </c>
      <c r="I440" s="3">
        <v>0</v>
      </c>
      <c r="J440" s="3">
        <v>2354000000</v>
      </c>
      <c r="K440" s="3">
        <f>Project_Data_NYSE[[#This Row],[Gross Profit]]-Project_Data_NYSE[[#This Row],[ Sales, General and Admin. ]]-Project_Data_NYSE[[#This Row],[ Research and Development ]]-Project_Data_NYSE[[#This Row],[ Other Operating Items ]]</f>
        <v>13224000000</v>
      </c>
      <c r="L440" t="s">
        <v>18</v>
      </c>
      <c r="M440" t="s">
        <v>203</v>
      </c>
      <c r="N440" s="31">
        <f>Project_Data_NYSE[[#This Row],[Gross Profit]]/Project_Data_NYSE[[#This Row],[ Total Revenue ]]</f>
        <v>0.45937291527685126</v>
      </c>
      <c r="O440" s="31">
        <f>Project_Data_NYSE[[#This Row],[Operating Profit]]/Project_Data_NYSE[[#This Row],[ Total Revenue ]]</f>
        <v>0.25205375011912706</v>
      </c>
    </row>
    <row r="441" spans="1:15" x14ac:dyDescent="0.2">
      <c r="A441">
        <v>467</v>
      </c>
      <c r="B441" t="s">
        <v>202</v>
      </c>
      <c r="C441" t="s">
        <v>16</v>
      </c>
      <c r="D441" s="48">
        <v>42644</v>
      </c>
      <c r="E441" s="3">
        <v>55632000000</v>
      </c>
      <c r="F441" s="3">
        <v>29993000000</v>
      </c>
      <c r="G441" s="3">
        <f>Project_Data_NYSE[[#This Row],[ Total Revenue ]]-Project_Data_NYSE[[#This Row],[ Cost of Goods Sold ]]</f>
        <v>25639000000</v>
      </c>
      <c r="H441" s="3">
        <v>8754000000</v>
      </c>
      <c r="I441" s="3">
        <v>0</v>
      </c>
      <c r="J441" s="3">
        <v>2527000000</v>
      </c>
      <c r="K441" s="3">
        <f>Project_Data_NYSE[[#This Row],[Gross Profit]]-Project_Data_NYSE[[#This Row],[ Sales, General and Admin. ]]-Project_Data_NYSE[[#This Row],[ Research and Development ]]-Project_Data_NYSE[[#This Row],[ Other Operating Items ]]</f>
        <v>14358000000</v>
      </c>
      <c r="L441" t="s">
        <v>18</v>
      </c>
      <c r="M441" t="s">
        <v>203</v>
      </c>
      <c r="N441" s="31">
        <f>Project_Data_NYSE[[#This Row],[Gross Profit]]/Project_Data_NYSE[[#This Row],[ Total Revenue ]]</f>
        <v>0.4608678458441185</v>
      </c>
      <c r="O441" s="31">
        <f>Project_Data_NYSE[[#This Row],[Operating Profit]]/Project_Data_NYSE[[#This Row],[ Total Revenue ]]</f>
        <v>0.25808886971527178</v>
      </c>
    </row>
    <row r="442" spans="1:15" x14ac:dyDescent="0.2">
      <c r="A442">
        <v>468</v>
      </c>
      <c r="B442" t="s">
        <v>204</v>
      </c>
      <c r="C442" t="s">
        <v>11</v>
      </c>
      <c r="D442" s="48">
        <v>41639</v>
      </c>
      <c r="E442" s="3">
        <v>5535000000</v>
      </c>
      <c r="F442" s="3">
        <v>1689000000</v>
      </c>
      <c r="G442" s="3">
        <f>Project_Data_NYSE[[#This Row],[ Total Revenue ]]-Project_Data_NYSE[[#This Row],[ Cost of Goods Sold ]]</f>
        <v>3846000000</v>
      </c>
      <c r="H442" s="3">
        <v>1598000000</v>
      </c>
      <c r="I442" s="3">
        <v>0</v>
      </c>
      <c r="J442" s="3">
        <v>276000000</v>
      </c>
      <c r="K442" s="3">
        <f>Project_Data_NYSE[[#This Row],[Gross Profit]]-Project_Data_NYSE[[#This Row],[ Sales, General and Admin. ]]-Project_Data_NYSE[[#This Row],[ Research and Development ]]-Project_Data_NYSE[[#This Row],[ Other Operating Items ]]</f>
        <v>1972000000</v>
      </c>
      <c r="L442" t="s">
        <v>18</v>
      </c>
      <c r="M442" t="s">
        <v>147</v>
      </c>
      <c r="N442" s="31">
        <f>Project_Data_NYSE[[#This Row],[Gross Profit]]/Project_Data_NYSE[[#This Row],[ Total Revenue ]]</f>
        <v>0.69485094850948514</v>
      </c>
      <c r="O442" s="31">
        <f>Project_Data_NYSE[[#This Row],[Operating Profit]]/Project_Data_NYSE[[#This Row],[ Total Revenue ]]</f>
        <v>0.35627822944896115</v>
      </c>
    </row>
    <row r="443" spans="1:15" x14ac:dyDescent="0.2">
      <c r="A443">
        <v>469</v>
      </c>
      <c r="B443" t="s">
        <v>204</v>
      </c>
      <c r="C443" t="s">
        <v>14</v>
      </c>
      <c r="D443" s="48">
        <v>42004</v>
      </c>
      <c r="E443" s="3">
        <v>6265000000</v>
      </c>
      <c r="F443" s="3">
        <v>2124000000</v>
      </c>
      <c r="G443" s="3">
        <f>Project_Data_NYSE[[#This Row],[ Total Revenue ]]-Project_Data_NYSE[[#This Row],[ Cost of Goods Sold ]]</f>
        <v>4141000000</v>
      </c>
      <c r="H443" s="3">
        <v>1692000000</v>
      </c>
      <c r="I443" s="3">
        <v>0</v>
      </c>
      <c r="J443" s="3">
        <v>329000000</v>
      </c>
      <c r="K443" s="3">
        <f>Project_Data_NYSE[[#This Row],[Gross Profit]]-Project_Data_NYSE[[#This Row],[ Sales, General and Admin. ]]-Project_Data_NYSE[[#This Row],[ Research and Development ]]-Project_Data_NYSE[[#This Row],[ Other Operating Items ]]</f>
        <v>2120000000</v>
      </c>
      <c r="L443" t="s">
        <v>18</v>
      </c>
      <c r="M443" t="s">
        <v>147</v>
      </c>
      <c r="N443" s="31">
        <f>Project_Data_NYSE[[#This Row],[Gross Profit]]/Project_Data_NYSE[[#This Row],[ Total Revenue ]]</f>
        <v>0.66097366320830009</v>
      </c>
      <c r="O443" s="31">
        <f>Project_Data_NYSE[[#This Row],[Operating Profit]]/Project_Data_NYSE[[#This Row],[ Total Revenue ]]</f>
        <v>0.33838786911412611</v>
      </c>
    </row>
    <row r="444" spans="1:15" x14ac:dyDescent="0.2">
      <c r="A444">
        <v>470</v>
      </c>
      <c r="B444" t="s">
        <v>204</v>
      </c>
      <c r="C444" t="s">
        <v>15</v>
      </c>
      <c r="D444" s="48">
        <v>42369</v>
      </c>
      <c r="E444" s="3">
        <v>6394000000</v>
      </c>
      <c r="F444" s="3">
        <v>2343000000</v>
      </c>
      <c r="G444" s="3">
        <f>Project_Data_NYSE[[#This Row],[ Total Revenue ]]-Project_Data_NYSE[[#This Row],[ Cost of Goods Sold ]]</f>
        <v>4051000000</v>
      </c>
      <c r="H444" s="3">
        <v>1669000000</v>
      </c>
      <c r="I444" s="3">
        <v>0</v>
      </c>
      <c r="J444" s="3">
        <v>330000000</v>
      </c>
      <c r="K444" s="3">
        <f>Project_Data_NYSE[[#This Row],[Gross Profit]]-Project_Data_NYSE[[#This Row],[ Sales, General and Admin. ]]-Project_Data_NYSE[[#This Row],[ Research and Development ]]-Project_Data_NYSE[[#This Row],[ Other Operating Items ]]</f>
        <v>2052000000</v>
      </c>
      <c r="L444" t="s">
        <v>18</v>
      </c>
      <c r="M444" t="s">
        <v>147</v>
      </c>
      <c r="N444" s="31">
        <f>Project_Data_NYSE[[#This Row],[Gross Profit]]/Project_Data_NYSE[[#This Row],[ Total Revenue ]]</f>
        <v>0.633562715045355</v>
      </c>
      <c r="O444" s="31">
        <f>Project_Data_NYSE[[#This Row],[Operating Profit]]/Project_Data_NYSE[[#This Row],[ Total Revenue ]]</f>
        <v>0.32092586800125117</v>
      </c>
    </row>
    <row r="445" spans="1:15" x14ac:dyDescent="0.2">
      <c r="A445">
        <v>471</v>
      </c>
      <c r="B445" t="s">
        <v>204</v>
      </c>
      <c r="C445" t="s">
        <v>16</v>
      </c>
      <c r="D445" s="48">
        <v>42735</v>
      </c>
      <c r="E445" s="3">
        <v>6497000000</v>
      </c>
      <c r="F445" s="3">
        <v>2432000000</v>
      </c>
      <c r="G445" s="3">
        <f>Project_Data_NYSE[[#This Row],[ Total Revenue ]]-Project_Data_NYSE[[#This Row],[ Cost of Goods Sold ]]</f>
        <v>4065000000</v>
      </c>
      <c r="H445" s="3">
        <v>1690000000</v>
      </c>
      <c r="I445" s="3">
        <v>0</v>
      </c>
      <c r="J445" s="3">
        <v>322000000</v>
      </c>
      <c r="K445" s="3">
        <f>Project_Data_NYSE[[#This Row],[Gross Profit]]-Project_Data_NYSE[[#This Row],[ Sales, General and Admin. ]]-Project_Data_NYSE[[#This Row],[ Research and Development ]]-Project_Data_NYSE[[#This Row],[ Other Operating Items ]]</f>
        <v>2053000000</v>
      </c>
      <c r="L445" t="s">
        <v>18</v>
      </c>
      <c r="M445" t="s">
        <v>147</v>
      </c>
      <c r="N445" s="31">
        <f>Project_Data_NYSE[[#This Row],[Gross Profit]]/Project_Data_NYSE[[#This Row],[ Total Revenue ]]</f>
        <v>0.62567338771740799</v>
      </c>
      <c r="O445" s="31">
        <f>Project_Data_NYSE[[#This Row],[Operating Profit]]/Project_Data_NYSE[[#This Row],[ Total Revenue ]]</f>
        <v>0.3159919963059874</v>
      </c>
    </row>
    <row r="446" spans="1:15" x14ac:dyDescent="0.2">
      <c r="A446">
        <v>472</v>
      </c>
      <c r="B446" t="s">
        <v>205</v>
      </c>
      <c r="C446" t="s">
        <v>11</v>
      </c>
      <c r="D446" s="48">
        <v>41639</v>
      </c>
      <c r="E446" s="3">
        <v>5535000000</v>
      </c>
      <c r="F446" s="3">
        <v>1689000000</v>
      </c>
      <c r="G446" s="3">
        <f>Project_Data_NYSE[[#This Row],[ Total Revenue ]]-Project_Data_NYSE[[#This Row],[ Cost of Goods Sold ]]</f>
        <v>3846000000</v>
      </c>
      <c r="H446" s="3">
        <v>1598000000</v>
      </c>
      <c r="I446" s="3">
        <v>0</v>
      </c>
      <c r="J446" s="3">
        <v>276000000</v>
      </c>
      <c r="K446" s="3">
        <f>Project_Data_NYSE[[#This Row],[Gross Profit]]-Project_Data_NYSE[[#This Row],[ Sales, General and Admin. ]]-Project_Data_NYSE[[#This Row],[ Research and Development ]]-Project_Data_NYSE[[#This Row],[ Other Operating Items ]]</f>
        <v>1972000000</v>
      </c>
      <c r="L446" t="s">
        <v>18</v>
      </c>
      <c r="M446" t="s">
        <v>147</v>
      </c>
      <c r="N446" s="31">
        <f>Project_Data_NYSE[[#This Row],[Gross Profit]]/Project_Data_NYSE[[#This Row],[ Total Revenue ]]</f>
        <v>0.69485094850948514</v>
      </c>
      <c r="O446" s="31">
        <f>Project_Data_NYSE[[#This Row],[Operating Profit]]/Project_Data_NYSE[[#This Row],[ Total Revenue ]]</f>
        <v>0.35627822944896115</v>
      </c>
    </row>
    <row r="447" spans="1:15" x14ac:dyDescent="0.2">
      <c r="A447">
        <v>473</v>
      </c>
      <c r="B447" t="s">
        <v>205</v>
      </c>
      <c r="C447" t="s">
        <v>14</v>
      </c>
      <c r="D447" s="48">
        <v>42004</v>
      </c>
      <c r="E447" s="3">
        <v>6265000000</v>
      </c>
      <c r="F447" s="3">
        <v>2124000000</v>
      </c>
      <c r="G447" s="3">
        <f>Project_Data_NYSE[[#This Row],[ Total Revenue ]]-Project_Data_NYSE[[#This Row],[ Cost of Goods Sold ]]</f>
        <v>4141000000</v>
      </c>
      <c r="H447" s="3">
        <v>1692000000</v>
      </c>
      <c r="I447" s="3">
        <v>0</v>
      </c>
      <c r="J447" s="3">
        <v>329000000</v>
      </c>
      <c r="K447" s="3">
        <f>Project_Data_NYSE[[#This Row],[Gross Profit]]-Project_Data_NYSE[[#This Row],[ Sales, General and Admin. ]]-Project_Data_NYSE[[#This Row],[ Research and Development ]]-Project_Data_NYSE[[#This Row],[ Other Operating Items ]]</f>
        <v>2120000000</v>
      </c>
      <c r="L447" t="s">
        <v>18</v>
      </c>
      <c r="M447" t="s">
        <v>147</v>
      </c>
      <c r="N447" s="31">
        <f>Project_Data_NYSE[[#This Row],[Gross Profit]]/Project_Data_NYSE[[#This Row],[ Total Revenue ]]</f>
        <v>0.66097366320830009</v>
      </c>
      <c r="O447" s="31">
        <f>Project_Data_NYSE[[#This Row],[Operating Profit]]/Project_Data_NYSE[[#This Row],[ Total Revenue ]]</f>
        <v>0.33838786911412611</v>
      </c>
    </row>
    <row r="448" spans="1:15" x14ac:dyDescent="0.2">
      <c r="A448">
        <v>474</v>
      </c>
      <c r="B448" t="s">
        <v>205</v>
      </c>
      <c r="C448" t="s">
        <v>15</v>
      </c>
      <c r="D448" s="48">
        <v>42369</v>
      </c>
      <c r="E448" s="3">
        <v>6394000000</v>
      </c>
      <c r="F448" s="3">
        <v>2343000000</v>
      </c>
      <c r="G448" s="3">
        <f>Project_Data_NYSE[[#This Row],[ Total Revenue ]]-Project_Data_NYSE[[#This Row],[ Cost of Goods Sold ]]</f>
        <v>4051000000</v>
      </c>
      <c r="H448" s="3">
        <v>1669000000</v>
      </c>
      <c r="I448" s="3">
        <v>0</v>
      </c>
      <c r="J448" s="3">
        <v>330000000</v>
      </c>
      <c r="K448" s="3">
        <f>Project_Data_NYSE[[#This Row],[Gross Profit]]-Project_Data_NYSE[[#This Row],[ Sales, General and Admin. ]]-Project_Data_NYSE[[#This Row],[ Research and Development ]]-Project_Data_NYSE[[#This Row],[ Other Operating Items ]]</f>
        <v>2052000000</v>
      </c>
      <c r="L448" t="s">
        <v>18</v>
      </c>
      <c r="M448" t="s">
        <v>147</v>
      </c>
      <c r="N448" s="31">
        <f>Project_Data_NYSE[[#This Row],[Gross Profit]]/Project_Data_NYSE[[#This Row],[ Total Revenue ]]</f>
        <v>0.633562715045355</v>
      </c>
      <c r="O448" s="31">
        <f>Project_Data_NYSE[[#This Row],[Operating Profit]]/Project_Data_NYSE[[#This Row],[ Total Revenue ]]</f>
        <v>0.32092586800125117</v>
      </c>
    </row>
    <row r="449" spans="1:15" x14ac:dyDescent="0.2">
      <c r="A449">
        <v>475</v>
      </c>
      <c r="B449" t="s">
        <v>205</v>
      </c>
      <c r="C449" t="s">
        <v>16</v>
      </c>
      <c r="D449" s="48">
        <v>42735</v>
      </c>
      <c r="E449" s="3">
        <v>6497000000</v>
      </c>
      <c r="F449" s="3">
        <v>2432000000</v>
      </c>
      <c r="G449" s="3">
        <f>Project_Data_NYSE[[#This Row],[ Total Revenue ]]-Project_Data_NYSE[[#This Row],[ Cost of Goods Sold ]]</f>
        <v>4065000000</v>
      </c>
      <c r="H449" s="3">
        <v>1690000000</v>
      </c>
      <c r="I449" s="3">
        <v>0</v>
      </c>
      <c r="J449" s="3">
        <v>322000000</v>
      </c>
      <c r="K449" s="3">
        <f>Project_Data_NYSE[[#This Row],[Gross Profit]]-Project_Data_NYSE[[#This Row],[ Sales, General and Admin. ]]-Project_Data_NYSE[[#This Row],[ Research and Development ]]-Project_Data_NYSE[[#This Row],[ Other Operating Items ]]</f>
        <v>2053000000</v>
      </c>
      <c r="L449" t="s">
        <v>18</v>
      </c>
      <c r="M449" t="s">
        <v>147</v>
      </c>
      <c r="N449" s="31">
        <f>Project_Data_NYSE[[#This Row],[Gross Profit]]/Project_Data_NYSE[[#This Row],[ Total Revenue ]]</f>
        <v>0.62567338771740799</v>
      </c>
      <c r="O449" s="31">
        <f>Project_Data_NYSE[[#This Row],[Operating Profit]]/Project_Data_NYSE[[#This Row],[ Total Revenue ]]</f>
        <v>0.3159919963059874</v>
      </c>
    </row>
    <row r="450" spans="1:15" x14ac:dyDescent="0.2">
      <c r="A450">
        <v>476</v>
      </c>
      <c r="B450" t="s">
        <v>206</v>
      </c>
      <c r="C450" t="s">
        <v>11</v>
      </c>
      <c r="D450" s="48">
        <v>41639</v>
      </c>
      <c r="E450" s="3">
        <v>15051000000</v>
      </c>
      <c r="F450" s="3">
        <v>12274000000</v>
      </c>
      <c r="G450" s="3">
        <f>Project_Data_NYSE[[#This Row],[ Total Revenue ]]-Project_Data_NYSE[[#This Row],[ Cost of Goods Sold ]]</f>
        <v>2777000000</v>
      </c>
      <c r="H450" s="3">
        <v>916000000</v>
      </c>
      <c r="I450" s="3">
        <v>0</v>
      </c>
      <c r="J450" s="3">
        <v>97000000</v>
      </c>
      <c r="K450" s="3">
        <f>Project_Data_NYSE[[#This Row],[Gross Profit]]-Project_Data_NYSE[[#This Row],[ Sales, General and Admin. ]]-Project_Data_NYSE[[#This Row],[ Research and Development ]]-Project_Data_NYSE[[#This Row],[ Other Operating Items ]]</f>
        <v>1764000000</v>
      </c>
      <c r="L450" t="s">
        <v>18</v>
      </c>
      <c r="M450" t="s">
        <v>120</v>
      </c>
      <c r="N450" s="31">
        <f>Project_Data_NYSE[[#This Row],[Gross Profit]]/Project_Data_NYSE[[#This Row],[ Total Revenue ]]</f>
        <v>0.18450601288950899</v>
      </c>
      <c r="O450" s="31">
        <f>Project_Data_NYSE[[#This Row],[Operating Profit]]/Project_Data_NYSE[[#This Row],[ Total Revenue ]]</f>
        <v>0.11720151484951166</v>
      </c>
    </row>
    <row r="451" spans="1:15" x14ac:dyDescent="0.2">
      <c r="A451">
        <v>477</v>
      </c>
      <c r="B451" t="s">
        <v>206</v>
      </c>
      <c r="C451" t="s">
        <v>14</v>
      </c>
      <c r="D451" s="48">
        <v>42004</v>
      </c>
      <c r="E451" s="3">
        <v>15499000000</v>
      </c>
      <c r="F451" s="3">
        <v>12471000000</v>
      </c>
      <c r="G451" s="3">
        <f>Project_Data_NYSE[[#This Row],[ Total Revenue ]]-Project_Data_NYSE[[#This Row],[ Cost of Goods Sold ]]</f>
        <v>3028000000</v>
      </c>
      <c r="H451" s="3">
        <v>1036000000</v>
      </c>
      <c r="I451" s="3">
        <v>0</v>
      </c>
      <c r="J451" s="3">
        <v>94000000</v>
      </c>
      <c r="K451" s="3">
        <f>Project_Data_NYSE[[#This Row],[Gross Profit]]-Project_Data_NYSE[[#This Row],[ Sales, General and Admin. ]]-Project_Data_NYSE[[#This Row],[ Research and Development ]]-Project_Data_NYSE[[#This Row],[ Other Operating Items ]]</f>
        <v>1898000000</v>
      </c>
      <c r="L451" t="s">
        <v>18</v>
      </c>
      <c r="M451" t="s">
        <v>120</v>
      </c>
      <c r="N451" s="31">
        <f>Project_Data_NYSE[[#This Row],[Gross Profit]]/Project_Data_NYSE[[#This Row],[ Total Revenue ]]</f>
        <v>0.19536744306084264</v>
      </c>
      <c r="O451" s="31">
        <f>Project_Data_NYSE[[#This Row],[Operating Profit]]/Project_Data_NYSE[[#This Row],[ Total Revenue ]]</f>
        <v>0.1224595135170011</v>
      </c>
    </row>
    <row r="452" spans="1:15" x14ac:dyDescent="0.2">
      <c r="A452">
        <v>478</v>
      </c>
      <c r="B452" t="s">
        <v>206</v>
      </c>
      <c r="C452" t="s">
        <v>15</v>
      </c>
      <c r="D452" s="48">
        <v>42369</v>
      </c>
      <c r="E452" s="3">
        <v>15165000000</v>
      </c>
      <c r="F452" s="3">
        <v>12155000000</v>
      </c>
      <c r="G452" s="3">
        <f>Project_Data_NYSE[[#This Row],[ Total Revenue ]]-Project_Data_NYSE[[#This Row],[ Cost of Goods Sold ]]</f>
        <v>3010000000</v>
      </c>
      <c r="H452" s="3">
        <v>1017000000</v>
      </c>
      <c r="I452" s="3">
        <v>0</v>
      </c>
      <c r="J452" s="3">
        <v>93000000</v>
      </c>
      <c r="K452" s="3">
        <f>Project_Data_NYSE[[#This Row],[Gross Profit]]-Project_Data_NYSE[[#This Row],[ Sales, General and Admin. ]]-Project_Data_NYSE[[#This Row],[ Research and Development ]]-Project_Data_NYSE[[#This Row],[ Other Operating Items ]]</f>
        <v>1900000000</v>
      </c>
      <c r="L452" t="s">
        <v>18</v>
      </c>
      <c r="M452" t="s">
        <v>120</v>
      </c>
      <c r="N452" s="31">
        <f>Project_Data_NYSE[[#This Row],[Gross Profit]]/Project_Data_NYSE[[#This Row],[ Total Revenue ]]</f>
        <v>0.19848334981866139</v>
      </c>
      <c r="O452" s="31">
        <f>Project_Data_NYSE[[#This Row],[Operating Profit]]/Project_Data_NYSE[[#This Row],[ Total Revenue ]]</f>
        <v>0.12528849324101549</v>
      </c>
    </row>
    <row r="453" spans="1:15" x14ac:dyDescent="0.2">
      <c r="A453">
        <v>479</v>
      </c>
      <c r="B453" t="s">
        <v>206</v>
      </c>
      <c r="C453" t="s">
        <v>16</v>
      </c>
      <c r="D453" s="48">
        <v>42735</v>
      </c>
      <c r="E453" s="3">
        <v>16661000000</v>
      </c>
      <c r="F453" s="3">
        <v>13107000000</v>
      </c>
      <c r="G453" s="3">
        <f>Project_Data_NYSE[[#This Row],[ Total Revenue ]]-Project_Data_NYSE[[#This Row],[ Cost of Goods Sold ]]</f>
        <v>3554000000</v>
      </c>
      <c r="H453" s="3">
        <v>1145000000</v>
      </c>
      <c r="I453" s="3">
        <v>0</v>
      </c>
      <c r="J453" s="3">
        <v>134000000</v>
      </c>
      <c r="K453" s="3">
        <f>Project_Data_NYSE[[#This Row],[Gross Profit]]-Project_Data_NYSE[[#This Row],[ Sales, General and Admin. ]]-Project_Data_NYSE[[#This Row],[ Research and Development ]]-Project_Data_NYSE[[#This Row],[ Other Operating Items ]]</f>
        <v>2275000000</v>
      </c>
      <c r="L453" t="s">
        <v>18</v>
      </c>
      <c r="M453" t="s">
        <v>120</v>
      </c>
      <c r="N453" s="31">
        <f>Project_Data_NYSE[[#This Row],[Gross Profit]]/Project_Data_NYSE[[#This Row],[ Total Revenue ]]</f>
        <v>0.21331252625892805</v>
      </c>
      <c r="O453" s="31">
        <f>Project_Data_NYSE[[#This Row],[Operating Profit]]/Project_Data_NYSE[[#This Row],[ Total Revenue ]]</f>
        <v>0.13654642578476683</v>
      </c>
    </row>
    <row r="454" spans="1:15" x14ac:dyDescent="0.2">
      <c r="A454">
        <v>480</v>
      </c>
      <c r="B454" t="s">
        <v>207</v>
      </c>
      <c r="C454" t="s">
        <v>11</v>
      </c>
      <c r="D454" s="48">
        <v>41274</v>
      </c>
      <c r="E454" s="3">
        <v>1279067000</v>
      </c>
      <c r="F454" s="3">
        <v>461898000</v>
      </c>
      <c r="G454" s="3">
        <f>Project_Data_NYSE[[#This Row],[ Total Revenue ]]-Project_Data_NYSE[[#This Row],[ Cost of Goods Sold ]]</f>
        <v>817169000</v>
      </c>
      <c r="H454" s="3">
        <v>68538000</v>
      </c>
      <c r="I454" s="3">
        <v>0</v>
      </c>
      <c r="J454" s="3">
        <v>382553000</v>
      </c>
      <c r="K454" s="3">
        <f>Project_Data_NYSE[[#This Row],[Gross Profit]]-Project_Data_NYSE[[#This Row],[ Sales, General and Admin. ]]-Project_Data_NYSE[[#This Row],[ Research and Development ]]-Project_Data_NYSE[[#This Row],[ Other Operating Items ]]</f>
        <v>366078000</v>
      </c>
      <c r="L454" t="s">
        <v>51</v>
      </c>
      <c r="M454" t="s">
        <v>74</v>
      </c>
      <c r="N454" s="31">
        <f>Project_Data_NYSE[[#This Row],[Gross Profit]]/Project_Data_NYSE[[#This Row],[ Total Revenue ]]</f>
        <v>0.6388789641199405</v>
      </c>
      <c r="O454" s="31">
        <f>Project_Data_NYSE[[#This Row],[Operating Profit]]/Project_Data_NYSE[[#This Row],[ Total Revenue ]]</f>
        <v>0.2862070556116294</v>
      </c>
    </row>
    <row r="455" spans="1:15" x14ac:dyDescent="0.2">
      <c r="A455">
        <v>481</v>
      </c>
      <c r="B455" t="s">
        <v>207</v>
      </c>
      <c r="C455" t="s">
        <v>14</v>
      </c>
      <c r="D455" s="48">
        <v>41639</v>
      </c>
      <c r="E455" s="3">
        <v>1482259000</v>
      </c>
      <c r="F455" s="3">
        <v>555660000</v>
      </c>
      <c r="G455" s="3">
        <f>Project_Data_NYSE[[#This Row],[ Total Revenue ]]-Project_Data_NYSE[[#This Row],[ Cost of Goods Sold ]]</f>
        <v>926599000</v>
      </c>
      <c r="H455" s="3">
        <v>69323000</v>
      </c>
      <c r="I455" s="3">
        <v>0</v>
      </c>
      <c r="J455" s="3">
        <v>475464000</v>
      </c>
      <c r="K455" s="3">
        <f>Project_Data_NYSE[[#This Row],[Gross Profit]]-Project_Data_NYSE[[#This Row],[ Sales, General and Admin. ]]-Project_Data_NYSE[[#This Row],[ Research and Development ]]-Project_Data_NYSE[[#This Row],[ Other Operating Items ]]</f>
        <v>381812000</v>
      </c>
      <c r="L455" t="s">
        <v>51</v>
      </c>
      <c r="M455" t="s">
        <v>74</v>
      </c>
      <c r="N455" s="31">
        <f>Project_Data_NYSE[[#This Row],[Gross Profit]]/Project_Data_NYSE[[#This Row],[ Total Revenue ]]</f>
        <v>0.62512624311945486</v>
      </c>
      <c r="O455" s="31">
        <f>Project_Data_NYSE[[#This Row],[Operating Profit]]/Project_Data_NYSE[[#This Row],[ Total Revenue ]]</f>
        <v>0.2575879114243867</v>
      </c>
    </row>
    <row r="456" spans="1:15" x14ac:dyDescent="0.2">
      <c r="A456">
        <v>482</v>
      </c>
      <c r="B456" t="s">
        <v>207</v>
      </c>
      <c r="C456" t="s">
        <v>15</v>
      </c>
      <c r="D456" s="48">
        <v>42004</v>
      </c>
      <c r="E456" s="3">
        <v>1616438000</v>
      </c>
      <c r="F456" s="3">
        <v>603321000</v>
      </c>
      <c r="G456" s="3">
        <f>Project_Data_NYSE[[#This Row],[ Total Revenue ]]-Project_Data_NYSE[[#This Row],[ Cost of Goods Sold ]]</f>
        <v>1013117000</v>
      </c>
      <c r="H456" s="3">
        <v>89468000</v>
      </c>
      <c r="I456" s="3">
        <v>0</v>
      </c>
      <c r="J456" s="3">
        <v>538513000</v>
      </c>
      <c r="K456" s="3">
        <f>Project_Data_NYSE[[#This Row],[Gross Profit]]-Project_Data_NYSE[[#This Row],[ Sales, General and Admin. ]]-Project_Data_NYSE[[#This Row],[ Research and Development ]]-Project_Data_NYSE[[#This Row],[ Other Operating Items ]]</f>
        <v>385136000</v>
      </c>
      <c r="L456" t="s">
        <v>51</v>
      </c>
      <c r="M456" t="s">
        <v>74</v>
      </c>
      <c r="N456" s="31">
        <f>Project_Data_NYSE[[#This Row],[Gross Profit]]/Project_Data_NYSE[[#This Row],[ Total Revenue ]]</f>
        <v>0.62675896013333021</v>
      </c>
      <c r="O456" s="31">
        <f>Project_Data_NYSE[[#This Row],[Operating Profit]]/Project_Data_NYSE[[#This Row],[ Total Revenue ]]</f>
        <v>0.238262154193356</v>
      </c>
    </row>
    <row r="457" spans="1:15" x14ac:dyDescent="0.2">
      <c r="A457">
        <v>483</v>
      </c>
      <c r="B457" t="s">
        <v>207</v>
      </c>
      <c r="C457" t="s">
        <v>16</v>
      </c>
      <c r="D457" s="48">
        <v>42369</v>
      </c>
      <c r="E457" s="3">
        <v>1763336000</v>
      </c>
      <c r="F457" s="3">
        <v>651282000</v>
      </c>
      <c r="G457" s="3">
        <f>Project_Data_NYSE[[#This Row],[ Total Revenue ]]-Project_Data_NYSE[[#This Row],[ Cost of Goods Sold ]]</f>
        <v>1112054000</v>
      </c>
      <c r="H457" s="3">
        <v>139616000</v>
      </c>
      <c r="I457" s="3">
        <v>0</v>
      </c>
      <c r="J457" s="3">
        <v>570527000</v>
      </c>
      <c r="K457" s="3">
        <f>Project_Data_NYSE[[#This Row],[Gross Profit]]-Project_Data_NYSE[[#This Row],[ Sales, General and Admin. ]]-Project_Data_NYSE[[#This Row],[ Research and Development ]]-Project_Data_NYSE[[#This Row],[ Other Operating Items ]]</f>
        <v>401911000</v>
      </c>
      <c r="L457" t="s">
        <v>51</v>
      </c>
      <c r="M457" t="s">
        <v>74</v>
      </c>
      <c r="N457" s="31">
        <f>Project_Data_NYSE[[#This Row],[Gross Profit]]/Project_Data_NYSE[[#This Row],[ Total Revenue ]]</f>
        <v>0.630653488614762</v>
      </c>
      <c r="O457" s="31">
        <f>Project_Data_NYSE[[#This Row],[Operating Profit]]/Project_Data_NYSE[[#This Row],[ Total Revenue ]]</f>
        <v>0.22792649840983228</v>
      </c>
    </row>
    <row r="458" spans="1:15" x14ac:dyDescent="0.2">
      <c r="A458">
        <v>484</v>
      </c>
      <c r="B458" t="s">
        <v>208</v>
      </c>
      <c r="C458" t="s">
        <v>11</v>
      </c>
      <c r="D458" s="48">
        <v>41307</v>
      </c>
      <c r="E458" s="3">
        <v>7394500000</v>
      </c>
      <c r="F458" s="3">
        <v>4741800000</v>
      </c>
      <c r="G458" s="3">
        <f>Project_Data_NYSE[[#This Row],[ Total Revenue ]]-Project_Data_NYSE[[#This Row],[ Cost of Goods Sold ]]</f>
        <v>2652700000</v>
      </c>
      <c r="H458" s="3">
        <v>1732600000</v>
      </c>
      <c r="I458" s="3">
        <v>0</v>
      </c>
      <c r="J458" s="3">
        <v>0</v>
      </c>
      <c r="K458" s="3">
        <f>Project_Data_NYSE[[#This Row],[Gross Profit]]-Project_Data_NYSE[[#This Row],[ Sales, General and Admin. ]]-Project_Data_NYSE[[#This Row],[ Research and Development ]]-Project_Data_NYSE[[#This Row],[ Other Operating Items ]]</f>
        <v>920100000</v>
      </c>
      <c r="L458" t="s">
        <v>18</v>
      </c>
      <c r="M458" t="s">
        <v>196</v>
      </c>
      <c r="N458" s="31">
        <f>Project_Data_NYSE[[#This Row],[Gross Profit]]/Project_Data_NYSE[[#This Row],[ Total Revenue ]]</f>
        <v>0.358739603759551</v>
      </c>
      <c r="O458" s="31">
        <f>Project_Data_NYSE[[#This Row],[Operating Profit]]/Project_Data_NYSE[[#This Row],[ Total Revenue ]]</f>
        <v>0.12443031983230779</v>
      </c>
    </row>
    <row r="459" spans="1:15" x14ac:dyDescent="0.2">
      <c r="A459">
        <v>485</v>
      </c>
      <c r="B459" t="s">
        <v>208</v>
      </c>
      <c r="C459" t="s">
        <v>14</v>
      </c>
      <c r="D459" s="48">
        <v>41671</v>
      </c>
      <c r="E459" s="3">
        <v>7840300000</v>
      </c>
      <c r="F459" s="3">
        <v>5050500000</v>
      </c>
      <c r="G459" s="3">
        <f>Project_Data_NYSE[[#This Row],[ Total Revenue ]]-Project_Data_NYSE[[#This Row],[ Cost of Goods Sold ]]</f>
        <v>2789800000</v>
      </c>
      <c r="H459" s="3">
        <v>1819500000</v>
      </c>
      <c r="I459" s="3">
        <v>0</v>
      </c>
      <c r="J459" s="3">
        <v>0</v>
      </c>
      <c r="K459" s="3">
        <f>Project_Data_NYSE[[#This Row],[Gross Profit]]-Project_Data_NYSE[[#This Row],[ Sales, General and Admin. ]]-Project_Data_NYSE[[#This Row],[ Research and Development ]]-Project_Data_NYSE[[#This Row],[ Other Operating Items ]]</f>
        <v>970300000</v>
      </c>
      <c r="L459" t="s">
        <v>18</v>
      </c>
      <c r="M459" t="s">
        <v>196</v>
      </c>
      <c r="N459" s="31">
        <f>Project_Data_NYSE[[#This Row],[Gross Profit]]/Project_Data_NYSE[[#This Row],[ Total Revenue ]]</f>
        <v>0.35582822085889571</v>
      </c>
      <c r="O459" s="31">
        <f>Project_Data_NYSE[[#This Row],[Operating Profit]]/Project_Data_NYSE[[#This Row],[ Total Revenue ]]</f>
        <v>0.12375801946354094</v>
      </c>
    </row>
    <row r="460" spans="1:15" x14ac:dyDescent="0.2">
      <c r="A460">
        <v>486</v>
      </c>
      <c r="B460" t="s">
        <v>208</v>
      </c>
      <c r="C460" t="s">
        <v>15</v>
      </c>
      <c r="D460" s="48">
        <v>42035</v>
      </c>
      <c r="E460" s="3">
        <v>8602200000</v>
      </c>
      <c r="F460" s="3">
        <v>5568200000</v>
      </c>
      <c r="G460" s="3">
        <f>Project_Data_NYSE[[#This Row],[ Total Revenue ]]-Project_Data_NYSE[[#This Row],[ Cost of Goods Sold ]]</f>
        <v>3034000000</v>
      </c>
      <c r="H460" s="3">
        <v>1993800000</v>
      </c>
      <c r="I460" s="3">
        <v>0</v>
      </c>
      <c r="J460" s="3">
        <v>0</v>
      </c>
      <c r="K460" s="3">
        <f>Project_Data_NYSE[[#This Row],[Gross Profit]]-Project_Data_NYSE[[#This Row],[ Sales, General and Admin. ]]-Project_Data_NYSE[[#This Row],[ Research and Development ]]-Project_Data_NYSE[[#This Row],[ Other Operating Items ]]</f>
        <v>1040200000</v>
      </c>
      <c r="L460" t="s">
        <v>18</v>
      </c>
      <c r="M460" t="s">
        <v>196</v>
      </c>
      <c r="N460" s="31">
        <f>Project_Data_NYSE[[#This Row],[Gross Profit]]/Project_Data_NYSE[[#This Row],[ Total Revenue ]]</f>
        <v>0.35270047197228616</v>
      </c>
      <c r="O460" s="31">
        <f>Project_Data_NYSE[[#This Row],[Operating Profit]]/Project_Data_NYSE[[#This Row],[ Total Revenue ]]</f>
        <v>0.12092255469531051</v>
      </c>
    </row>
    <row r="461" spans="1:15" x14ac:dyDescent="0.2">
      <c r="A461">
        <v>487</v>
      </c>
      <c r="B461" t="s">
        <v>208</v>
      </c>
      <c r="C461" t="s">
        <v>16</v>
      </c>
      <c r="D461" s="48">
        <v>42399</v>
      </c>
      <c r="E461" s="3">
        <v>15498400000</v>
      </c>
      <c r="F461" s="3">
        <v>10841700000</v>
      </c>
      <c r="G461" s="3">
        <f>Project_Data_NYSE[[#This Row],[ Total Revenue ]]-Project_Data_NYSE[[#This Row],[ Cost of Goods Sold ]]</f>
        <v>4656700000</v>
      </c>
      <c r="H461" s="3">
        <v>3607000000</v>
      </c>
      <c r="I461" s="3">
        <v>0</v>
      </c>
      <c r="J461" s="3">
        <v>0</v>
      </c>
      <c r="K461" s="3">
        <f>Project_Data_NYSE[[#This Row],[Gross Profit]]-Project_Data_NYSE[[#This Row],[ Sales, General and Admin. ]]-Project_Data_NYSE[[#This Row],[ Research and Development ]]-Project_Data_NYSE[[#This Row],[ Other Operating Items ]]</f>
        <v>1049700000</v>
      </c>
      <c r="L461" t="s">
        <v>18</v>
      </c>
      <c r="M461" t="s">
        <v>196</v>
      </c>
      <c r="N461" s="31">
        <f>Project_Data_NYSE[[#This Row],[Gross Profit]]/Project_Data_NYSE[[#This Row],[ Total Revenue ]]</f>
        <v>0.30046327362824549</v>
      </c>
      <c r="O461" s="31">
        <f>Project_Data_NYSE[[#This Row],[Operating Profit]]/Project_Data_NYSE[[#This Row],[ Total Revenue ]]</f>
        <v>6.7729572084860371E-2</v>
      </c>
    </row>
    <row r="462" spans="1:15" x14ac:dyDescent="0.2">
      <c r="A462">
        <v>488</v>
      </c>
      <c r="B462" t="s">
        <v>209</v>
      </c>
      <c r="C462" t="s">
        <v>11</v>
      </c>
      <c r="D462" s="48">
        <v>41274</v>
      </c>
      <c r="E462" s="3">
        <v>1663000000</v>
      </c>
      <c r="F462" s="3">
        <v>0</v>
      </c>
      <c r="G462" s="3">
        <f>Project_Data_NYSE[[#This Row],[ Total Revenue ]]-Project_Data_NYSE[[#This Row],[ Cost of Goods Sold ]]</f>
        <v>1663000000</v>
      </c>
      <c r="H462" s="3">
        <v>1123200000</v>
      </c>
      <c r="I462" s="3">
        <v>0</v>
      </c>
      <c r="J462" s="3">
        <v>78300000</v>
      </c>
      <c r="K462" s="3">
        <f>Project_Data_NYSE[[#This Row],[Gross Profit]]-Project_Data_NYSE[[#This Row],[ Sales, General and Admin. ]]-Project_Data_NYSE[[#This Row],[ Research and Development ]]-Project_Data_NYSE[[#This Row],[ Other Operating Items ]]</f>
        <v>461500000</v>
      </c>
      <c r="L462" t="s">
        <v>12</v>
      </c>
      <c r="M462" t="s">
        <v>210</v>
      </c>
      <c r="N462" s="31">
        <f>Project_Data_NYSE[[#This Row],[Gross Profit]]/Project_Data_NYSE[[#This Row],[ Total Revenue ]]</f>
        <v>1</v>
      </c>
      <c r="O462" s="31">
        <f>Project_Data_NYSE[[#This Row],[Operating Profit]]/Project_Data_NYSE[[#This Row],[ Total Revenue ]]</f>
        <v>0.27751052315093205</v>
      </c>
    </row>
    <row r="463" spans="1:15" x14ac:dyDescent="0.2">
      <c r="A463">
        <v>489</v>
      </c>
      <c r="B463" t="s">
        <v>209</v>
      </c>
      <c r="C463" t="s">
        <v>14</v>
      </c>
      <c r="D463" s="48">
        <v>41639</v>
      </c>
      <c r="E463" s="3">
        <v>1558400000</v>
      </c>
      <c r="F463" s="3">
        <v>0</v>
      </c>
      <c r="G463" s="3">
        <f>Project_Data_NYSE[[#This Row],[ Total Revenue ]]-Project_Data_NYSE[[#This Row],[ Cost of Goods Sold ]]</f>
        <v>1558400000</v>
      </c>
      <c r="H463" s="3">
        <v>1058000000</v>
      </c>
      <c r="I463" s="3">
        <v>0</v>
      </c>
      <c r="J463" s="3">
        <v>60400000</v>
      </c>
      <c r="K463" s="3">
        <f>Project_Data_NYSE[[#This Row],[Gross Profit]]-Project_Data_NYSE[[#This Row],[ Sales, General and Admin. ]]-Project_Data_NYSE[[#This Row],[ Research and Development ]]-Project_Data_NYSE[[#This Row],[ Other Operating Items ]]</f>
        <v>440000000</v>
      </c>
      <c r="L463" t="s">
        <v>12</v>
      </c>
      <c r="M463" t="s">
        <v>210</v>
      </c>
      <c r="N463" s="31">
        <f>Project_Data_NYSE[[#This Row],[Gross Profit]]/Project_Data_NYSE[[#This Row],[ Total Revenue ]]</f>
        <v>1</v>
      </c>
      <c r="O463" s="31">
        <f>Project_Data_NYSE[[#This Row],[Operating Profit]]/Project_Data_NYSE[[#This Row],[ Total Revenue ]]</f>
        <v>0.28234086242299794</v>
      </c>
    </row>
    <row r="464" spans="1:15" x14ac:dyDescent="0.2">
      <c r="A464">
        <v>490</v>
      </c>
      <c r="B464" t="s">
        <v>209</v>
      </c>
      <c r="C464" t="s">
        <v>15</v>
      </c>
      <c r="D464" s="48">
        <v>42004</v>
      </c>
      <c r="E464" s="3">
        <v>1584500000</v>
      </c>
      <c r="F464" s="3">
        <v>0</v>
      </c>
      <c r="G464" s="3">
        <f>Project_Data_NYSE[[#This Row],[ Total Revenue ]]-Project_Data_NYSE[[#This Row],[ Cost of Goods Sold ]]</f>
        <v>1584500000</v>
      </c>
      <c r="H464" s="3">
        <v>1105700000</v>
      </c>
      <c r="I464" s="3">
        <v>0</v>
      </c>
      <c r="J464" s="3">
        <v>52500000</v>
      </c>
      <c r="K464" s="3">
        <f>Project_Data_NYSE[[#This Row],[Gross Profit]]-Project_Data_NYSE[[#This Row],[ Sales, General and Admin. ]]-Project_Data_NYSE[[#This Row],[ Research and Development ]]-Project_Data_NYSE[[#This Row],[ Other Operating Items ]]</f>
        <v>426300000</v>
      </c>
      <c r="L464" t="s">
        <v>12</v>
      </c>
      <c r="M464" t="s">
        <v>210</v>
      </c>
      <c r="N464" s="31">
        <f>Project_Data_NYSE[[#This Row],[Gross Profit]]/Project_Data_NYSE[[#This Row],[ Total Revenue ]]</f>
        <v>1</v>
      </c>
      <c r="O464" s="31">
        <f>Project_Data_NYSE[[#This Row],[Operating Profit]]/Project_Data_NYSE[[#This Row],[ Total Revenue ]]</f>
        <v>0.26904386241716632</v>
      </c>
    </row>
    <row r="465" spans="1:15" x14ac:dyDescent="0.2">
      <c r="A465">
        <v>491</v>
      </c>
      <c r="B465" t="s">
        <v>209</v>
      </c>
      <c r="C465" t="s">
        <v>16</v>
      </c>
      <c r="D465" s="48">
        <v>42369</v>
      </c>
      <c r="E465" s="3">
        <v>1637100000</v>
      </c>
      <c r="F465" s="3">
        <v>0</v>
      </c>
      <c r="G465" s="3">
        <f>Project_Data_NYSE[[#This Row],[ Total Revenue ]]-Project_Data_NYSE[[#This Row],[ Cost of Goods Sold ]]</f>
        <v>1637100000</v>
      </c>
      <c r="H465" s="3">
        <v>1209100000</v>
      </c>
      <c r="I465" s="3">
        <v>0</v>
      </c>
      <c r="J465" s="3">
        <v>58700000</v>
      </c>
      <c r="K465" s="3">
        <f>Project_Data_NYSE[[#This Row],[Gross Profit]]-Project_Data_NYSE[[#This Row],[ Sales, General and Admin. ]]-Project_Data_NYSE[[#This Row],[ Research and Development ]]-Project_Data_NYSE[[#This Row],[ Other Operating Items ]]</f>
        <v>369300000</v>
      </c>
      <c r="L465" t="s">
        <v>12</v>
      </c>
      <c r="M465" t="s">
        <v>210</v>
      </c>
      <c r="N465" s="31">
        <f>Project_Data_NYSE[[#This Row],[Gross Profit]]/Project_Data_NYSE[[#This Row],[ Total Revenue ]]</f>
        <v>1</v>
      </c>
      <c r="O465" s="31">
        <f>Project_Data_NYSE[[#This Row],[Operating Profit]]/Project_Data_NYSE[[#This Row],[ Total Revenue ]]</f>
        <v>0.22558182151365219</v>
      </c>
    </row>
    <row r="466" spans="1:15" x14ac:dyDescent="0.2">
      <c r="A466">
        <v>492</v>
      </c>
      <c r="B466" t="s">
        <v>211</v>
      </c>
      <c r="C466" t="s">
        <v>11</v>
      </c>
      <c r="D466" s="48">
        <v>41639</v>
      </c>
      <c r="E466" s="3">
        <v>7155096000</v>
      </c>
      <c r="F466" s="3">
        <v>4376505000</v>
      </c>
      <c r="G466" s="3">
        <f>Project_Data_NYSE[[#This Row],[ Total Revenue ]]-Project_Data_NYSE[[#This Row],[ Cost of Goods Sold ]]</f>
        <v>2778591000</v>
      </c>
      <c r="H466" s="3">
        <v>1616921000</v>
      </c>
      <c r="I466" s="3">
        <v>0</v>
      </c>
      <c r="J466" s="3">
        <v>0</v>
      </c>
      <c r="K466" s="3">
        <f>Project_Data_NYSE[[#This Row],[Gross Profit]]-Project_Data_NYSE[[#This Row],[ Sales, General and Admin. ]]-Project_Data_NYSE[[#This Row],[ Research and Development ]]-Project_Data_NYSE[[#This Row],[ Other Operating Items ]]</f>
        <v>1161670000</v>
      </c>
      <c r="L466" t="s">
        <v>12</v>
      </c>
      <c r="M466" t="s">
        <v>156</v>
      </c>
      <c r="N466" s="31">
        <f>Project_Data_NYSE[[#This Row],[Gross Profit]]/Project_Data_NYSE[[#This Row],[ Total Revenue ]]</f>
        <v>0.38833734725571817</v>
      </c>
      <c r="O466" s="31">
        <f>Project_Data_NYSE[[#This Row],[Operating Profit]]/Project_Data_NYSE[[#This Row],[ Total Revenue ]]</f>
        <v>0.16235561339777971</v>
      </c>
    </row>
    <row r="467" spans="1:15" x14ac:dyDescent="0.2">
      <c r="A467">
        <v>493</v>
      </c>
      <c r="B467" t="s">
        <v>211</v>
      </c>
      <c r="C467" t="s">
        <v>14</v>
      </c>
      <c r="D467" s="48">
        <v>42004</v>
      </c>
      <c r="E467" s="3">
        <v>7752728000</v>
      </c>
      <c r="F467" s="3">
        <v>4778479000</v>
      </c>
      <c r="G467" s="3">
        <f>Project_Data_NYSE[[#This Row],[ Total Revenue ]]-Project_Data_NYSE[[#This Row],[ Cost of Goods Sold ]]</f>
        <v>2974249000</v>
      </c>
      <c r="H467" s="3">
        <v>1758765000</v>
      </c>
      <c r="I467" s="3">
        <v>0</v>
      </c>
      <c r="J467" s="3">
        <v>0</v>
      </c>
      <c r="K467" s="3">
        <f>Project_Data_NYSE[[#This Row],[Gross Profit]]-Project_Data_NYSE[[#This Row],[ Sales, General and Admin. ]]-Project_Data_NYSE[[#This Row],[ Research and Development ]]-Project_Data_NYSE[[#This Row],[ Other Operating Items ]]</f>
        <v>1215484000</v>
      </c>
      <c r="L467" t="s">
        <v>12</v>
      </c>
      <c r="M467" t="s">
        <v>156</v>
      </c>
      <c r="N467" s="31">
        <f>Project_Data_NYSE[[#This Row],[Gross Profit]]/Project_Data_NYSE[[#This Row],[ Total Revenue ]]</f>
        <v>0.38363902357982893</v>
      </c>
      <c r="O467" s="31">
        <f>Project_Data_NYSE[[#This Row],[Operating Profit]]/Project_Data_NYSE[[#This Row],[ Total Revenue ]]</f>
        <v>0.15678145808804334</v>
      </c>
    </row>
    <row r="468" spans="1:15" x14ac:dyDescent="0.2">
      <c r="A468">
        <v>494</v>
      </c>
      <c r="B468" t="s">
        <v>211</v>
      </c>
      <c r="C468" t="s">
        <v>15</v>
      </c>
      <c r="D468" s="48">
        <v>42369</v>
      </c>
      <c r="E468" s="3">
        <v>6956311000</v>
      </c>
      <c r="F468" s="3">
        <v>4388167000</v>
      </c>
      <c r="G468" s="3">
        <f>Project_Data_NYSE[[#This Row],[ Total Revenue ]]-Project_Data_NYSE[[#This Row],[ Cost of Goods Sold ]]</f>
        <v>2568144000</v>
      </c>
      <c r="H468" s="3">
        <v>1647382000</v>
      </c>
      <c r="I468" s="3">
        <v>0</v>
      </c>
      <c r="J468" s="3">
        <v>0</v>
      </c>
      <c r="K468" s="3">
        <f>Project_Data_NYSE[[#This Row],[Gross Profit]]-Project_Data_NYSE[[#This Row],[ Sales, General and Admin. ]]-Project_Data_NYSE[[#This Row],[ Research and Development ]]-Project_Data_NYSE[[#This Row],[ Other Operating Items ]]</f>
        <v>920762000</v>
      </c>
      <c r="L468" t="s">
        <v>12</v>
      </c>
      <c r="M468" t="s">
        <v>156</v>
      </c>
      <c r="N468" s="31">
        <f>Project_Data_NYSE[[#This Row],[Gross Profit]]/Project_Data_NYSE[[#This Row],[ Total Revenue ]]</f>
        <v>0.3691818839036955</v>
      </c>
      <c r="O468" s="31">
        <f>Project_Data_NYSE[[#This Row],[Operating Profit]]/Project_Data_NYSE[[#This Row],[ Total Revenue ]]</f>
        <v>0.13236354728821068</v>
      </c>
    </row>
    <row r="469" spans="1:15" x14ac:dyDescent="0.2">
      <c r="A469">
        <v>495</v>
      </c>
      <c r="B469" t="s">
        <v>211</v>
      </c>
      <c r="C469" t="s">
        <v>16</v>
      </c>
      <c r="D469" s="48">
        <v>42735</v>
      </c>
      <c r="E469" s="3">
        <v>6794342000</v>
      </c>
      <c r="F469" s="3">
        <v>4322373000</v>
      </c>
      <c r="G469" s="3">
        <f>Project_Data_NYSE[[#This Row],[ Total Revenue ]]-Project_Data_NYSE[[#This Row],[ Cost of Goods Sold ]]</f>
        <v>2471969000</v>
      </c>
      <c r="H469" s="3">
        <v>1757523000</v>
      </c>
      <c r="I469" s="3">
        <v>0</v>
      </c>
      <c r="J469" s="3">
        <v>0</v>
      </c>
      <c r="K469" s="3">
        <f>Project_Data_NYSE[[#This Row],[Gross Profit]]-Project_Data_NYSE[[#This Row],[ Sales, General and Admin. ]]-Project_Data_NYSE[[#This Row],[ Research and Development ]]-Project_Data_NYSE[[#This Row],[ Other Operating Items ]]</f>
        <v>714446000</v>
      </c>
      <c r="L469" t="s">
        <v>12</v>
      </c>
      <c r="M469" t="s">
        <v>156</v>
      </c>
      <c r="N469" s="31">
        <f>Project_Data_NYSE[[#This Row],[Gross Profit]]/Project_Data_NYSE[[#This Row],[ Total Revenue ]]</f>
        <v>0.36382757888843392</v>
      </c>
      <c r="O469" s="31">
        <f>Project_Data_NYSE[[#This Row],[Operating Profit]]/Project_Data_NYSE[[#This Row],[ Total Revenue ]]</f>
        <v>0.10515308178481449</v>
      </c>
    </row>
    <row r="470" spans="1:15" x14ac:dyDescent="0.2">
      <c r="A470">
        <v>496</v>
      </c>
      <c r="B470" t="s">
        <v>212</v>
      </c>
      <c r="C470" t="s">
        <v>11</v>
      </c>
      <c r="D470" s="48">
        <v>41639</v>
      </c>
      <c r="E470" s="3">
        <v>5997000000</v>
      </c>
      <c r="F470" s="3">
        <v>2499000000</v>
      </c>
      <c r="G470" s="3">
        <f>Project_Data_NYSE[[#This Row],[ Total Revenue ]]-Project_Data_NYSE[[#This Row],[ Cost of Goods Sold ]]</f>
        <v>3498000000</v>
      </c>
      <c r="H470" s="3">
        <v>2337000000</v>
      </c>
      <c r="I470" s="3">
        <v>0</v>
      </c>
      <c r="J470" s="3">
        <v>115000000</v>
      </c>
      <c r="K470" s="3">
        <f>Project_Data_NYSE[[#This Row],[Gross Profit]]-Project_Data_NYSE[[#This Row],[ Sales, General and Admin. ]]-Project_Data_NYSE[[#This Row],[ Research and Development ]]-Project_Data_NYSE[[#This Row],[ Other Operating Items ]]</f>
        <v>1046000000</v>
      </c>
      <c r="L470" t="s">
        <v>35</v>
      </c>
      <c r="M470" t="s">
        <v>213</v>
      </c>
      <c r="N470" s="31">
        <f>Project_Data_NYSE[[#This Row],[Gross Profit]]/Project_Data_NYSE[[#This Row],[ Total Revenue ]]</f>
        <v>0.58329164582291149</v>
      </c>
      <c r="O470" s="31">
        <f>Project_Data_NYSE[[#This Row],[Operating Profit]]/Project_Data_NYSE[[#This Row],[ Total Revenue ]]</f>
        <v>0.1744205436051359</v>
      </c>
    </row>
    <row r="471" spans="1:15" x14ac:dyDescent="0.2">
      <c r="A471">
        <v>497</v>
      </c>
      <c r="B471" t="s">
        <v>212</v>
      </c>
      <c r="C471" t="s">
        <v>14</v>
      </c>
      <c r="D471" s="48">
        <v>42004</v>
      </c>
      <c r="E471" s="3">
        <v>6121000000</v>
      </c>
      <c r="F471" s="3">
        <v>2491000000</v>
      </c>
      <c r="G471" s="3">
        <f>Project_Data_NYSE[[#This Row],[ Total Revenue ]]-Project_Data_NYSE[[#This Row],[ Cost of Goods Sold ]]</f>
        <v>3630000000</v>
      </c>
      <c r="H471" s="3">
        <v>2335000000</v>
      </c>
      <c r="I471" s="3">
        <v>0</v>
      </c>
      <c r="J471" s="3">
        <v>115000000</v>
      </c>
      <c r="K471" s="3">
        <f>Project_Data_NYSE[[#This Row],[Gross Profit]]-Project_Data_NYSE[[#This Row],[ Sales, General and Admin. ]]-Project_Data_NYSE[[#This Row],[ Research and Development ]]-Project_Data_NYSE[[#This Row],[ Other Operating Items ]]</f>
        <v>1180000000</v>
      </c>
      <c r="L471" t="s">
        <v>35</v>
      </c>
      <c r="M471" t="s">
        <v>213</v>
      </c>
      <c r="N471" s="31">
        <f>Project_Data_NYSE[[#This Row],[Gross Profit]]/Project_Data_NYSE[[#This Row],[ Total Revenue ]]</f>
        <v>0.59304035288351575</v>
      </c>
      <c r="O471" s="31">
        <f>Project_Data_NYSE[[#This Row],[Operating Profit]]/Project_Data_NYSE[[#This Row],[ Total Revenue ]]</f>
        <v>0.19277895768665251</v>
      </c>
    </row>
    <row r="472" spans="1:15" x14ac:dyDescent="0.2">
      <c r="A472">
        <v>498</v>
      </c>
      <c r="B472" t="s">
        <v>212</v>
      </c>
      <c r="C472" t="s">
        <v>15</v>
      </c>
      <c r="D472" s="48">
        <v>42369</v>
      </c>
      <c r="E472" s="3">
        <v>6282000000</v>
      </c>
      <c r="F472" s="3">
        <v>2559000000</v>
      </c>
      <c r="G472" s="3">
        <f>Project_Data_NYSE[[#This Row],[ Total Revenue ]]-Project_Data_NYSE[[#This Row],[ Cost of Goods Sold ]]</f>
        <v>3723000000</v>
      </c>
      <c r="H472" s="3">
        <v>2320000000</v>
      </c>
      <c r="I472" s="3">
        <v>0</v>
      </c>
      <c r="J472" s="3">
        <v>105000000</v>
      </c>
      <c r="K472" s="3">
        <f>Project_Data_NYSE[[#This Row],[Gross Profit]]-Project_Data_NYSE[[#This Row],[ Sales, General and Admin. ]]-Project_Data_NYSE[[#This Row],[ Research and Development ]]-Project_Data_NYSE[[#This Row],[ Other Operating Items ]]</f>
        <v>1298000000</v>
      </c>
      <c r="L472" t="s">
        <v>35</v>
      </c>
      <c r="M472" t="s">
        <v>213</v>
      </c>
      <c r="N472" s="31">
        <f>Project_Data_NYSE[[#This Row],[Gross Profit]]/Project_Data_NYSE[[#This Row],[ Total Revenue ]]</f>
        <v>0.59264565425023874</v>
      </c>
      <c r="O472" s="31">
        <f>Project_Data_NYSE[[#This Row],[Operating Profit]]/Project_Data_NYSE[[#This Row],[ Total Revenue ]]</f>
        <v>0.20662209487424388</v>
      </c>
    </row>
    <row r="473" spans="1:15" x14ac:dyDescent="0.2">
      <c r="A473">
        <v>499</v>
      </c>
      <c r="B473" t="s">
        <v>212</v>
      </c>
      <c r="C473" t="s">
        <v>16</v>
      </c>
      <c r="D473" s="48">
        <v>42735</v>
      </c>
      <c r="E473" s="3">
        <v>6440000000</v>
      </c>
      <c r="F473" s="3">
        <v>2582000000</v>
      </c>
      <c r="G473" s="3">
        <f>Project_Data_NYSE[[#This Row],[ Total Revenue ]]-Project_Data_NYSE[[#This Row],[ Cost of Goods Sold ]]</f>
        <v>3858000000</v>
      </c>
      <c r="H473" s="3">
        <v>2326000000</v>
      </c>
      <c r="I473" s="3">
        <v>0</v>
      </c>
      <c r="J473" s="3">
        <v>99000000</v>
      </c>
      <c r="K473" s="3">
        <f>Project_Data_NYSE[[#This Row],[Gross Profit]]-Project_Data_NYSE[[#This Row],[ Sales, General and Admin. ]]-Project_Data_NYSE[[#This Row],[ Research and Development ]]-Project_Data_NYSE[[#This Row],[ Other Operating Items ]]</f>
        <v>1433000000</v>
      </c>
      <c r="L473" t="s">
        <v>35</v>
      </c>
      <c r="M473" t="s">
        <v>213</v>
      </c>
      <c r="N473" s="31">
        <f>Project_Data_NYSE[[#This Row],[Gross Profit]]/Project_Data_NYSE[[#This Row],[ Total Revenue ]]</f>
        <v>0.59906832298136647</v>
      </c>
      <c r="O473" s="31">
        <f>Project_Data_NYSE[[#This Row],[Operating Profit]]/Project_Data_NYSE[[#This Row],[ Total Revenue ]]</f>
        <v>0.22251552795031057</v>
      </c>
    </row>
    <row r="474" spans="1:15" x14ac:dyDescent="0.2">
      <c r="A474">
        <v>500</v>
      </c>
      <c r="B474" t="s">
        <v>214</v>
      </c>
      <c r="C474" t="s">
        <v>11</v>
      </c>
      <c r="D474" s="48">
        <v>41420</v>
      </c>
      <c r="E474" s="3">
        <v>5921000000</v>
      </c>
      <c r="F474" s="3">
        <v>4616600000</v>
      </c>
      <c r="G474" s="3">
        <f>Project_Data_NYSE[[#This Row],[ Total Revenue ]]-Project_Data_NYSE[[#This Row],[ Cost of Goods Sold ]]</f>
        <v>1304400000</v>
      </c>
      <c r="H474" s="3">
        <v>625200000</v>
      </c>
      <c r="I474" s="3">
        <v>0</v>
      </c>
      <c r="J474" s="3">
        <v>278300000</v>
      </c>
      <c r="K474" s="3">
        <f>Project_Data_NYSE[[#This Row],[Gross Profit]]-Project_Data_NYSE[[#This Row],[ Sales, General and Admin. ]]-Project_Data_NYSE[[#This Row],[ Research and Development ]]-Project_Data_NYSE[[#This Row],[ Other Operating Items ]]</f>
        <v>400900000</v>
      </c>
      <c r="L474" t="s">
        <v>18</v>
      </c>
      <c r="M474" t="s">
        <v>154</v>
      </c>
      <c r="N474" s="31">
        <f>Project_Data_NYSE[[#This Row],[Gross Profit]]/Project_Data_NYSE[[#This Row],[ Total Revenue ]]</f>
        <v>0.22030062489444352</v>
      </c>
      <c r="O474" s="31">
        <f>Project_Data_NYSE[[#This Row],[Operating Profit]]/Project_Data_NYSE[[#This Row],[ Total Revenue ]]</f>
        <v>6.7708157405843614E-2</v>
      </c>
    </row>
    <row r="475" spans="1:15" x14ac:dyDescent="0.2">
      <c r="A475">
        <v>501</v>
      </c>
      <c r="B475" t="s">
        <v>214</v>
      </c>
      <c r="C475" t="s">
        <v>14</v>
      </c>
      <c r="D475" s="48">
        <v>41784</v>
      </c>
      <c r="E475" s="3">
        <v>6285600000</v>
      </c>
      <c r="F475" s="3">
        <v>4990500000</v>
      </c>
      <c r="G475" s="3">
        <f>Project_Data_NYSE[[#This Row],[ Total Revenue ]]-Project_Data_NYSE[[#This Row],[ Cost of Goods Sold ]]</f>
        <v>1295100000</v>
      </c>
      <c r="H475" s="3">
        <v>665400000</v>
      </c>
      <c r="I475" s="3">
        <v>0</v>
      </c>
      <c r="J475" s="3">
        <v>304400000</v>
      </c>
      <c r="K475" s="3">
        <f>Project_Data_NYSE[[#This Row],[Gross Profit]]-Project_Data_NYSE[[#This Row],[ Sales, General and Admin. ]]-Project_Data_NYSE[[#This Row],[ Research and Development ]]-Project_Data_NYSE[[#This Row],[ Other Operating Items ]]</f>
        <v>325300000</v>
      </c>
      <c r="L475" t="s">
        <v>18</v>
      </c>
      <c r="M475" t="s">
        <v>154</v>
      </c>
      <c r="N475" s="31">
        <f>Project_Data_NYSE[[#This Row],[Gross Profit]]/Project_Data_NYSE[[#This Row],[ Total Revenue ]]</f>
        <v>0.20604238258877433</v>
      </c>
      <c r="O475" s="31">
        <f>Project_Data_NYSE[[#This Row],[Operating Profit]]/Project_Data_NYSE[[#This Row],[ Total Revenue ]]</f>
        <v>5.175321369479445E-2</v>
      </c>
    </row>
    <row r="476" spans="1:15" x14ac:dyDescent="0.2">
      <c r="A476">
        <v>502</v>
      </c>
      <c r="B476" t="s">
        <v>214</v>
      </c>
      <c r="C476" t="s">
        <v>15</v>
      </c>
      <c r="D476" s="48">
        <v>42155</v>
      </c>
      <c r="E476" s="3">
        <v>6764000000</v>
      </c>
      <c r="F476" s="3">
        <v>5341500000</v>
      </c>
      <c r="G476" s="3">
        <f>Project_Data_NYSE[[#This Row],[ Total Revenue ]]-Project_Data_NYSE[[#This Row],[ Cost of Goods Sold ]]</f>
        <v>1422500000</v>
      </c>
      <c r="H476" s="3">
        <v>673500000</v>
      </c>
      <c r="I476" s="3">
        <v>0</v>
      </c>
      <c r="J476" s="3">
        <v>319300000</v>
      </c>
      <c r="K476" s="3">
        <f>Project_Data_NYSE[[#This Row],[Gross Profit]]-Project_Data_NYSE[[#This Row],[ Sales, General and Admin. ]]-Project_Data_NYSE[[#This Row],[ Research and Development ]]-Project_Data_NYSE[[#This Row],[ Other Operating Items ]]</f>
        <v>429700000</v>
      </c>
      <c r="L476" t="s">
        <v>18</v>
      </c>
      <c r="M476" t="s">
        <v>154</v>
      </c>
      <c r="N476" s="31">
        <f>Project_Data_NYSE[[#This Row],[Gross Profit]]/Project_Data_NYSE[[#This Row],[ Total Revenue ]]</f>
        <v>0.21030455351862803</v>
      </c>
      <c r="O476" s="31">
        <f>Project_Data_NYSE[[#This Row],[Operating Profit]]/Project_Data_NYSE[[#This Row],[ Total Revenue ]]</f>
        <v>6.352749852158486E-2</v>
      </c>
    </row>
    <row r="477" spans="1:15" x14ac:dyDescent="0.2">
      <c r="A477">
        <v>503</v>
      </c>
      <c r="B477" t="s">
        <v>214</v>
      </c>
      <c r="C477" t="s">
        <v>16</v>
      </c>
      <c r="D477" s="48">
        <v>42519</v>
      </c>
      <c r="E477" s="3">
        <v>6933500000</v>
      </c>
      <c r="F477" s="3">
        <v>5392400000</v>
      </c>
      <c r="G477" s="3">
        <f>Project_Data_NYSE[[#This Row],[ Total Revenue ]]-Project_Data_NYSE[[#This Row],[ Cost of Goods Sold ]]</f>
        <v>1541100000</v>
      </c>
      <c r="H477" s="3">
        <v>622900000</v>
      </c>
      <c r="I477" s="3">
        <v>0</v>
      </c>
      <c r="J477" s="3">
        <v>290200000</v>
      </c>
      <c r="K477" s="3">
        <f>Project_Data_NYSE[[#This Row],[Gross Profit]]-Project_Data_NYSE[[#This Row],[ Sales, General and Admin. ]]-Project_Data_NYSE[[#This Row],[ Research and Development ]]-Project_Data_NYSE[[#This Row],[ Other Operating Items ]]</f>
        <v>628000000</v>
      </c>
      <c r="L477" t="s">
        <v>18</v>
      </c>
      <c r="M477" t="s">
        <v>154</v>
      </c>
      <c r="N477" s="31">
        <f>Project_Data_NYSE[[#This Row],[Gross Profit]]/Project_Data_NYSE[[#This Row],[ Total Revenue ]]</f>
        <v>0.22226869546405134</v>
      </c>
      <c r="O477" s="31">
        <f>Project_Data_NYSE[[#This Row],[Operating Profit]]/Project_Data_NYSE[[#This Row],[ Total Revenue ]]</f>
        <v>9.0574745799379824E-2</v>
      </c>
    </row>
    <row r="478" spans="1:15" x14ac:dyDescent="0.2">
      <c r="A478">
        <v>504</v>
      </c>
      <c r="B478" t="s">
        <v>215</v>
      </c>
      <c r="C478" t="s">
        <v>11</v>
      </c>
      <c r="D478" s="48">
        <v>41274</v>
      </c>
      <c r="E478" s="3">
        <v>17912000000</v>
      </c>
      <c r="F478" s="3">
        <v>11235000000</v>
      </c>
      <c r="G478" s="3">
        <f>Project_Data_NYSE[[#This Row],[ Total Revenue ]]-Project_Data_NYSE[[#This Row],[ Cost of Goods Sold ]]</f>
        <v>6677000000</v>
      </c>
      <c r="H478" s="3">
        <v>965000000</v>
      </c>
      <c r="I478" s="3">
        <v>0</v>
      </c>
      <c r="J478" s="3">
        <v>2145000000</v>
      </c>
      <c r="K478" s="3">
        <f>Project_Data_NYSE[[#This Row],[Gross Profit]]-Project_Data_NYSE[[#This Row],[ Sales, General and Admin. ]]-Project_Data_NYSE[[#This Row],[ Research and Development ]]-Project_Data_NYSE[[#This Row],[ Other Operating Items ]]</f>
        <v>3567000000</v>
      </c>
      <c r="L478" t="s">
        <v>41</v>
      </c>
      <c r="M478" t="s">
        <v>44</v>
      </c>
      <c r="N478" s="31">
        <f>Project_Data_NYSE[[#This Row],[Gross Profit]]/Project_Data_NYSE[[#This Row],[ Total Revenue ]]</f>
        <v>0.37276686020544886</v>
      </c>
      <c r="O478" s="31">
        <f>Project_Data_NYSE[[#This Row],[Operating Profit]]/Project_Data_NYSE[[#This Row],[ Total Revenue ]]</f>
        <v>0.19914024117909782</v>
      </c>
    </row>
    <row r="479" spans="1:15" x14ac:dyDescent="0.2">
      <c r="A479">
        <v>505</v>
      </c>
      <c r="B479" t="s">
        <v>215</v>
      </c>
      <c r="C479" t="s">
        <v>14</v>
      </c>
      <c r="D479" s="48">
        <v>41639</v>
      </c>
      <c r="E479" s="3">
        <v>22756000000</v>
      </c>
      <c r="F479" s="3">
        <v>13545000000</v>
      </c>
      <c r="G479" s="3">
        <f>Project_Data_NYSE[[#This Row],[ Total Revenue ]]-Project_Data_NYSE[[#This Row],[ Cost of Goods Sold ]]</f>
        <v>9211000000</v>
      </c>
      <c r="H479" s="3">
        <v>1274000000</v>
      </c>
      <c r="I479" s="3">
        <v>0</v>
      </c>
      <c r="J479" s="3">
        <v>2668000000</v>
      </c>
      <c r="K479" s="3">
        <f>Project_Data_NYSE[[#This Row],[Gross Profit]]-Project_Data_NYSE[[#This Row],[ Sales, General and Admin. ]]-Project_Data_NYSE[[#This Row],[ Research and Development ]]-Project_Data_NYSE[[#This Row],[ Other Operating Items ]]</f>
        <v>5269000000</v>
      </c>
      <c r="L479" t="s">
        <v>41</v>
      </c>
      <c r="M479" t="s">
        <v>44</v>
      </c>
      <c r="N479" s="31">
        <f>Project_Data_NYSE[[#This Row],[Gross Profit]]/Project_Data_NYSE[[#This Row],[ Total Revenue ]]</f>
        <v>0.40477236772719283</v>
      </c>
      <c r="O479" s="31">
        <f>Project_Data_NYSE[[#This Row],[Operating Profit]]/Project_Data_NYSE[[#This Row],[ Total Revenue ]]</f>
        <v>0.23154332923185095</v>
      </c>
    </row>
    <row r="480" spans="1:15" x14ac:dyDescent="0.2">
      <c r="A480">
        <v>506</v>
      </c>
      <c r="B480" t="s">
        <v>215</v>
      </c>
      <c r="C480" t="s">
        <v>15</v>
      </c>
      <c r="D480" s="48">
        <v>42004</v>
      </c>
      <c r="E480" s="3">
        <v>23925000000</v>
      </c>
      <c r="F480" s="3">
        <v>14323000000</v>
      </c>
      <c r="G480" s="3">
        <f>Project_Data_NYSE[[#This Row],[ Total Revenue ]]-Project_Data_NYSE[[#This Row],[ Cost of Goods Sold ]]</f>
        <v>9602000000</v>
      </c>
      <c r="H480" s="3">
        <v>1213000000</v>
      </c>
      <c r="I480" s="3">
        <v>0</v>
      </c>
      <c r="J480" s="3">
        <v>3066000000</v>
      </c>
      <c r="K480" s="3">
        <f>Project_Data_NYSE[[#This Row],[Gross Profit]]-Project_Data_NYSE[[#This Row],[ Sales, General and Admin. ]]-Project_Data_NYSE[[#This Row],[ Research and Development ]]-Project_Data_NYSE[[#This Row],[ Other Operating Items ]]</f>
        <v>5323000000</v>
      </c>
      <c r="L480" t="s">
        <v>41</v>
      </c>
      <c r="M480" t="s">
        <v>44</v>
      </c>
      <c r="N480" s="31">
        <f>Project_Data_NYSE[[#This Row],[Gross Profit]]/Project_Data_NYSE[[#This Row],[ Total Revenue ]]</f>
        <v>0.401337513061651</v>
      </c>
      <c r="O480" s="31">
        <f>Project_Data_NYSE[[#This Row],[Operating Profit]]/Project_Data_NYSE[[#This Row],[ Total Revenue ]]</f>
        <v>0.22248693834900732</v>
      </c>
    </row>
    <row r="481" spans="1:15" x14ac:dyDescent="0.2">
      <c r="A481">
        <v>507</v>
      </c>
      <c r="B481" t="s">
        <v>215</v>
      </c>
      <c r="C481" t="s">
        <v>16</v>
      </c>
      <c r="D481" s="48">
        <v>42369</v>
      </c>
      <c r="E481" s="3">
        <v>23459000000</v>
      </c>
      <c r="F481" s="3">
        <v>13728000000</v>
      </c>
      <c r="G481" s="3">
        <f>Project_Data_NYSE[[#This Row],[ Total Revenue ]]-Project_Data_NYSE[[#This Row],[ Cost of Goods Sold ]]</f>
        <v>9731000000</v>
      </c>
      <c r="H481" s="3">
        <v>1135000000</v>
      </c>
      <c r="I481" s="3">
        <v>0</v>
      </c>
      <c r="J481" s="3">
        <v>3144000000</v>
      </c>
      <c r="K481" s="3">
        <f>Project_Data_NYSE[[#This Row],[Gross Profit]]-Project_Data_NYSE[[#This Row],[ Sales, General and Admin. ]]-Project_Data_NYSE[[#This Row],[ Research and Development ]]-Project_Data_NYSE[[#This Row],[ Other Operating Items ]]</f>
        <v>5452000000</v>
      </c>
      <c r="L481" t="s">
        <v>41</v>
      </c>
      <c r="M481" t="s">
        <v>44</v>
      </c>
      <c r="N481" s="31">
        <f>Project_Data_NYSE[[#This Row],[Gross Profit]]/Project_Data_NYSE[[#This Row],[ Total Revenue ]]</f>
        <v>0.41480881538002473</v>
      </c>
      <c r="O481" s="31">
        <f>Project_Data_NYSE[[#This Row],[Operating Profit]]/Project_Data_NYSE[[#This Row],[ Total Revenue ]]</f>
        <v>0.23240547337908693</v>
      </c>
    </row>
    <row r="482" spans="1:15" x14ac:dyDescent="0.2">
      <c r="A482">
        <v>751</v>
      </c>
      <c r="B482" t="s">
        <v>289</v>
      </c>
      <c r="C482" t="s">
        <v>16</v>
      </c>
      <c r="D482" s="48">
        <v>42369</v>
      </c>
      <c r="E482" s="3">
        <v>39678000000</v>
      </c>
      <c r="F482" s="3">
        <v>6638000000</v>
      </c>
      <c r="G482" s="3">
        <f>Project_Data_NYSE[[#This Row],[ Total Revenue ]]-Project_Data_NYSE[[#This Row],[ Cost of Goods Sold ]]</f>
        <v>33040000000</v>
      </c>
      <c r="H482" s="3">
        <v>25171000000</v>
      </c>
      <c r="I482" s="3">
        <v>0</v>
      </c>
      <c r="J482" s="3">
        <v>1904000000</v>
      </c>
      <c r="K482" s="3">
        <f>Project_Data_NYSE[[#This Row],[Gross Profit]]-Project_Data_NYSE[[#This Row],[ Sales, General and Admin. ]]-Project_Data_NYSE[[#This Row],[ Research and Development ]]-Project_Data_NYSE[[#This Row],[ Other Operating Items ]]</f>
        <v>5965000000</v>
      </c>
      <c r="L482" t="s">
        <v>24</v>
      </c>
      <c r="M482" t="s">
        <v>198</v>
      </c>
      <c r="N482" s="31">
        <f>Project_Data_NYSE[[#This Row],[Gross Profit]]/Project_Data_NYSE[[#This Row],[ Total Revenue ]]</f>
        <v>0.83270326125308736</v>
      </c>
      <c r="O482" s="31">
        <f>Project_Data_NYSE[[#This Row],[Operating Profit]]/Project_Data_NYSE[[#This Row],[ Total Revenue ]]</f>
        <v>0.15033519834669087</v>
      </c>
    </row>
    <row r="483" spans="1:15" x14ac:dyDescent="0.2">
      <c r="A483">
        <v>238</v>
      </c>
      <c r="B483" t="s">
        <v>118</v>
      </c>
      <c r="C483" t="s">
        <v>11</v>
      </c>
      <c r="D483" s="48">
        <v>41274</v>
      </c>
      <c r="E483" s="3">
        <v>7249000000</v>
      </c>
      <c r="F483" s="3">
        <v>2349000000</v>
      </c>
      <c r="G483" s="3">
        <f>Project_Data_NYSE[[#This Row],[ Total Revenue ]]-Project_Data_NYSE[[#This Row],[ Cost of Goods Sold ]]</f>
        <v>4900000000</v>
      </c>
      <c r="H483" s="3">
        <v>2529000000</v>
      </c>
      <c r="I483" s="3">
        <v>886000000</v>
      </c>
      <c r="J483" s="3">
        <v>395000000</v>
      </c>
      <c r="K483" s="3">
        <f>Project_Data_NYSE[[#This Row],[Gross Profit]]-Project_Data_NYSE[[#This Row],[ Sales, General and Admin. ]]-Project_Data_NYSE[[#This Row],[ Research and Development ]]-Project_Data_NYSE[[#This Row],[ Other Operating Items ]]</f>
        <v>1090000000</v>
      </c>
      <c r="L483" t="s">
        <v>24</v>
      </c>
      <c r="M483" t="s">
        <v>29</v>
      </c>
      <c r="N483" s="31">
        <f>Project_Data_NYSE[[#This Row],[Gross Profit]]/Project_Data_NYSE[[#This Row],[ Total Revenue ]]</f>
        <v>0.67595530417988692</v>
      </c>
      <c r="O483" s="31">
        <f>Project_Data_NYSE[[#This Row],[Operating Profit]]/Project_Data_NYSE[[#This Row],[ Total Revenue ]]</f>
        <v>0.15036556766450546</v>
      </c>
    </row>
    <row r="484" spans="1:15" x14ac:dyDescent="0.2">
      <c r="A484">
        <v>750</v>
      </c>
      <c r="B484" t="s">
        <v>289</v>
      </c>
      <c r="C484" t="s">
        <v>15</v>
      </c>
      <c r="D484" s="48">
        <v>42004</v>
      </c>
      <c r="E484" s="3">
        <v>36918000000</v>
      </c>
      <c r="F484" s="3">
        <v>6262000000</v>
      </c>
      <c r="G484" s="3">
        <f>Project_Data_NYSE[[#This Row],[ Total Revenue ]]-Project_Data_NYSE[[#This Row],[ Cost of Goods Sold ]]</f>
        <v>30656000000</v>
      </c>
      <c r="H484" s="3">
        <v>23271000000</v>
      </c>
      <c r="I484" s="3">
        <v>0</v>
      </c>
      <c r="J484" s="3">
        <v>1820000000</v>
      </c>
      <c r="K484" s="3">
        <f>Project_Data_NYSE[[#This Row],[Gross Profit]]-Project_Data_NYSE[[#This Row],[ Sales, General and Admin. ]]-Project_Data_NYSE[[#This Row],[ Research and Development ]]-Project_Data_NYSE[[#This Row],[ Other Operating Items ]]</f>
        <v>5565000000</v>
      </c>
      <c r="L484" t="s">
        <v>24</v>
      </c>
      <c r="M484" t="s">
        <v>198</v>
      </c>
      <c r="N484" s="31">
        <f>Project_Data_NYSE[[#This Row],[Gross Profit]]/Project_Data_NYSE[[#This Row],[ Total Revenue ]]</f>
        <v>0.83038084403272117</v>
      </c>
      <c r="O484" s="31">
        <f>Project_Data_NYSE[[#This Row],[Operating Profit]]/Project_Data_NYSE[[#This Row],[ Total Revenue ]]</f>
        <v>0.15073947667804324</v>
      </c>
    </row>
    <row r="485" spans="1:15" x14ac:dyDescent="0.2">
      <c r="A485">
        <v>953</v>
      </c>
      <c r="B485" t="s">
        <v>351</v>
      </c>
      <c r="C485" t="s">
        <v>15</v>
      </c>
      <c r="D485" s="48">
        <v>42004</v>
      </c>
      <c r="E485" s="3">
        <v>6011600000</v>
      </c>
      <c r="F485" s="3">
        <v>3808500000</v>
      </c>
      <c r="G485" s="3">
        <f>Project_Data_NYSE[[#This Row],[ Total Revenue ]]-Project_Data_NYSE[[#This Row],[ Cost of Goods Sold ]]</f>
        <v>2203100000</v>
      </c>
      <c r="H485" s="3">
        <v>1198200000</v>
      </c>
      <c r="I485" s="3">
        <v>0</v>
      </c>
      <c r="J485" s="3">
        <v>76700000</v>
      </c>
      <c r="K485" s="3">
        <f>Project_Data_NYSE[[#This Row],[Gross Profit]]-Project_Data_NYSE[[#This Row],[ Sales, General and Admin. ]]-Project_Data_NYSE[[#This Row],[ Research and Development ]]-Project_Data_NYSE[[#This Row],[ Other Operating Items ]]</f>
        <v>928200000</v>
      </c>
      <c r="L485" t="s">
        <v>24</v>
      </c>
      <c r="M485" t="s">
        <v>198</v>
      </c>
      <c r="N485" s="31">
        <f>Project_Data_NYSE[[#This Row],[Gross Profit]]/Project_Data_NYSE[[#This Row],[ Total Revenue ]]</f>
        <v>0.36647481535697651</v>
      </c>
      <c r="O485" s="31">
        <f>Project_Data_NYSE[[#This Row],[Operating Profit]]/Project_Data_NYSE[[#This Row],[ Total Revenue ]]</f>
        <v>0.15440149045179319</v>
      </c>
    </row>
    <row r="486" spans="1:15" x14ac:dyDescent="0.2">
      <c r="A486">
        <v>512</v>
      </c>
      <c r="B486" t="s">
        <v>217</v>
      </c>
      <c r="C486" t="s">
        <v>11</v>
      </c>
      <c r="D486" s="48">
        <v>41639</v>
      </c>
      <c r="E486" s="3">
        <v>10397000000</v>
      </c>
      <c r="F486" s="3">
        <v>2268000000</v>
      </c>
      <c r="G486" s="3">
        <f>Project_Data_NYSE[[#This Row],[ Total Revenue ]]-Project_Data_NYSE[[#This Row],[ Cost of Goods Sold ]]</f>
        <v>8129000000</v>
      </c>
      <c r="H486" s="3">
        <v>2743000000</v>
      </c>
      <c r="I486" s="3">
        <v>0</v>
      </c>
      <c r="J486" s="3">
        <v>2780000000</v>
      </c>
      <c r="K486" s="3">
        <f>Project_Data_NYSE[[#This Row],[Gross Profit]]-Project_Data_NYSE[[#This Row],[ Sales, General and Admin. ]]-Project_Data_NYSE[[#This Row],[ Research and Development ]]-Project_Data_NYSE[[#This Row],[ Other Operating Items ]]</f>
        <v>2606000000</v>
      </c>
      <c r="L486" t="s">
        <v>82</v>
      </c>
      <c r="M486" t="s">
        <v>83</v>
      </c>
      <c r="N486" s="31">
        <f>Project_Data_NYSE[[#This Row],[Gross Profit]]/Project_Data_NYSE[[#This Row],[ Total Revenue ]]</f>
        <v>0.7818601519669135</v>
      </c>
      <c r="O486" s="31">
        <f>Project_Data_NYSE[[#This Row],[Operating Profit]]/Project_Data_NYSE[[#This Row],[ Total Revenue ]]</f>
        <v>0.2506492257381937</v>
      </c>
    </row>
    <row r="487" spans="1:15" x14ac:dyDescent="0.2">
      <c r="A487">
        <v>513</v>
      </c>
      <c r="B487" t="s">
        <v>217</v>
      </c>
      <c r="C487" t="s">
        <v>14</v>
      </c>
      <c r="D487" s="48">
        <v>42004</v>
      </c>
      <c r="E487" s="3">
        <v>20638000000</v>
      </c>
      <c r="F487" s="3">
        <v>2332000000</v>
      </c>
      <c r="G487" s="3">
        <f>Project_Data_NYSE[[#This Row],[ Total Revenue ]]-Project_Data_NYSE[[#This Row],[ Cost of Goods Sold ]]</f>
        <v>18306000000</v>
      </c>
      <c r="H487" s="3">
        <v>8290000000</v>
      </c>
      <c r="I487" s="3">
        <v>0</v>
      </c>
      <c r="J487" s="3">
        <v>3319000000</v>
      </c>
      <c r="K487" s="3">
        <f>Project_Data_NYSE[[#This Row],[Gross Profit]]-Project_Data_NYSE[[#This Row],[ Sales, General and Admin. ]]-Project_Data_NYSE[[#This Row],[ Research and Development ]]-Project_Data_NYSE[[#This Row],[ Other Operating Items ]]</f>
        <v>6697000000</v>
      </c>
      <c r="L487" t="s">
        <v>82</v>
      </c>
      <c r="M487" t="s">
        <v>83</v>
      </c>
      <c r="N487" s="31">
        <f>Project_Data_NYSE[[#This Row],[Gross Profit]]/Project_Data_NYSE[[#This Row],[ Total Revenue ]]</f>
        <v>0.88700455470491324</v>
      </c>
      <c r="O487" s="31">
        <f>Project_Data_NYSE[[#This Row],[Operating Profit]]/Project_Data_NYSE[[#This Row],[ Total Revenue ]]</f>
        <v>0.32449849791646479</v>
      </c>
    </row>
    <row r="488" spans="1:15" x14ac:dyDescent="0.2">
      <c r="A488">
        <v>514</v>
      </c>
      <c r="B488" t="s">
        <v>217</v>
      </c>
      <c r="C488" t="s">
        <v>15</v>
      </c>
      <c r="D488" s="48">
        <v>42369</v>
      </c>
      <c r="E488" s="3">
        <v>13145000000</v>
      </c>
      <c r="F488" s="3">
        <v>2104000000</v>
      </c>
      <c r="G488" s="3">
        <f>Project_Data_NYSE[[#This Row],[ Total Revenue ]]-Project_Data_NYSE[[#This Row],[ Cost of Goods Sold ]]</f>
        <v>11041000000</v>
      </c>
      <c r="H488" s="3">
        <v>7741000000</v>
      </c>
      <c r="I488" s="3">
        <v>0</v>
      </c>
      <c r="J488" s="3">
        <v>3129000000</v>
      </c>
      <c r="K488" s="3">
        <f>Project_Data_NYSE[[#This Row],[Gross Profit]]-Project_Data_NYSE[[#This Row],[ Sales, General and Admin. ]]-Project_Data_NYSE[[#This Row],[ Research and Development ]]-Project_Data_NYSE[[#This Row],[ Other Operating Items ]]</f>
        <v>171000000</v>
      </c>
      <c r="L488" t="s">
        <v>82</v>
      </c>
      <c r="M488" t="s">
        <v>83</v>
      </c>
      <c r="N488" s="31">
        <f>Project_Data_NYSE[[#This Row],[Gross Profit]]/Project_Data_NYSE[[#This Row],[ Total Revenue ]]</f>
        <v>0.83993914035755035</v>
      </c>
      <c r="O488" s="31">
        <f>Project_Data_NYSE[[#This Row],[Operating Profit]]/Project_Data_NYSE[[#This Row],[ Total Revenue ]]</f>
        <v>1.300874857360213E-2</v>
      </c>
    </row>
    <row r="489" spans="1:15" x14ac:dyDescent="0.2">
      <c r="A489">
        <v>515</v>
      </c>
      <c r="B489" t="s">
        <v>217</v>
      </c>
      <c r="C489" t="s">
        <v>16</v>
      </c>
      <c r="D489" s="48">
        <v>42735</v>
      </c>
      <c r="E489" s="3">
        <v>12197000000</v>
      </c>
      <c r="F489" s="3">
        <v>1582000000</v>
      </c>
      <c r="G489" s="3">
        <f>Project_Data_NYSE[[#This Row],[ Total Revenue ]]-Project_Data_NYSE[[#This Row],[ Cost of Goods Sold ]]</f>
        <v>10615000000</v>
      </c>
      <c r="H489" s="3">
        <v>6476000000</v>
      </c>
      <c r="I489" s="3">
        <v>0</v>
      </c>
      <c r="J489" s="3">
        <v>1792000000</v>
      </c>
      <c r="K489" s="3">
        <f>Project_Data_NYSE[[#This Row],[Gross Profit]]-Project_Data_NYSE[[#This Row],[ Sales, General and Admin. ]]-Project_Data_NYSE[[#This Row],[ Research and Development ]]-Project_Data_NYSE[[#This Row],[ Other Operating Items ]]</f>
        <v>2347000000</v>
      </c>
      <c r="L489" t="s">
        <v>82</v>
      </c>
      <c r="M489" t="s">
        <v>83</v>
      </c>
      <c r="N489" s="31">
        <f>Project_Data_NYSE[[#This Row],[Gross Profit]]/Project_Data_NYSE[[#This Row],[ Total Revenue ]]</f>
        <v>0.87029597441993933</v>
      </c>
      <c r="O489" s="31">
        <f>Project_Data_NYSE[[#This Row],[Operating Profit]]/Project_Data_NYSE[[#This Row],[ Total Revenue ]]</f>
        <v>0.19242436664753629</v>
      </c>
    </row>
    <row r="490" spans="1:15" x14ac:dyDescent="0.2">
      <c r="A490">
        <v>516</v>
      </c>
      <c r="B490" t="s">
        <v>218</v>
      </c>
      <c r="C490" t="s">
        <v>11</v>
      </c>
      <c r="D490" s="48">
        <v>41364</v>
      </c>
      <c r="E490" s="3">
        <v>3797000000</v>
      </c>
      <c r="F490" s="3">
        <v>1388000000</v>
      </c>
      <c r="G490" s="3">
        <f>Project_Data_NYSE[[#This Row],[ Total Revenue ]]-Project_Data_NYSE[[#This Row],[ Cost of Goods Sold ]]</f>
        <v>2409000000</v>
      </c>
      <c r="H490" s="3">
        <v>1078000000</v>
      </c>
      <c r="I490" s="3">
        <v>1153000000</v>
      </c>
      <c r="J490" s="3">
        <v>30000000</v>
      </c>
      <c r="K490" s="3">
        <f>Project_Data_NYSE[[#This Row],[Gross Profit]]-Project_Data_NYSE[[#This Row],[ Sales, General and Admin. ]]-Project_Data_NYSE[[#This Row],[ Research and Development ]]-Project_Data_NYSE[[#This Row],[ Other Operating Items ]]</f>
        <v>148000000</v>
      </c>
      <c r="L490" t="s">
        <v>21</v>
      </c>
      <c r="M490" t="s">
        <v>92</v>
      </c>
      <c r="N490" s="31">
        <f>Project_Data_NYSE[[#This Row],[Gross Profit]]/Project_Data_NYSE[[#This Row],[ Total Revenue ]]</f>
        <v>0.63444824861732951</v>
      </c>
      <c r="O490" s="31">
        <f>Project_Data_NYSE[[#This Row],[Operating Profit]]/Project_Data_NYSE[[#This Row],[ Total Revenue ]]</f>
        <v>3.8978140637345275E-2</v>
      </c>
    </row>
    <row r="491" spans="1:15" x14ac:dyDescent="0.2">
      <c r="A491">
        <v>517</v>
      </c>
      <c r="B491" t="s">
        <v>218</v>
      </c>
      <c r="C491" t="s">
        <v>14</v>
      </c>
      <c r="D491" s="48">
        <v>41729</v>
      </c>
      <c r="E491" s="3">
        <v>3575000000</v>
      </c>
      <c r="F491" s="3">
        <v>1347000000</v>
      </c>
      <c r="G491" s="3">
        <f>Project_Data_NYSE[[#This Row],[ Total Revenue ]]-Project_Data_NYSE[[#This Row],[ Cost of Goods Sold ]]</f>
        <v>2228000000</v>
      </c>
      <c r="H491" s="3">
        <v>1055000000</v>
      </c>
      <c r="I491" s="3">
        <v>1125000000</v>
      </c>
      <c r="J491" s="3">
        <v>16000000</v>
      </c>
      <c r="K491" s="3">
        <f>Project_Data_NYSE[[#This Row],[Gross Profit]]-Project_Data_NYSE[[#This Row],[ Sales, General and Admin. ]]-Project_Data_NYSE[[#This Row],[ Research and Development ]]-Project_Data_NYSE[[#This Row],[ Other Operating Items ]]</f>
        <v>32000000</v>
      </c>
      <c r="L491" t="s">
        <v>21</v>
      </c>
      <c r="M491" t="s">
        <v>92</v>
      </c>
      <c r="N491" s="31">
        <f>Project_Data_NYSE[[#This Row],[Gross Profit]]/Project_Data_NYSE[[#This Row],[ Total Revenue ]]</f>
        <v>0.6232167832167832</v>
      </c>
      <c r="O491" s="31">
        <f>Project_Data_NYSE[[#This Row],[Operating Profit]]/Project_Data_NYSE[[#This Row],[ Total Revenue ]]</f>
        <v>8.951048951048951E-3</v>
      </c>
    </row>
    <row r="492" spans="1:15" x14ac:dyDescent="0.2">
      <c r="A492">
        <v>518</v>
      </c>
      <c r="B492" t="s">
        <v>218</v>
      </c>
      <c r="C492" t="s">
        <v>15</v>
      </c>
      <c r="D492" s="48">
        <v>42094</v>
      </c>
      <c r="E492" s="3">
        <v>4515000000</v>
      </c>
      <c r="F492" s="3">
        <v>1429000000</v>
      </c>
      <c r="G492" s="3">
        <f>Project_Data_NYSE[[#This Row],[ Total Revenue ]]-Project_Data_NYSE[[#This Row],[ Cost of Goods Sold ]]</f>
        <v>3086000000</v>
      </c>
      <c r="H492" s="3">
        <v>1030000000</v>
      </c>
      <c r="I492" s="3">
        <v>1094000000</v>
      </c>
      <c r="J492" s="3">
        <v>14000000</v>
      </c>
      <c r="K492" s="3">
        <f>Project_Data_NYSE[[#This Row],[Gross Profit]]-Project_Data_NYSE[[#This Row],[ Sales, General and Admin. ]]-Project_Data_NYSE[[#This Row],[ Research and Development ]]-Project_Data_NYSE[[#This Row],[ Other Operating Items ]]</f>
        <v>948000000</v>
      </c>
      <c r="L492" t="s">
        <v>21</v>
      </c>
      <c r="M492" t="s">
        <v>92</v>
      </c>
      <c r="N492" s="31">
        <f>Project_Data_NYSE[[#This Row],[Gross Profit]]/Project_Data_NYSE[[#This Row],[ Total Revenue ]]</f>
        <v>0.68349944629014392</v>
      </c>
      <c r="O492" s="31">
        <f>Project_Data_NYSE[[#This Row],[Operating Profit]]/Project_Data_NYSE[[#This Row],[ Total Revenue ]]</f>
        <v>0.20996677740863787</v>
      </c>
    </row>
    <row r="493" spans="1:15" x14ac:dyDescent="0.2">
      <c r="A493">
        <v>519</v>
      </c>
      <c r="B493" t="s">
        <v>218</v>
      </c>
      <c r="C493" t="s">
        <v>16</v>
      </c>
      <c r="D493" s="48">
        <v>42460</v>
      </c>
      <c r="E493" s="3">
        <v>4396000000</v>
      </c>
      <c r="F493" s="3">
        <v>1354000000</v>
      </c>
      <c r="G493" s="3">
        <f>Project_Data_NYSE[[#This Row],[ Total Revenue ]]-Project_Data_NYSE[[#This Row],[ Cost of Goods Sold ]]</f>
        <v>3042000000</v>
      </c>
      <c r="H493" s="3">
        <v>1028000000</v>
      </c>
      <c r="I493" s="3">
        <v>1109000000</v>
      </c>
      <c r="J493" s="3">
        <v>7000000</v>
      </c>
      <c r="K493" s="3">
        <f>Project_Data_NYSE[[#This Row],[Gross Profit]]-Project_Data_NYSE[[#This Row],[ Sales, General and Admin. ]]-Project_Data_NYSE[[#This Row],[ Research and Development ]]-Project_Data_NYSE[[#This Row],[ Other Operating Items ]]</f>
        <v>898000000</v>
      </c>
      <c r="L493" t="s">
        <v>21</v>
      </c>
      <c r="M493" t="s">
        <v>92</v>
      </c>
      <c r="N493" s="31">
        <f>Project_Data_NYSE[[#This Row],[Gross Profit]]/Project_Data_NYSE[[#This Row],[ Total Revenue ]]</f>
        <v>0.69199272065514106</v>
      </c>
      <c r="O493" s="31">
        <f>Project_Data_NYSE[[#This Row],[Operating Profit]]/Project_Data_NYSE[[#This Row],[ Total Revenue ]]</f>
        <v>0.20427661510464057</v>
      </c>
    </row>
    <row r="494" spans="1:15" x14ac:dyDescent="0.2">
      <c r="A494">
        <v>520</v>
      </c>
      <c r="B494" t="s">
        <v>219</v>
      </c>
      <c r="C494" t="s">
        <v>11</v>
      </c>
      <c r="D494" s="48">
        <v>41639</v>
      </c>
      <c r="E494" s="3">
        <v>8257000000</v>
      </c>
      <c r="F494" s="3">
        <v>1492000000</v>
      </c>
      <c r="G494" s="3">
        <f>Project_Data_NYSE[[#This Row],[ Total Revenue ]]-Project_Data_NYSE[[#This Row],[ Cost of Goods Sold ]]</f>
        <v>6765000000</v>
      </c>
      <c r="H494" s="3">
        <v>3260000000</v>
      </c>
      <c r="I494" s="3">
        <v>915000000</v>
      </c>
      <c r="J494" s="3">
        <v>136000000</v>
      </c>
      <c r="K494" s="3">
        <f>Project_Data_NYSE[[#This Row],[Gross Profit]]-Project_Data_NYSE[[#This Row],[ Sales, General and Admin. ]]-Project_Data_NYSE[[#This Row],[ Research and Development ]]-Project_Data_NYSE[[#This Row],[ Other Operating Items ]]</f>
        <v>2454000000</v>
      </c>
      <c r="L494" t="s">
        <v>21</v>
      </c>
      <c r="M494" t="s">
        <v>56</v>
      </c>
      <c r="N494" s="31">
        <f>Project_Data_NYSE[[#This Row],[Gross Profit]]/Project_Data_NYSE[[#This Row],[ Total Revenue ]]</f>
        <v>0.81930483226353401</v>
      </c>
      <c r="O494" s="31">
        <f>Project_Data_NYSE[[#This Row],[Operating Profit]]/Project_Data_NYSE[[#This Row],[ Total Revenue ]]</f>
        <v>0.29720237374349034</v>
      </c>
    </row>
    <row r="495" spans="1:15" x14ac:dyDescent="0.2">
      <c r="A495">
        <v>521</v>
      </c>
      <c r="B495" t="s">
        <v>219</v>
      </c>
      <c r="C495" t="s">
        <v>14</v>
      </c>
      <c r="D495" s="48">
        <v>42004</v>
      </c>
      <c r="E495" s="3">
        <v>8790000000</v>
      </c>
      <c r="F495" s="3">
        <v>1663000000</v>
      </c>
      <c r="G495" s="3">
        <f>Project_Data_NYSE[[#This Row],[ Total Revenue ]]-Project_Data_NYSE[[#This Row],[ Cost of Goods Sold ]]</f>
        <v>7127000000</v>
      </c>
      <c r="H495" s="3">
        <v>3593000000</v>
      </c>
      <c r="I495" s="3">
        <v>983000000</v>
      </c>
      <c r="J495" s="3">
        <v>75000000</v>
      </c>
      <c r="K495" s="3">
        <f>Project_Data_NYSE[[#This Row],[Gross Profit]]-Project_Data_NYSE[[#This Row],[ Sales, General and Admin. ]]-Project_Data_NYSE[[#This Row],[ Research and Development ]]-Project_Data_NYSE[[#This Row],[ Other Operating Items ]]</f>
        <v>2476000000</v>
      </c>
      <c r="L495" t="s">
        <v>21</v>
      </c>
      <c r="M495" t="s">
        <v>56</v>
      </c>
      <c r="N495" s="31">
        <f>Project_Data_NYSE[[#This Row],[Gross Profit]]/Project_Data_NYSE[[#This Row],[ Total Revenue ]]</f>
        <v>0.81080773606370871</v>
      </c>
      <c r="O495" s="31">
        <f>Project_Data_NYSE[[#This Row],[Operating Profit]]/Project_Data_NYSE[[#This Row],[ Total Revenue ]]</f>
        <v>0.28168373151308307</v>
      </c>
    </row>
    <row r="496" spans="1:15" x14ac:dyDescent="0.2">
      <c r="A496">
        <v>522</v>
      </c>
      <c r="B496" t="s">
        <v>219</v>
      </c>
      <c r="C496" t="s">
        <v>15</v>
      </c>
      <c r="D496" s="48">
        <v>42369</v>
      </c>
      <c r="E496" s="3">
        <v>8592000000</v>
      </c>
      <c r="F496" s="3">
        <v>1771000000</v>
      </c>
      <c r="G496" s="3">
        <f>Project_Data_NYSE[[#This Row],[ Total Revenue ]]-Project_Data_NYSE[[#This Row],[ Cost of Goods Sold ]]</f>
        <v>6821000000</v>
      </c>
      <c r="H496" s="3">
        <v>3660000000</v>
      </c>
      <c r="I496" s="3">
        <v>923000000</v>
      </c>
      <c r="J496" s="3">
        <v>41000000</v>
      </c>
      <c r="K496" s="3">
        <f>Project_Data_NYSE[[#This Row],[Gross Profit]]-Project_Data_NYSE[[#This Row],[ Sales, General and Admin. ]]-Project_Data_NYSE[[#This Row],[ Research and Development ]]-Project_Data_NYSE[[#This Row],[ Other Operating Items ]]</f>
        <v>2197000000</v>
      </c>
      <c r="L496" t="s">
        <v>21</v>
      </c>
      <c r="M496" t="s">
        <v>56</v>
      </c>
      <c r="N496" s="31">
        <f>Project_Data_NYSE[[#This Row],[Gross Profit]]/Project_Data_NYSE[[#This Row],[ Total Revenue ]]</f>
        <v>0.79387802607076352</v>
      </c>
      <c r="O496" s="31">
        <f>Project_Data_NYSE[[#This Row],[Operating Profit]]/Project_Data_NYSE[[#This Row],[ Total Revenue ]]</f>
        <v>0.25570297951582865</v>
      </c>
    </row>
    <row r="497" spans="1:15" x14ac:dyDescent="0.2">
      <c r="A497">
        <v>523</v>
      </c>
      <c r="B497" t="s">
        <v>219</v>
      </c>
      <c r="C497" t="s">
        <v>16</v>
      </c>
      <c r="D497" s="48">
        <v>42735</v>
      </c>
      <c r="E497" s="3">
        <v>8979000000</v>
      </c>
      <c r="F497" s="3">
        <v>2007000000</v>
      </c>
      <c r="G497" s="3">
        <f>Project_Data_NYSE[[#This Row],[ Total Revenue ]]-Project_Data_NYSE[[#This Row],[ Cost of Goods Sold ]]</f>
        <v>6972000000</v>
      </c>
      <c r="H497" s="3">
        <v>3499000000</v>
      </c>
      <c r="I497" s="3">
        <v>1114000000</v>
      </c>
      <c r="J497" s="3">
        <v>34000000</v>
      </c>
      <c r="K497" s="3">
        <f>Project_Data_NYSE[[#This Row],[Gross Profit]]-Project_Data_NYSE[[#This Row],[ Sales, General and Admin. ]]-Project_Data_NYSE[[#This Row],[ Research and Development ]]-Project_Data_NYSE[[#This Row],[ Other Operating Items ]]</f>
        <v>2325000000</v>
      </c>
      <c r="L497" t="s">
        <v>21</v>
      </c>
      <c r="M497" t="s">
        <v>56</v>
      </c>
      <c r="N497" s="31">
        <f>Project_Data_NYSE[[#This Row],[Gross Profit]]/Project_Data_NYSE[[#This Row],[ Total Revenue ]]</f>
        <v>0.77647844971600399</v>
      </c>
      <c r="O497" s="31">
        <f>Project_Data_NYSE[[#This Row],[Operating Profit]]/Project_Data_NYSE[[#This Row],[ Total Revenue ]]</f>
        <v>0.25893752088205813</v>
      </c>
    </row>
    <row r="498" spans="1:15" x14ac:dyDescent="0.2">
      <c r="A498">
        <v>524</v>
      </c>
      <c r="B498" t="s">
        <v>220</v>
      </c>
      <c r="C498" t="s">
        <v>11</v>
      </c>
      <c r="D498" s="48">
        <v>41274</v>
      </c>
      <c r="E498" s="3">
        <v>11838700000</v>
      </c>
      <c r="F498" s="3">
        <v>6385400000</v>
      </c>
      <c r="G498" s="3">
        <f>Project_Data_NYSE[[#This Row],[ Total Revenue ]]-Project_Data_NYSE[[#This Row],[ Cost of Goods Sold ]]</f>
        <v>5453300000</v>
      </c>
      <c r="H498" s="3">
        <v>4018300000</v>
      </c>
      <c r="I498" s="3">
        <v>0</v>
      </c>
      <c r="J498" s="3">
        <v>0</v>
      </c>
      <c r="K498" s="3">
        <f>Project_Data_NYSE[[#This Row],[Gross Profit]]-Project_Data_NYSE[[#This Row],[ Sales, General and Admin. ]]-Project_Data_NYSE[[#This Row],[ Research and Development ]]-Project_Data_NYSE[[#This Row],[ Other Operating Items ]]</f>
        <v>1435000000</v>
      </c>
      <c r="L498" t="s">
        <v>58</v>
      </c>
      <c r="M498" t="s">
        <v>59</v>
      </c>
      <c r="N498" s="31">
        <f>Project_Data_NYSE[[#This Row],[Gross Profit]]/Project_Data_NYSE[[#This Row],[ Total Revenue ]]</f>
        <v>0.4606333465667683</v>
      </c>
      <c r="O498" s="31">
        <f>Project_Data_NYSE[[#This Row],[Operating Profit]]/Project_Data_NYSE[[#This Row],[ Total Revenue ]]</f>
        <v>0.12121263314384181</v>
      </c>
    </row>
    <row r="499" spans="1:15" x14ac:dyDescent="0.2">
      <c r="A499">
        <v>525</v>
      </c>
      <c r="B499" t="s">
        <v>220</v>
      </c>
      <c r="C499" t="s">
        <v>14</v>
      </c>
      <c r="D499" s="48">
        <v>41639</v>
      </c>
      <c r="E499" s="3">
        <v>13253400000</v>
      </c>
      <c r="F499" s="3">
        <v>7161200000</v>
      </c>
      <c r="G499" s="3">
        <f>Project_Data_NYSE[[#This Row],[ Total Revenue ]]-Project_Data_NYSE[[#This Row],[ Cost of Goods Sold ]]</f>
        <v>6092200000</v>
      </c>
      <c r="H499" s="3">
        <v>4360300000</v>
      </c>
      <c r="I499" s="3">
        <v>0</v>
      </c>
      <c r="J499" s="3">
        <v>0</v>
      </c>
      <c r="K499" s="3">
        <f>Project_Data_NYSE[[#This Row],[Gross Profit]]-Project_Data_NYSE[[#This Row],[ Sales, General and Admin. ]]-Project_Data_NYSE[[#This Row],[ Research and Development ]]-Project_Data_NYSE[[#This Row],[ Other Operating Items ]]</f>
        <v>1731900000</v>
      </c>
      <c r="L499" t="s">
        <v>58</v>
      </c>
      <c r="M499" t="s">
        <v>59</v>
      </c>
      <c r="N499" s="31">
        <f>Project_Data_NYSE[[#This Row],[Gross Profit]]/Project_Data_NYSE[[#This Row],[ Total Revenue ]]</f>
        <v>0.45967072600238429</v>
      </c>
      <c r="O499" s="31">
        <f>Project_Data_NYSE[[#This Row],[Operating Profit]]/Project_Data_NYSE[[#This Row],[ Total Revenue ]]</f>
        <v>0.13067590203268595</v>
      </c>
    </row>
    <row r="500" spans="1:15" x14ac:dyDescent="0.2">
      <c r="A500">
        <v>526</v>
      </c>
      <c r="B500" t="s">
        <v>220</v>
      </c>
      <c r="C500" t="s">
        <v>15</v>
      </c>
      <c r="D500" s="48">
        <v>42004</v>
      </c>
      <c r="E500" s="3">
        <v>14280500000</v>
      </c>
      <c r="F500" s="3">
        <v>7679100000</v>
      </c>
      <c r="G500" s="3">
        <f>Project_Data_NYSE[[#This Row],[ Total Revenue ]]-Project_Data_NYSE[[#This Row],[ Cost of Goods Sold ]]</f>
        <v>6601400000</v>
      </c>
      <c r="H500" s="3">
        <v>4577600000</v>
      </c>
      <c r="I500" s="3">
        <v>0</v>
      </c>
      <c r="J500" s="3">
        <v>0</v>
      </c>
      <c r="K500" s="3">
        <f>Project_Data_NYSE[[#This Row],[Gross Profit]]-Project_Data_NYSE[[#This Row],[ Sales, General and Admin. ]]-Project_Data_NYSE[[#This Row],[ Research and Development ]]-Project_Data_NYSE[[#This Row],[ Other Operating Items ]]</f>
        <v>2023800000</v>
      </c>
      <c r="L500" t="s">
        <v>58</v>
      </c>
      <c r="M500" t="s">
        <v>59</v>
      </c>
      <c r="N500" s="31">
        <f>Project_Data_NYSE[[#This Row],[Gross Profit]]/Project_Data_NYSE[[#This Row],[ Total Revenue ]]</f>
        <v>0.46226672735548474</v>
      </c>
      <c r="O500" s="31">
        <f>Project_Data_NYSE[[#This Row],[Operating Profit]]/Project_Data_NYSE[[#This Row],[ Total Revenue ]]</f>
        <v>0.14171772697034418</v>
      </c>
    </row>
    <row r="501" spans="1:15" x14ac:dyDescent="0.2">
      <c r="A501">
        <v>527</v>
      </c>
      <c r="B501" t="s">
        <v>220</v>
      </c>
      <c r="C501" t="s">
        <v>16</v>
      </c>
      <c r="D501" s="48">
        <v>42369</v>
      </c>
      <c r="E501" s="3">
        <v>13545100000</v>
      </c>
      <c r="F501" s="3">
        <v>7223500000</v>
      </c>
      <c r="G501" s="3">
        <f>Project_Data_NYSE[[#This Row],[ Total Revenue ]]-Project_Data_NYSE[[#This Row],[ Cost of Goods Sold ]]</f>
        <v>6321600000</v>
      </c>
      <c r="H501" s="3">
        <v>4345500000</v>
      </c>
      <c r="I501" s="3">
        <v>0</v>
      </c>
      <c r="J501" s="3">
        <v>0</v>
      </c>
      <c r="K501" s="3">
        <f>Project_Data_NYSE[[#This Row],[Gross Profit]]-Project_Data_NYSE[[#This Row],[ Sales, General and Admin. ]]-Project_Data_NYSE[[#This Row],[ Research and Development ]]-Project_Data_NYSE[[#This Row],[ Other Operating Items ]]</f>
        <v>1976100000</v>
      </c>
      <c r="L501" t="s">
        <v>58</v>
      </c>
      <c r="M501" t="s">
        <v>59</v>
      </c>
      <c r="N501" s="31">
        <f>Project_Data_NYSE[[#This Row],[Gross Profit]]/Project_Data_NYSE[[#This Row],[ Total Revenue ]]</f>
        <v>0.46670751784778258</v>
      </c>
      <c r="O501" s="31">
        <f>Project_Data_NYSE[[#This Row],[Operating Profit]]/Project_Data_NYSE[[#This Row],[ Total Revenue ]]</f>
        <v>0.14589039578888308</v>
      </c>
    </row>
    <row r="502" spans="1:15" x14ac:dyDescent="0.2">
      <c r="A502">
        <v>528</v>
      </c>
      <c r="B502" t="s">
        <v>221</v>
      </c>
      <c r="C502" t="s">
        <v>11</v>
      </c>
      <c r="D502" s="48">
        <v>41639</v>
      </c>
      <c r="E502" s="3">
        <v>12354000000</v>
      </c>
      <c r="F502" s="3">
        <v>7191000000</v>
      </c>
      <c r="G502" s="3">
        <f>Project_Data_NYSE[[#This Row],[ Total Revenue ]]-Project_Data_NYSE[[#This Row],[ Cost of Goods Sold ]]</f>
        <v>5163000000</v>
      </c>
      <c r="H502" s="3">
        <v>1895000000</v>
      </c>
      <c r="I502" s="3">
        <v>0</v>
      </c>
      <c r="J502" s="3">
        <v>1024000000</v>
      </c>
      <c r="K502" s="3">
        <f>Project_Data_NYSE[[#This Row],[Gross Profit]]-Project_Data_NYSE[[#This Row],[ Sales, General and Admin. ]]-Project_Data_NYSE[[#This Row],[ Research and Development ]]-Project_Data_NYSE[[#This Row],[ Other Operating Items ]]</f>
        <v>2244000000</v>
      </c>
      <c r="L502" t="s">
        <v>41</v>
      </c>
      <c r="M502" t="s">
        <v>44</v>
      </c>
      <c r="N502" s="31">
        <f>Project_Data_NYSE[[#This Row],[Gross Profit]]/Project_Data_NYSE[[#This Row],[ Total Revenue ]]</f>
        <v>0.41792132102962604</v>
      </c>
      <c r="O502" s="31">
        <f>Project_Data_NYSE[[#This Row],[Operating Profit]]/Project_Data_NYSE[[#This Row],[ Total Revenue ]]</f>
        <v>0.18164157357940747</v>
      </c>
    </row>
    <row r="503" spans="1:15" x14ac:dyDescent="0.2">
      <c r="A503">
        <v>529</v>
      </c>
      <c r="B503" t="s">
        <v>221</v>
      </c>
      <c r="C503" t="s">
        <v>14</v>
      </c>
      <c r="D503" s="48">
        <v>42004</v>
      </c>
      <c r="E503" s="3">
        <v>12919000000</v>
      </c>
      <c r="F503" s="3">
        <v>7807000000</v>
      </c>
      <c r="G503" s="3">
        <f>Project_Data_NYSE[[#This Row],[ Total Revenue ]]-Project_Data_NYSE[[#This Row],[ Cost of Goods Sold ]]</f>
        <v>5112000000</v>
      </c>
      <c r="H503" s="3">
        <v>1877000000</v>
      </c>
      <c r="I503" s="3">
        <v>0</v>
      </c>
      <c r="J503" s="3">
        <v>1071000000</v>
      </c>
      <c r="K503" s="3">
        <f>Project_Data_NYSE[[#This Row],[Gross Profit]]-Project_Data_NYSE[[#This Row],[ Sales, General and Admin. ]]-Project_Data_NYSE[[#This Row],[ Research and Development ]]-Project_Data_NYSE[[#This Row],[ Other Operating Items ]]</f>
        <v>2164000000</v>
      </c>
      <c r="L503" t="s">
        <v>41</v>
      </c>
      <c r="M503" t="s">
        <v>44</v>
      </c>
      <c r="N503" s="31">
        <f>Project_Data_NYSE[[#This Row],[Gross Profit]]/Project_Data_NYSE[[#This Row],[ Total Revenue ]]</f>
        <v>0.39569626132053565</v>
      </c>
      <c r="O503" s="31">
        <f>Project_Data_NYSE[[#This Row],[Operating Profit]]/Project_Data_NYSE[[#This Row],[ Total Revenue ]]</f>
        <v>0.16750522486260547</v>
      </c>
    </row>
    <row r="504" spans="1:15" x14ac:dyDescent="0.2">
      <c r="A504">
        <v>530</v>
      </c>
      <c r="B504" t="s">
        <v>221</v>
      </c>
      <c r="C504" t="s">
        <v>15</v>
      </c>
      <c r="D504" s="48">
        <v>42369</v>
      </c>
      <c r="E504" s="3">
        <v>12554000000</v>
      </c>
      <c r="F504" s="3">
        <v>7060000000</v>
      </c>
      <c r="G504" s="3">
        <f>Project_Data_NYSE[[#This Row],[ Total Revenue ]]-Project_Data_NYSE[[#This Row],[ Cost of Goods Sold ]]</f>
        <v>5494000000</v>
      </c>
      <c r="H504" s="3">
        <v>1937000000</v>
      </c>
      <c r="I504" s="3">
        <v>0</v>
      </c>
      <c r="J504" s="3">
        <v>1130000000</v>
      </c>
      <c r="K504" s="3">
        <f>Project_Data_NYSE[[#This Row],[Gross Profit]]-Project_Data_NYSE[[#This Row],[ Sales, General and Admin. ]]-Project_Data_NYSE[[#This Row],[ Research and Development ]]-Project_Data_NYSE[[#This Row],[ Other Operating Items ]]</f>
        <v>2427000000</v>
      </c>
      <c r="L504" t="s">
        <v>41</v>
      </c>
      <c r="M504" t="s">
        <v>44</v>
      </c>
      <c r="N504" s="31">
        <f>Project_Data_NYSE[[#This Row],[Gross Profit]]/Project_Data_NYSE[[#This Row],[ Total Revenue ]]</f>
        <v>0.43762944081567628</v>
      </c>
      <c r="O504" s="31">
        <f>Project_Data_NYSE[[#This Row],[Operating Profit]]/Project_Data_NYSE[[#This Row],[ Total Revenue ]]</f>
        <v>0.19332483670543252</v>
      </c>
    </row>
    <row r="505" spans="1:15" x14ac:dyDescent="0.2">
      <c r="A505">
        <v>531</v>
      </c>
      <c r="B505" t="s">
        <v>221</v>
      </c>
      <c r="C505" t="s">
        <v>16</v>
      </c>
      <c r="D505" s="48">
        <v>42735</v>
      </c>
      <c r="E505" s="3">
        <v>12075000000</v>
      </c>
      <c r="F505" s="3">
        <v>6357000000</v>
      </c>
      <c r="G505" s="3">
        <f>Project_Data_NYSE[[#This Row],[ Total Revenue ]]-Project_Data_NYSE[[#This Row],[ Cost of Goods Sold ]]</f>
        <v>5718000000</v>
      </c>
      <c r="H505" s="3">
        <v>2031000000</v>
      </c>
      <c r="I505" s="3">
        <v>0</v>
      </c>
      <c r="J505" s="3">
        <v>1216000000</v>
      </c>
      <c r="K505" s="3">
        <f>Project_Data_NYSE[[#This Row],[Gross Profit]]-Project_Data_NYSE[[#This Row],[ Sales, General and Admin. ]]-Project_Data_NYSE[[#This Row],[ Research and Development ]]-Project_Data_NYSE[[#This Row],[ Other Operating Items ]]</f>
        <v>2471000000</v>
      </c>
      <c r="L505" t="s">
        <v>41</v>
      </c>
      <c r="M505" t="s">
        <v>44</v>
      </c>
      <c r="N505" s="31">
        <f>Project_Data_NYSE[[#This Row],[Gross Profit]]/Project_Data_NYSE[[#This Row],[ Total Revenue ]]</f>
        <v>0.47354037267080745</v>
      </c>
      <c r="O505" s="31">
        <f>Project_Data_NYSE[[#This Row],[Operating Profit]]/Project_Data_NYSE[[#This Row],[ Total Revenue ]]</f>
        <v>0.2046376811594203</v>
      </c>
    </row>
    <row r="506" spans="1:15" x14ac:dyDescent="0.2">
      <c r="A506">
        <v>532</v>
      </c>
      <c r="B506" t="s">
        <v>222</v>
      </c>
      <c r="C506" t="s">
        <v>11</v>
      </c>
      <c r="D506" s="48">
        <v>41274</v>
      </c>
      <c r="E506" s="3">
        <v>2073000000</v>
      </c>
      <c r="F506" s="3">
        <v>759500000</v>
      </c>
      <c r="G506" s="3">
        <f>Project_Data_NYSE[[#This Row],[ Total Revenue ]]-Project_Data_NYSE[[#This Row],[ Cost of Goods Sold ]]</f>
        <v>1313500000</v>
      </c>
      <c r="H506" s="3">
        <v>673500000</v>
      </c>
      <c r="I506" s="3">
        <v>0</v>
      </c>
      <c r="J506" s="3">
        <v>160000000</v>
      </c>
      <c r="K506" s="3">
        <f>Project_Data_NYSE[[#This Row],[Gross Profit]]-Project_Data_NYSE[[#This Row],[ Sales, General and Admin. ]]-Project_Data_NYSE[[#This Row],[ Research and Development ]]-Project_Data_NYSE[[#This Row],[ Other Operating Items ]]</f>
        <v>480000000</v>
      </c>
      <c r="L506" t="s">
        <v>12</v>
      </c>
      <c r="M506" t="s">
        <v>210</v>
      </c>
      <c r="N506" s="31">
        <f>Project_Data_NYSE[[#This Row],[Gross Profit]]/Project_Data_NYSE[[#This Row],[ Total Revenue ]]</f>
        <v>0.63362276893391223</v>
      </c>
      <c r="O506" s="31">
        <f>Project_Data_NYSE[[#This Row],[Operating Profit]]/Project_Data_NYSE[[#This Row],[ Total Revenue ]]</f>
        <v>0.23154848046309695</v>
      </c>
    </row>
    <row r="507" spans="1:15" x14ac:dyDescent="0.2">
      <c r="A507">
        <v>533</v>
      </c>
      <c r="B507" t="s">
        <v>222</v>
      </c>
      <c r="C507" t="s">
        <v>14</v>
      </c>
      <c r="D507" s="48">
        <v>41639</v>
      </c>
      <c r="E507" s="3">
        <v>2303900000</v>
      </c>
      <c r="F507" s="3">
        <v>787300000</v>
      </c>
      <c r="G507" s="3">
        <f>Project_Data_NYSE[[#This Row],[ Total Revenue ]]-Project_Data_NYSE[[#This Row],[ Cost of Goods Sold ]]</f>
        <v>1516600000</v>
      </c>
      <c r="H507" s="3">
        <v>715800000</v>
      </c>
      <c r="I507" s="3">
        <v>0</v>
      </c>
      <c r="J507" s="3">
        <v>189600000</v>
      </c>
      <c r="K507" s="3">
        <f>Project_Data_NYSE[[#This Row],[Gross Profit]]-Project_Data_NYSE[[#This Row],[ Sales, General and Admin. ]]-Project_Data_NYSE[[#This Row],[ Research and Development ]]-Project_Data_NYSE[[#This Row],[ Other Operating Items ]]</f>
        <v>611200000</v>
      </c>
      <c r="L507" t="s">
        <v>12</v>
      </c>
      <c r="M507" t="s">
        <v>210</v>
      </c>
      <c r="N507" s="31">
        <f>Project_Data_NYSE[[#This Row],[Gross Profit]]/Project_Data_NYSE[[#This Row],[ Total Revenue ]]</f>
        <v>0.6582750987456053</v>
      </c>
      <c r="O507" s="31">
        <f>Project_Data_NYSE[[#This Row],[Operating Profit]]/Project_Data_NYSE[[#This Row],[ Total Revenue ]]</f>
        <v>0.26528929206996832</v>
      </c>
    </row>
    <row r="508" spans="1:15" x14ac:dyDescent="0.2">
      <c r="A508">
        <v>534</v>
      </c>
      <c r="B508" t="s">
        <v>222</v>
      </c>
      <c r="C508" t="s">
        <v>15</v>
      </c>
      <c r="D508" s="48">
        <v>42004</v>
      </c>
      <c r="E508" s="3">
        <v>2436400000</v>
      </c>
      <c r="F508" s="3">
        <v>844700000</v>
      </c>
      <c r="G508" s="3">
        <f>Project_Data_NYSE[[#This Row],[ Total Revenue ]]-Project_Data_NYSE[[#This Row],[ Cost of Goods Sold ]]</f>
        <v>1591700000</v>
      </c>
      <c r="H508" s="3">
        <v>751700000</v>
      </c>
      <c r="I508" s="3">
        <v>0</v>
      </c>
      <c r="J508" s="3">
        <v>201800000</v>
      </c>
      <c r="K508" s="3">
        <f>Project_Data_NYSE[[#This Row],[Gross Profit]]-Project_Data_NYSE[[#This Row],[ Sales, General and Admin. ]]-Project_Data_NYSE[[#This Row],[ Research and Development ]]-Project_Data_NYSE[[#This Row],[ Other Operating Items ]]</f>
        <v>638200000</v>
      </c>
      <c r="L508" t="s">
        <v>12</v>
      </c>
      <c r="M508" t="s">
        <v>210</v>
      </c>
      <c r="N508" s="31">
        <f>Project_Data_NYSE[[#This Row],[Gross Profit]]/Project_Data_NYSE[[#This Row],[ Total Revenue ]]</f>
        <v>0.65329995074700375</v>
      </c>
      <c r="O508" s="31">
        <f>Project_Data_NYSE[[#This Row],[Operating Profit]]/Project_Data_NYSE[[#This Row],[ Total Revenue ]]</f>
        <v>0.26194385158430472</v>
      </c>
    </row>
    <row r="509" spans="1:15" x14ac:dyDescent="0.2">
      <c r="A509">
        <v>535</v>
      </c>
      <c r="B509" t="s">
        <v>222</v>
      </c>
      <c r="C509" t="s">
        <v>16</v>
      </c>
      <c r="D509" s="48">
        <v>42369</v>
      </c>
      <c r="E509" s="3">
        <v>2663600000</v>
      </c>
      <c r="F509" s="3">
        <v>887400000</v>
      </c>
      <c r="G509" s="3">
        <f>Project_Data_NYSE[[#This Row],[ Total Revenue ]]-Project_Data_NYSE[[#This Row],[ Cost of Goods Sold ]]</f>
        <v>1776200000</v>
      </c>
      <c r="H509" s="3">
        <v>884300000</v>
      </c>
      <c r="I509" s="3">
        <v>0</v>
      </c>
      <c r="J509" s="3">
        <v>198000000</v>
      </c>
      <c r="K509" s="3">
        <f>Project_Data_NYSE[[#This Row],[Gross Profit]]-Project_Data_NYSE[[#This Row],[ Sales, General and Admin. ]]-Project_Data_NYSE[[#This Row],[ Research and Development ]]-Project_Data_NYSE[[#This Row],[ Other Operating Items ]]</f>
        <v>693900000</v>
      </c>
      <c r="L509" t="s">
        <v>12</v>
      </c>
      <c r="M509" t="s">
        <v>210</v>
      </c>
      <c r="N509" s="31">
        <f>Project_Data_NYSE[[#This Row],[Gross Profit]]/Project_Data_NYSE[[#This Row],[ Total Revenue ]]</f>
        <v>0.66684186814837065</v>
      </c>
      <c r="O509" s="31">
        <f>Project_Data_NYSE[[#This Row],[Operating Profit]]/Project_Data_NYSE[[#This Row],[ Total Revenue ]]</f>
        <v>0.26051208890223759</v>
      </c>
    </row>
    <row r="510" spans="1:15" x14ac:dyDescent="0.2">
      <c r="A510">
        <v>536</v>
      </c>
      <c r="B510" t="s">
        <v>223</v>
      </c>
      <c r="C510" t="s">
        <v>11</v>
      </c>
      <c r="D510" s="48">
        <v>41274</v>
      </c>
      <c r="E510" s="3">
        <v>11862000000</v>
      </c>
      <c r="F510" s="3">
        <v>7747000000</v>
      </c>
      <c r="G510" s="3">
        <f>Project_Data_NYSE[[#This Row],[ Total Revenue ]]-Project_Data_NYSE[[#This Row],[ Cost of Goods Sold ]]</f>
        <v>4115000000</v>
      </c>
      <c r="H510" s="3">
        <v>296000000</v>
      </c>
      <c r="I510" s="3">
        <v>0</v>
      </c>
      <c r="J510" s="3">
        <v>1562000000</v>
      </c>
      <c r="K510" s="3">
        <f>Project_Data_NYSE[[#This Row],[Gross Profit]]-Project_Data_NYSE[[#This Row],[ Sales, General and Admin. ]]-Project_Data_NYSE[[#This Row],[ Research and Development ]]-Project_Data_NYSE[[#This Row],[ Other Operating Items ]]</f>
        <v>2257000000</v>
      </c>
      <c r="L510" t="s">
        <v>41</v>
      </c>
      <c r="M510" t="s">
        <v>44</v>
      </c>
      <c r="N510" s="31">
        <f>Project_Data_NYSE[[#This Row],[Gross Profit]]/Project_Data_NYSE[[#This Row],[ Total Revenue ]]</f>
        <v>0.34690608666329453</v>
      </c>
      <c r="O510" s="31">
        <f>Project_Data_NYSE[[#This Row],[Operating Profit]]/Project_Data_NYSE[[#This Row],[ Total Revenue ]]</f>
        <v>0.19027145506659923</v>
      </c>
    </row>
    <row r="511" spans="1:15" x14ac:dyDescent="0.2">
      <c r="A511">
        <v>537</v>
      </c>
      <c r="B511" t="s">
        <v>223</v>
      </c>
      <c r="C511" t="s">
        <v>14</v>
      </c>
      <c r="D511" s="48">
        <v>41639</v>
      </c>
      <c r="E511" s="3">
        <v>12581000000</v>
      </c>
      <c r="F511" s="3">
        <v>8364000000</v>
      </c>
      <c r="G511" s="3">
        <f>Project_Data_NYSE[[#This Row],[ Total Revenue ]]-Project_Data_NYSE[[#This Row],[ Cost of Goods Sold ]]</f>
        <v>4217000000</v>
      </c>
      <c r="H511" s="3">
        <v>309000000</v>
      </c>
      <c r="I511" s="3">
        <v>0</v>
      </c>
      <c r="J511" s="3">
        <v>1622000000</v>
      </c>
      <c r="K511" s="3">
        <f>Project_Data_NYSE[[#This Row],[Gross Profit]]-Project_Data_NYSE[[#This Row],[ Sales, General and Admin. ]]-Project_Data_NYSE[[#This Row],[ Research and Development ]]-Project_Data_NYSE[[#This Row],[ Other Operating Items ]]</f>
        <v>2286000000</v>
      </c>
      <c r="L511" t="s">
        <v>41</v>
      </c>
      <c r="M511" t="s">
        <v>44</v>
      </c>
      <c r="N511" s="31">
        <f>Project_Data_NYSE[[#This Row],[Gross Profit]]/Project_Data_NYSE[[#This Row],[ Total Revenue ]]</f>
        <v>0.3351879818774342</v>
      </c>
      <c r="O511" s="31">
        <f>Project_Data_NYSE[[#This Row],[Operating Profit]]/Project_Data_NYSE[[#This Row],[ Total Revenue ]]</f>
        <v>0.18170256736348461</v>
      </c>
    </row>
    <row r="512" spans="1:15" x14ac:dyDescent="0.2">
      <c r="A512">
        <v>538</v>
      </c>
      <c r="B512" t="s">
        <v>223</v>
      </c>
      <c r="C512" t="s">
        <v>15</v>
      </c>
      <c r="D512" s="48">
        <v>42004</v>
      </c>
      <c r="E512" s="3">
        <v>13413000000</v>
      </c>
      <c r="F512" s="3">
        <v>8742000000</v>
      </c>
      <c r="G512" s="3">
        <f>Project_Data_NYSE[[#This Row],[ Total Revenue ]]-Project_Data_NYSE[[#This Row],[ Cost of Goods Sold ]]</f>
        <v>4671000000</v>
      </c>
      <c r="H512" s="3">
        <v>322000000</v>
      </c>
      <c r="I512" s="3">
        <v>0</v>
      </c>
      <c r="J512" s="3">
        <v>1720000000</v>
      </c>
      <c r="K512" s="3">
        <f>Project_Data_NYSE[[#This Row],[Gross Profit]]-Project_Data_NYSE[[#This Row],[ Sales, General and Admin. ]]-Project_Data_NYSE[[#This Row],[ Research and Development ]]-Project_Data_NYSE[[#This Row],[ Other Operating Items ]]</f>
        <v>2629000000</v>
      </c>
      <c r="L512" t="s">
        <v>41</v>
      </c>
      <c r="M512" t="s">
        <v>44</v>
      </c>
      <c r="N512" s="31">
        <f>Project_Data_NYSE[[#This Row],[Gross Profit]]/Project_Data_NYSE[[#This Row],[ Total Revenue ]]</f>
        <v>0.34824424066204429</v>
      </c>
      <c r="O512" s="31">
        <f>Project_Data_NYSE[[#This Row],[Operating Profit]]/Project_Data_NYSE[[#This Row],[ Total Revenue ]]</f>
        <v>0.19600387683590548</v>
      </c>
    </row>
    <row r="513" spans="1:15" x14ac:dyDescent="0.2">
      <c r="A513">
        <v>539</v>
      </c>
      <c r="B513" t="s">
        <v>223</v>
      </c>
      <c r="C513" t="s">
        <v>16</v>
      </c>
      <c r="D513" s="48">
        <v>42369</v>
      </c>
      <c r="E513" s="3">
        <v>11524000000</v>
      </c>
      <c r="F513" s="3">
        <v>7256000000</v>
      </c>
      <c r="G513" s="3">
        <f>Project_Data_NYSE[[#This Row],[ Total Revenue ]]-Project_Data_NYSE[[#This Row],[ Cost of Goods Sold ]]</f>
        <v>4268000000</v>
      </c>
      <c r="H513" s="3">
        <v>336000000</v>
      </c>
      <c r="I513" s="3">
        <v>0</v>
      </c>
      <c r="J513" s="3">
        <v>1919000000</v>
      </c>
      <c r="K513" s="3">
        <f>Project_Data_NYSE[[#This Row],[Gross Profit]]-Project_Data_NYSE[[#This Row],[ Sales, General and Admin. ]]-Project_Data_NYSE[[#This Row],[ Research and Development ]]-Project_Data_NYSE[[#This Row],[ Other Operating Items ]]</f>
        <v>2013000000</v>
      </c>
      <c r="L513" t="s">
        <v>41</v>
      </c>
      <c r="M513" t="s">
        <v>44</v>
      </c>
      <c r="N513" s="31">
        <f>Project_Data_NYSE[[#This Row],[Gross Profit]]/Project_Data_NYSE[[#This Row],[ Total Revenue ]]</f>
        <v>0.37035751475182227</v>
      </c>
      <c r="O513" s="31">
        <f>Project_Data_NYSE[[#This Row],[Operating Profit]]/Project_Data_NYSE[[#This Row],[ Total Revenue ]]</f>
        <v>0.17467893092676154</v>
      </c>
    </row>
    <row r="514" spans="1:15" x14ac:dyDescent="0.2">
      <c r="A514">
        <v>540</v>
      </c>
      <c r="B514" t="s">
        <v>224</v>
      </c>
      <c r="C514" t="s">
        <v>11</v>
      </c>
      <c r="D514" s="48">
        <v>41455</v>
      </c>
      <c r="E514" s="3">
        <v>10181700000</v>
      </c>
      <c r="F514" s="3">
        <v>2025900000</v>
      </c>
      <c r="G514" s="3">
        <f>Project_Data_NYSE[[#This Row],[ Total Revenue ]]-Project_Data_NYSE[[#This Row],[ Cost of Goods Sold ]]</f>
        <v>8155800000</v>
      </c>
      <c r="H514" s="3">
        <v>6597000000</v>
      </c>
      <c r="I514" s="3">
        <v>0</v>
      </c>
      <c r="J514" s="3">
        <v>0</v>
      </c>
      <c r="K514" s="3">
        <f>Project_Data_NYSE[[#This Row],[Gross Profit]]-Project_Data_NYSE[[#This Row],[ Sales, General and Admin. ]]-Project_Data_NYSE[[#This Row],[ Research and Development ]]-Project_Data_NYSE[[#This Row],[ Other Operating Items ]]</f>
        <v>1558800000</v>
      </c>
      <c r="L514" t="s">
        <v>35</v>
      </c>
      <c r="M514" t="s">
        <v>169</v>
      </c>
      <c r="N514" s="31">
        <f>Project_Data_NYSE[[#This Row],[Gross Profit]]/Project_Data_NYSE[[#This Row],[ Total Revenue ]]</f>
        <v>0.80102536904446209</v>
      </c>
      <c r="O514" s="31">
        <f>Project_Data_NYSE[[#This Row],[Operating Profit]]/Project_Data_NYSE[[#This Row],[ Total Revenue ]]</f>
        <v>0.1530982056041722</v>
      </c>
    </row>
    <row r="515" spans="1:15" x14ac:dyDescent="0.2">
      <c r="A515">
        <v>541</v>
      </c>
      <c r="B515" t="s">
        <v>224</v>
      </c>
      <c r="C515" t="s">
        <v>14</v>
      </c>
      <c r="D515" s="48">
        <v>41820</v>
      </c>
      <c r="E515" s="3">
        <v>10968800000</v>
      </c>
      <c r="F515" s="3">
        <v>2158200000</v>
      </c>
      <c r="G515" s="3">
        <f>Project_Data_NYSE[[#This Row],[ Total Revenue ]]-Project_Data_NYSE[[#This Row],[ Cost of Goods Sold ]]</f>
        <v>8810600000</v>
      </c>
      <c r="H515" s="3">
        <v>6985900000</v>
      </c>
      <c r="I515" s="3">
        <v>0</v>
      </c>
      <c r="J515" s="3">
        <v>0</v>
      </c>
      <c r="K515" s="3">
        <f>Project_Data_NYSE[[#This Row],[Gross Profit]]-Project_Data_NYSE[[#This Row],[ Sales, General and Admin. ]]-Project_Data_NYSE[[#This Row],[ Research and Development ]]-Project_Data_NYSE[[#This Row],[ Other Operating Items ]]</f>
        <v>1824700000</v>
      </c>
      <c r="L515" t="s">
        <v>35</v>
      </c>
      <c r="M515" t="s">
        <v>169</v>
      </c>
      <c r="N515" s="31">
        <f>Project_Data_NYSE[[#This Row],[Gross Profit]]/Project_Data_NYSE[[#This Row],[ Total Revenue ]]</f>
        <v>0.80324192254394278</v>
      </c>
      <c r="O515" s="31">
        <f>Project_Data_NYSE[[#This Row],[Operating Profit]]/Project_Data_NYSE[[#This Row],[ Total Revenue ]]</f>
        <v>0.16635365764714463</v>
      </c>
    </row>
    <row r="516" spans="1:15" x14ac:dyDescent="0.2">
      <c r="A516">
        <v>542</v>
      </c>
      <c r="B516" t="s">
        <v>224</v>
      </c>
      <c r="C516" t="s">
        <v>15</v>
      </c>
      <c r="D516" s="48">
        <v>42185</v>
      </c>
      <c r="E516" s="3">
        <v>10780400000</v>
      </c>
      <c r="F516" s="3">
        <v>2100600000</v>
      </c>
      <c r="G516" s="3">
        <f>Project_Data_NYSE[[#This Row],[ Total Revenue ]]-Project_Data_NYSE[[#This Row],[ Cost of Goods Sold ]]</f>
        <v>8679800000</v>
      </c>
      <c r="H516" s="3">
        <v>7073500000</v>
      </c>
      <c r="I516" s="3">
        <v>0</v>
      </c>
      <c r="J516" s="3">
        <v>0</v>
      </c>
      <c r="K516" s="3">
        <f>Project_Data_NYSE[[#This Row],[Gross Profit]]-Project_Data_NYSE[[#This Row],[ Sales, General and Admin. ]]-Project_Data_NYSE[[#This Row],[ Research and Development ]]-Project_Data_NYSE[[#This Row],[ Other Operating Items ]]</f>
        <v>1606300000</v>
      </c>
      <c r="L516" t="s">
        <v>35</v>
      </c>
      <c r="M516" t="s">
        <v>169</v>
      </c>
      <c r="N516" s="31">
        <f>Project_Data_NYSE[[#This Row],[Gross Profit]]/Project_Data_NYSE[[#This Row],[ Total Revenue ]]</f>
        <v>0.80514637675781975</v>
      </c>
      <c r="O516" s="31">
        <f>Project_Data_NYSE[[#This Row],[Operating Profit]]/Project_Data_NYSE[[#This Row],[ Total Revenue ]]</f>
        <v>0.1490018923231049</v>
      </c>
    </row>
    <row r="517" spans="1:15" x14ac:dyDescent="0.2">
      <c r="A517">
        <v>543</v>
      </c>
      <c r="B517" t="s">
        <v>224</v>
      </c>
      <c r="C517" t="s">
        <v>16</v>
      </c>
      <c r="D517" s="48">
        <v>42551</v>
      </c>
      <c r="E517" s="3">
        <v>11262300000</v>
      </c>
      <c r="F517" s="3">
        <v>2181100000</v>
      </c>
      <c r="G517" s="3">
        <f>Project_Data_NYSE[[#This Row],[ Total Revenue ]]-Project_Data_NYSE[[#This Row],[ Cost of Goods Sold ]]</f>
        <v>9081200000</v>
      </c>
      <c r="H517" s="3">
        <v>7337800000</v>
      </c>
      <c r="I517" s="3">
        <v>0</v>
      </c>
      <c r="J517" s="3">
        <v>0</v>
      </c>
      <c r="K517" s="3">
        <f>Project_Data_NYSE[[#This Row],[Gross Profit]]-Project_Data_NYSE[[#This Row],[ Sales, General and Admin. ]]-Project_Data_NYSE[[#This Row],[ Research and Development ]]-Project_Data_NYSE[[#This Row],[ Other Operating Items ]]</f>
        <v>1743400000</v>
      </c>
      <c r="L517" t="s">
        <v>35</v>
      </c>
      <c r="M517" t="s">
        <v>169</v>
      </c>
      <c r="N517" s="31">
        <f>Project_Data_NYSE[[#This Row],[Gross Profit]]/Project_Data_NYSE[[#This Row],[ Total Revenue ]]</f>
        <v>0.80633618355042935</v>
      </c>
      <c r="O517" s="31">
        <f>Project_Data_NYSE[[#This Row],[Operating Profit]]/Project_Data_NYSE[[#This Row],[ Total Revenue ]]</f>
        <v>0.15479964128108822</v>
      </c>
    </row>
    <row r="518" spans="1:15" x14ac:dyDescent="0.2">
      <c r="A518">
        <v>544</v>
      </c>
      <c r="B518" t="s">
        <v>225</v>
      </c>
      <c r="C518" t="s">
        <v>11</v>
      </c>
      <c r="D518" s="48">
        <v>41274</v>
      </c>
      <c r="E518" s="3">
        <v>8102000000</v>
      </c>
      <c r="F518" s="3">
        <v>6340000000</v>
      </c>
      <c r="G518" s="3">
        <f>Project_Data_NYSE[[#This Row],[ Total Revenue ]]-Project_Data_NYSE[[#This Row],[ Cost of Goods Sold ]]</f>
        <v>1762000000</v>
      </c>
      <c r="H518" s="3">
        <v>644000000</v>
      </c>
      <c r="I518" s="3">
        <v>198000000</v>
      </c>
      <c r="J518" s="3">
        <v>0</v>
      </c>
      <c r="K518" s="3">
        <f>Project_Data_NYSE[[#This Row],[Gross Profit]]-Project_Data_NYSE[[#This Row],[ Sales, General and Admin. ]]-Project_Data_NYSE[[#This Row],[ Research and Development ]]-Project_Data_NYSE[[#This Row],[ Other Operating Items ]]</f>
        <v>920000000</v>
      </c>
      <c r="L518" t="s">
        <v>58</v>
      </c>
      <c r="M518" t="s">
        <v>192</v>
      </c>
      <c r="N518" s="31">
        <f>Project_Data_NYSE[[#This Row],[Gross Profit]]/Project_Data_NYSE[[#This Row],[ Total Revenue ]]</f>
        <v>0.21747716613181931</v>
      </c>
      <c r="O518" s="31">
        <f>Project_Data_NYSE[[#This Row],[Operating Profit]]/Project_Data_NYSE[[#This Row],[ Total Revenue ]]</f>
        <v>0.11355220933102937</v>
      </c>
    </row>
    <row r="519" spans="1:15" x14ac:dyDescent="0.2">
      <c r="A519">
        <v>545</v>
      </c>
      <c r="B519" t="s">
        <v>225</v>
      </c>
      <c r="C519" t="s">
        <v>14</v>
      </c>
      <c r="D519" s="48">
        <v>41639</v>
      </c>
      <c r="E519" s="3">
        <v>9350000000</v>
      </c>
      <c r="F519" s="3">
        <v>6574000000</v>
      </c>
      <c r="G519" s="3">
        <f>Project_Data_NYSE[[#This Row],[ Total Revenue ]]-Project_Data_NYSE[[#This Row],[ Cost of Goods Sold ]]</f>
        <v>2776000000</v>
      </c>
      <c r="H519" s="3">
        <v>645000000</v>
      </c>
      <c r="I519" s="3">
        <v>193000000</v>
      </c>
      <c r="J519" s="3">
        <v>0</v>
      </c>
      <c r="K519" s="3">
        <f>Project_Data_NYSE[[#This Row],[Gross Profit]]-Project_Data_NYSE[[#This Row],[ Sales, General and Admin. ]]-Project_Data_NYSE[[#This Row],[ Research and Development ]]-Project_Data_NYSE[[#This Row],[ Other Operating Items ]]</f>
        <v>1938000000</v>
      </c>
      <c r="L519" t="s">
        <v>58</v>
      </c>
      <c r="M519" t="s">
        <v>192</v>
      </c>
      <c r="N519" s="31">
        <f>Project_Data_NYSE[[#This Row],[Gross Profit]]/Project_Data_NYSE[[#This Row],[ Total Revenue ]]</f>
        <v>0.29689839572192511</v>
      </c>
      <c r="O519" s="31">
        <f>Project_Data_NYSE[[#This Row],[Operating Profit]]/Project_Data_NYSE[[#This Row],[ Total Revenue ]]</f>
        <v>0.20727272727272728</v>
      </c>
    </row>
    <row r="520" spans="1:15" x14ac:dyDescent="0.2">
      <c r="A520">
        <v>546</v>
      </c>
      <c r="B520" t="s">
        <v>225</v>
      </c>
      <c r="C520" t="s">
        <v>15</v>
      </c>
      <c r="D520" s="48">
        <v>42004</v>
      </c>
      <c r="E520" s="3">
        <v>9527000000</v>
      </c>
      <c r="F520" s="3">
        <v>7306000000</v>
      </c>
      <c r="G520" s="3">
        <f>Project_Data_NYSE[[#This Row],[ Total Revenue ]]-Project_Data_NYSE[[#This Row],[ Cost of Goods Sold ]]</f>
        <v>2221000000</v>
      </c>
      <c r="H520" s="3">
        <v>755000000</v>
      </c>
      <c r="I520" s="3">
        <v>227000000</v>
      </c>
      <c r="J520" s="3">
        <v>0</v>
      </c>
      <c r="K520" s="3">
        <f>Project_Data_NYSE[[#This Row],[Gross Profit]]-Project_Data_NYSE[[#This Row],[ Sales, General and Admin. ]]-Project_Data_NYSE[[#This Row],[ Research and Development ]]-Project_Data_NYSE[[#This Row],[ Other Operating Items ]]</f>
        <v>1239000000</v>
      </c>
      <c r="L520" t="s">
        <v>58</v>
      </c>
      <c r="M520" t="s">
        <v>192</v>
      </c>
      <c r="N520" s="31">
        <f>Project_Data_NYSE[[#This Row],[Gross Profit]]/Project_Data_NYSE[[#This Row],[ Total Revenue ]]</f>
        <v>0.23312690248766663</v>
      </c>
      <c r="O520" s="31">
        <f>Project_Data_NYSE[[#This Row],[Operating Profit]]/Project_Data_NYSE[[#This Row],[ Total Revenue ]]</f>
        <v>0.13005143277002204</v>
      </c>
    </row>
    <row r="521" spans="1:15" x14ac:dyDescent="0.2">
      <c r="A521">
        <v>547</v>
      </c>
      <c r="B521" t="s">
        <v>225</v>
      </c>
      <c r="C521" t="s">
        <v>16</v>
      </c>
      <c r="D521" s="48">
        <v>42369</v>
      </c>
      <c r="E521" s="3">
        <v>9648000000</v>
      </c>
      <c r="F521" s="3">
        <v>7068000000</v>
      </c>
      <c r="G521" s="3">
        <f>Project_Data_NYSE[[#This Row],[ Total Revenue ]]-Project_Data_NYSE[[#This Row],[ Cost of Goods Sold ]]</f>
        <v>2580000000</v>
      </c>
      <c r="H521" s="3">
        <v>762000000</v>
      </c>
      <c r="I521" s="3">
        <v>251000000</v>
      </c>
      <c r="J521" s="3">
        <v>0</v>
      </c>
      <c r="K521" s="3">
        <f>Project_Data_NYSE[[#This Row],[Gross Profit]]-Project_Data_NYSE[[#This Row],[ Sales, General and Admin. ]]-Project_Data_NYSE[[#This Row],[ Research and Development ]]-Project_Data_NYSE[[#This Row],[ Other Operating Items ]]</f>
        <v>1567000000</v>
      </c>
      <c r="L521" t="s">
        <v>58</v>
      </c>
      <c r="M521" t="s">
        <v>192</v>
      </c>
      <c r="N521" s="31">
        <f>Project_Data_NYSE[[#This Row],[Gross Profit]]/Project_Data_NYSE[[#This Row],[ Total Revenue ]]</f>
        <v>0.26741293532338306</v>
      </c>
      <c r="O521" s="31">
        <f>Project_Data_NYSE[[#This Row],[Operating Profit]]/Project_Data_NYSE[[#This Row],[ Total Revenue ]]</f>
        <v>0.16241708126036483</v>
      </c>
    </row>
    <row r="522" spans="1:15" x14ac:dyDescent="0.2">
      <c r="A522">
        <v>548</v>
      </c>
      <c r="B522" t="s">
        <v>226</v>
      </c>
      <c r="C522" t="s">
        <v>11</v>
      </c>
      <c r="D522" s="48">
        <v>41547</v>
      </c>
      <c r="E522" s="3">
        <v>24669000000</v>
      </c>
      <c r="F522" s="3">
        <v>14717000000</v>
      </c>
      <c r="G522" s="3">
        <f>Project_Data_NYSE[[#This Row],[ Total Revenue ]]-Project_Data_NYSE[[#This Row],[ Cost of Goods Sold ]]</f>
        <v>9952000000</v>
      </c>
      <c r="H522" s="3">
        <v>6010000000</v>
      </c>
      <c r="I522" s="3">
        <v>0</v>
      </c>
      <c r="J522" s="3">
        <v>0</v>
      </c>
      <c r="K522" s="3">
        <f>Project_Data_NYSE[[#This Row],[Gross Profit]]-Project_Data_NYSE[[#This Row],[ Sales, General and Admin. ]]-Project_Data_NYSE[[#This Row],[ Research and Development ]]-Project_Data_NYSE[[#This Row],[ Other Operating Items ]]</f>
        <v>3942000000</v>
      </c>
      <c r="L522" t="s">
        <v>12</v>
      </c>
      <c r="M522" t="s">
        <v>163</v>
      </c>
      <c r="N522" s="31">
        <f>Project_Data_NYSE[[#This Row],[Gross Profit]]/Project_Data_NYSE[[#This Row],[ Total Revenue ]]</f>
        <v>0.40342129798532572</v>
      </c>
      <c r="O522" s="31">
        <f>Project_Data_NYSE[[#This Row],[Operating Profit]]/Project_Data_NYSE[[#This Row],[ Total Revenue ]]</f>
        <v>0.15979569500182414</v>
      </c>
    </row>
    <row r="523" spans="1:15" x14ac:dyDescent="0.2">
      <c r="A523">
        <v>549</v>
      </c>
      <c r="B523" t="s">
        <v>226</v>
      </c>
      <c r="C523" t="s">
        <v>14</v>
      </c>
      <c r="D523" s="48">
        <v>41912</v>
      </c>
      <c r="E523" s="3">
        <v>17733000000</v>
      </c>
      <c r="F523" s="3">
        <v>9971000000</v>
      </c>
      <c r="G523" s="3">
        <f>Project_Data_NYSE[[#This Row],[ Total Revenue ]]-Project_Data_NYSE[[#This Row],[ Cost of Goods Sold ]]</f>
        <v>7762000000</v>
      </c>
      <c r="H523" s="3">
        <v>4375000000</v>
      </c>
      <c r="I523" s="3">
        <v>0</v>
      </c>
      <c r="J523" s="3">
        <v>0</v>
      </c>
      <c r="K523" s="3">
        <f>Project_Data_NYSE[[#This Row],[Gross Profit]]-Project_Data_NYSE[[#This Row],[ Sales, General and Admin. ]]-Project_Data_NYSE[[#This Row],[ Research and Development ]]-Project_Data_NYSE[[#This Row],[ Other Operating Items ]]</f>
        <v>3387000000</v>
      </c>
      <c r="L523" t="s">
        <v>12</v>
      </c>
      <c r="M523" t="s">
        <v>163</v>
      </c>
      <c r="N523" s="31">
        <f>Project_Data_NYSE[[#This Row],[Gross Profit]]/Project_Data_NYSE[[#This Row],[ Total Revenue ]]</f>
        <v>0.43771499464275643</v>
      </c>
      <c r="O523" s="31">
        <f>Project_Data_NYSE[[#This Row],[Operating Profit]]/Project_Data_NYSE[[#This Row],[ Total Revenue ]]</f>
        <v>0.19099983082388766</v>
      </c>
    </row>
    <row r="524" spans="1:15" x14ac:dyDescent="0.2">
      <c r="A524">
        <v>550</v>
      </c>
      <c r="B524" t="s">
        <v>226</v>
      </c>
      <c r="C524" t="s">
        <v>15</v>
      </c>
      <c r="D524" s="48">
        <v>42277</v>
      </c>
      <c r="E524" s="3">
        <v>16249000000</v>
      </c>
      <c r="F524" s="3">
        <v>9241000000</v>
      </c>
      <c r="G524" s="3">
        <f>Project_Data_NYSE[[#This Row],[ Total Revenue ]]-Project_Data_NYSE[[#This Row],[ Cost of Goods Sold ]]</f>
        <v>7008000000</v>
      </c>
      <c r="H524" s="3">
        <v>4065000000</v>
      </c>
      <c r="I524" s="3">
        <v>0</v>
      </c>
      <c r="J524" s="3">
        <v>0</v>
      </c>
      <c r="K524" s="3">
        <f>Project_Data_NYSE[[#This Row],[Gross Profit]]-Project_Data_NYSE[[#This Row],[ Sales, General and Admin. ]]-Project_Data_NYSE[[#This Row],[ Research and Development ]]-Project_Data_NYSE[[#This Row],[ Other Operating Items ]]</f>
        <v>2943000000</v>
      </c>
      <c r="L524" t="s">
        <v>12</v>
      </c>
      <c r="M524" t="s">
        <v>163</v>
      </c>
      <c r="N524" s="31">
        <f>Project_Data_NYSE[[#This Row],[Gross Profit]]/Project_Data_NYSE[[#This Row],[ Total Revenue ]]</f>
        <v>0.43128807926641638</v>
      </c>
      <c r="O524" s="31">
        <f>Project_Data_NYSE[[#This Row],[Operating Profit]]/Project_Data_NYSE[[#This Row],[ Total Revenue ]]</f>
        <v>0.18111883808234353</v>
      </c>
    </row>
    <row r="525" spans="1:15" x14ac:dyDescent="0.2">
      <c r="A525">
        <v>551</v>
      </c>
      <c r="B525" t="s">
        <v>226</v>
      </c>
      <c r="C525" t="s">
        <v>16</v>
      </c>
      <c r="D525" s="48">
        <v>42643</v>
      </c>
      <c r="E525" s="3">
        <v>14522000000</v>
      </c>
      <c r="F525" s="3">
        <v>8260000000</v>
      </c>
      <c r="G525" s="3">
        <f>Project_Data_NYSE[[#This Row],[ Total Revenue ]]-Project_Data_NYSE[[#This Row],[ Cost of Goods Sold ]]</f>
        <v>6262000000</v>
      </c>
      <c r="H525" s="3">
        <v>3758000000</v>
      </c>
      <c r="I525" s="3">
        <v>0</v>
      </c>
      <c r="J525" s="3">
        <v>0</v>
      </c>
      <c r="K525" s="3">
        <f>Project_Data_NYSE[[#This Row],[Gross Profit]]-Project_Data_NYSE[[#This Row],[ Sales, General and Admin. ]]-Project_Data_NYSE[[#This Row],[ Research and Development ]]-Project_Data_NYSE[[#This Row],[ Other Operating Items ]]</f>
        <v>2504000000</v>
      </c>
      <c r="L525" t="s">
        <v>12</v>
      </c>
      <c r="M525" t="s">
        <v>163</v>
      </c>
      <c r="N525" s="31">
        <f>Project_Data_NYSE[[#This Row],[Gross Profit]]/Project_Data_NYSE[[#This Row],[ Total Revenue ]]</f>
        <v>0.43120782261396501</v>
      </c>
      <c r="O525" s="31">
        <f>Project_Data_NYSE[[#This Row],[Operating Profit]]/Project_Data_NYSE[[#This Row],[ Total Revenue ]]</f>
        <v>0.17242804021484645</v>
      </c>
    </row>
    <row r="526" spans="1:15" x14ac:dyDescent="0.2">
      <c r="A526">
        <v>552</v>
      </c>
      <c r="B526" t="s">
        <v>227</v>
      </c>
      <c r="C526" t="s">
        <v>11</v>
      </c>
      <c r="D526" s="48">
        <v>41274</v>
      </c>
      <c r="E526" s="3">
        <v>11682636000</v>
      </c>
      <c r="F526" s="3">
        <v>1699428000</v>
      </c>
      <c r="G526" s="3">
        <f>Project_Data_NYSE[[#This Row],[ Total Revenue ]]-Project_Data_NYSE[[#This Row],[ Cost of Goods Sold ]]</f>
        <v>9983208000</v>
      </c>
      <c r="H526" s="3">
        <v>3862434000</v>
      </c>
      <c r="I526" s="3">
        <v>0</v>
      </c>
      <c r="J526" s="3">
        <v>3169703000</v>
      </c>
      <c r="K526" s="3">
        <f>Project_Data_NYSE[[#This Row],[Gross Profit]]-Project_Data_NYSE[[#This Row],[ Sales, General and Admin. ]]-Project_Data_NYSE[[#This Row],[ Research and Development ]]-Project_Data_NYSE[[#This Row],[ Other Operating Items ]]</f>
        <v>2951071000</v>
      </c>
      <c r="L526" t="s">
        <v>82</v>
      </c>
      <c r="M526" t="s">
        <v>83</v>
      </c>
      <c r="N526" s="31">
        <f>Project_Data_NYSE[[#This Row],[Gross Profit]]/Project_Data_NYSE[[#This Row],[ Total Revenue ]]</f>
        <v>0.85453385691379924</v>
      </c>
      <c r="O526" s="31">
        <f>Project_Data_NYSE[[#This Row],[Operating Profit]]/Project_Data_NYSE[[#This Row],[ Total Revenue ]]</f>
        <v>0.25260317962487233</v>
      </c>
    </row>
    <row r="527" spans="1:15" x14ac:dyDescent="0.2">
      <c r="A527">
        <v>553</v>
      </c>
      <c r="B527" t="s">
        <v>227</v>
      </c>
      <c r="C527" t="s">
        <v>14</v>
      </c>
      <c r="D527" s="48">
        <v>41639</v>
      </c>
      <c r="E527" s="3">
        <v>14487118000</v>
      </c>
      <c r="F527" s="3">
        <v>2066893000</v>
      </c>
      <c r="G527" s="3">
        <f>Project_Data_NYSE[[#This Row],[ Total Revenue ]]-Project_Data_NYSE[[#This Row],[ Cost of Goods Sold ]]</f>
        <v>12420225000</v>
      </c>
      <c r="H527" s="3">
        <v>4621096000</v>
      </c>
      <c r="I527" s="3">
        <v>0</v>
      </c>
      <c r="J527" s="3">
        <v>3600976000</v>
      </c>
      <c r="K527" s="3">
        <f>Project_Data_NYSE[[#This Row],[Gross Profit]]-Project_Data_NYSE[[#This Row],[ Sales, General and Admin. ]]-Project_Data_NYSE[[#This Row],[ Research and Development ]]-Project_Data_NYSE[[#This Row],[ Other Operating Items ]]</f>
        <v>4198153000</v>
      </c>
      <c r="L527" t="s">
        <v>82</v>
      </c>
      <c r="M527" t="s">
        <v>83</v>
      </c>
      <c r="N527" s="31">
        <f>Project_Data_NYSE[[#This Row],[Gross Profit]]/Project_Data_NYSE[[#This Row],[ Total Revenue ]]</f>
        <v>0.85732890420303054</v>
      </c>
      <c r="O527" s="31">
        <f>Project_Data_NYSE[[#This Row],[Operating Profit]]/Project_Data_NYSE[[#This Row],[ Total Revenue ]]</f>
        <v>0.28978524230975411</v>
      </c>
    </row>
    <row r="528" spans="1:15" x14ac:dyDescent="0.2">
      <c r="A528">
        <v>554</v>
      </c>
      <c r="B528" t="s">
        <v>227</v>
      </c>
      <c r="C528" t="s">
        <v>15</v>
      </c>
      <c r="D528" s="48">
        <v>42004</v>
      </c>
      <c r="E528" s="3">
        <v>18035340000</v>
      </c>
      <c r="F528" s="3">
        <v>2534389000</v>
      </c>
      <c r="G528" s="3">
        <f>Project_Data_NYSE[[#This Row],[ Total Revenue ]]-Project_Data_NYSE[[#This Row],[ Cost of Goods Sold ]]</f>
        <v>15500951000</v>
      </c>
      <c r="H528" s="3">
        <v>5285634000</v>
      </c>
      <c r="I528" s="3">
        <v>0</v>
      </c>
      <c r="J528" s="3">
        <v>3997041000</v>
      </c>
      <c r="K528" s="3">
        <f>Project_Data_NYSE[[#This Row],[Gross Profit]]-Project_Data_NYSE[[#This Row],[ Sales, General and Admin. ]]-Project_Data_NYSE[[#This Row],[ Research and Development ]]-Project_Data_NYSE[[#This Row],[ Other Operating Items ]]</f>
        <v>6218276000</v>
      </c>
      <c r="L528" t="s">
        <v>82</v>
      </c>
      <c r="M528" t="s">
        <v>83</v>
      </c>
      <c r="N528" s="31">
        <f>Project_Data_NYSE[[#This Row],[Gross Profit]]/Project_Data_NYSE[[#This Row],[ Total Revenue ]]</f>
        <v>0.85947650557183841</v>
      </c>
      <c r="O528" s="31">
        <f>Project_Data_NYSE[[#This Row],[Operating Profit]]/Project_Data_NYSE[[#This Row],[ Total Revenue ]]</f>
        <v>0.34478285410754661</v>
      </c>
    </row>
    <row r="529" spans="1:15" x14ac:dyDescent="0.2">
      <c r="A529">
        <v>555</v>
      </c>
      <c r="B529" t="s">
        <v>227</v>
      </c>
      <c r="C529" t="s">
        <v>16</v>
      </c>
      <c r="D529" s="48">
        <v>42369</v>
      </c>
      <c r="E529" s="3">
        <v>8757428000</v>
      </c>
      <c r="F529" s="3">
        <v>2177757000</v>
      </c>
      <c r="G529" s="3">
        <f>Project_Data_NYSE[[#This Row],[ Total Revenue ]]-Project_Data_NYSE[[#This Row],[ Cost of Goods Sold ]]</f>
        <v>6579671000</v>
      </c>
      <c r="H529" s="3">
        <v>3174320000</v>
      </c>
      <c r="I529" s="3">
        <v>0</v>
      </c>
      <c r="J529" s="3">
        <v>3313644000</v>
      </c>
      <c r="K529" s="3">
        <f>Project_Data_NYSE[[#This Row],[Gross Profit]]-Project_Data_NYSE[[#This Row],[ Sales, General and Admin. ]]-Project_Data_NYSE[[#This Row],[ Research and Development ]]-Project_Data_NYSE[[#This Row],[ Other Operating Items ]]</f>
        <v>91707000</v>
      </c>
      <c r="L529" t="s">
        <v>82</v>
      </c>
      <c r="M529" t="s">
        <v>83</v>
      </c>
      <c r="N529" s="31">
        <f>Project_Data_NYSE[[#This Row],[Gross Profit]]/Project_Data_NYSE[[#This Row],[ Total Revenue ]]</f>
        <v>0.75132458982249128</v>
      </c>
      <c r="O529" s="31">
        <f>Project_Data_NYSE[[#This Row],[Operating Profit]]/Project_Data_NYSE[[#This Row],[ Total Revenue ]]</f>
        <v>1.0471910245793628E-2</v>
      </c>
    </row>
    <row r="530" spans="1:15" x14ac:dyDescent="0.2">
      <c r="A530">
        <v>556</v>
      </c>
      <c r="B530" t="s">
        <v>228</v>
      </c>
      <c r="C530" t="s">
        <v>11</v>
      </c>
      <c r="D530" s="48">
        <v>41274</v>
      </c>
      <c r="E530" s="3">
        <v>1887376000</v>
      </c>
      <c r="F530" s="3">
        <v>944617000</v>
      </c>
      <c r="G530" s="3">
        <f>Project_Data_NYSE[[#This Row],[ Total Revenue ]]-Project_Data_NYSE[[#This Row],[ Cost of Goods Sold ]]</f>
        <v>942759000</v>
      </c>
      <c r="H530" s="3">
        <v>531180000</v>
      </c>
      <c r="I530" s="3">
        <v>0</v>
      </c>
      <c r="J530" s="3">
        <v>0</v>
      </c>
      <c r="K530" s="3">
        <f>Project_Data_NYSE[[#This Row],[Gross Profit]]-Project_Data_NYSE[[#This Row],[ Sales, General and Admin. ]]-Project_Data_NYSE[[#This Row],[ Research and Development ]]-Project_Data_NYSE[[#This Row],[ Other Operating Items ]]</f>
        <v>411579000</v>
      </c>
      <c r="L530" t="s">
        <v>51</v>
      </c>
      <c r="M530" t="s">
        <v>52</v>
      </c>
      <c r="N530" s="31">
        <f>Project_Data_NYSE[[#This Row],[Gross Profit]]/Project_Data_NYSE[[#This Row],[ Total Revenue ]]</f>
        <v>0.49950778223311093</v>
      </c>
      <c r="O530" s="31">
        <f>Project_Data_NYSE[[#This Row],[Operating Profit]]/Project_Data_NYSE[[#This Row],[ Total Revenue ]]</f>
        <v>0.21806942548808506</v>
      </c>
    </row>
    <row r="531" spans="1:15" x14ac:dyDescent="0.2">
      <c r="A531">
        <v>557</v>
      </c>
      <c r="B531" t="s">
        <v>228</v>
      </c>
      <c r="C531" t="s">
        <v>14</v>
      </c>
      <c r="D531" s="48">
        <v>41639</v>
      </c>
      <c r="E531" s="3">
        <v>2152766000</v>
      </c>
      <c r="F531" s="3">
        <v>1064403000</v>
      </c>
      <c r="G531" s="3">
        <f>Project_Data_NYSE[[#This Row],[ Total Revenue ]]-Project_Data_NYSE[[#This Row],[ Cost of Goods Sold ]]</f>
        <v>1088363000</v>
      </c>
      <c r="H531" s="3">
        <v>621413000</v>
      </c>
      <c r="I531" s="3">
        <v>0</v>
      </c>
      <c r="J531" s="3">
        <v>0</v>
      </c>
      <c r="K531" s="3">
        <f>Project_Data_NYSE[[#This Row],[Gross Profit]]-Project_Data_NYSE[[#This Row],[ Sales, General and Admin. ]]-Project_Data_NYSE[[#This Row],[ Research and Development ]]-Project_Data_NYSE[[#This Row],[ Other Operating Items ]]</f>
        <v>466950000</v>
      </c>
      <c r="L531" t="s">
        <v>51</v>
      </c>
      <c r="M531" t="s">
        <v>52</v>
      </c>
      <c r="N531" s="31">
        <f>Project_Data_NYSE[[#This Row],[Gross Profit]]/Project_Data_NYSE[[#This Row],[ Total Revenue ]]</f>
        <v>0.505564933671379</v>
      </c>
      <c r="O531" s="31">
        <f>Project_Data_NYSE[[#This Row],[Operating Profit]]/Project_Data_NYSE[[#This Row],[ Total Revenue ]]</f>
        <v>0.2169069931427754</v>
      </c>
    </row>
    <row r="532" spans="1:15" x14ac:dyDescent="0.2">
      <c r="A532">
        <v>558</v>
      </c>
      <c r="B532" t="s">
        <v>228</v>
      </c>
      <c r="C532" t="s">
        <v>15</v>
      </c>
      <c r="D532" s="48">
        <v>42004</v>
      </c>
      <c r="E532" s="3">
        <v>2443776000</v>
      </c>
      <c r="F532" s="3">
        <v>1197885000</v>
      </c>
      <c r="G532" s="3">
        <f>Project_Data_NYSE[[#This Row],[ Total Revenue ]]-Project_Data_NYSE[[#This Row],[ Cost of Goods Sold ]]</f>
        <v>1245891000</v>
      </c>
      <c r="H532" s="3">
        <v>734119000</v>
      </c>
      <c r="I532" s="3">
        <v>0</v>
      </c>
      <c r="J532" s="3">
        <v>0</v>
      </c>
      <c r="K532" s="3">
        <f>Project_Data_NYSE[[#This Row],[Gross Profit]]-Project_Data_NYSE[[#This Row],[ Sales, General and Admin. ]]-Project_Data_NYSE[[#This Row],[ Research and Development ]]-Project_Data_NYSE[[#This Row],[ Other Operating Items ]]</f>
        <v>511772000</v>
      </c>
      <c r="L532" t="s">
        <v>51</v>
      </c>
      <c r="M532" t="s">
        <v>52</v>
      </c>
      <c r="N532" s="31">
        <f>Project_Data_NYSE[[#This Row],[Gross Profit]]/Project_Data_NYSE[[#This Row],[ Total Revenue ]]</f>
        <v>0.50982209498742925</v>
      </c>
      <c r="O532" s="31">
        <f>Project_Data_NYSE[[#This Row],[Operating Profit]]/Project_Data_NYSE[[#This Row],[ Total Revenue ]]</f>
        <v>0.20941853917871359</v>
      </c>
    </row>
    <row r="533" spans="1:15" x14ac:dyDescent="0.2">
      <c r="A533">
        <v>559</v>
      </c>
      <c r="B533" t="s">
        <v>228</v>
      </c>
      <c r="C533" t="s">
        <v>16</v>
      </c>
      <c r="D533" s="48">
        <v>42369</v>
      </c>
      <c r="E533" s="3">
        <v>2725867000</v>
      </c>
      <c r="F533" s="3">
        <v>1291506000</v>
      </c>
      <c r="G533" s="3">
        <f>Project_Data_NYSE[[#This Row],[ Total Revenue ]]-Project_Data_NYSE[[#This Row],[ Cost of Goods Sold ]]</f>
        <v>1434361000</v>
      </c>
      <c r="H533" s="3">
        <v>825296000</v>
      </c>
      <c r="I533" s="3">
        <v>0</v>
      </c>
      <c r="J533" s="3">
        <v>0</v>
      </c>
      <c r="K533" s="3">
        <f>Project_Data_NYSE[[#This Row],[Gross Profit]]-Project_Data_NYSE[[#This Row],[ Sales, General and Admin. ]]-Project_Data_NYSE[[#This Row],[ Research and Development ]]-Project_Data_NYSE[[#This Row],[ Other Operating Items ]]</f>
        <v>609065000</v>
      </c>
      <c r="L533" t="s">
        <v>51</v>
      </c>
      <c r="M533" t="s">
        <v>52</v>
      </c>
      <c r="N533" s="31">
        <f>Project_Data_NYSE[[#This Row],[Gross Profit]]/Project_Data_NYSE[[#This Row],[ Total Revenue ]]</f>
        <v>0.52620358953683355</v>
      </c>
      <c r="O533" s="31">
        <f>Project_Data_NYSE[[#This Row],[Operating Profit]]/Project_Data_NYSE[[#This Row],[ Total Revenue ]]</f>
        <v>0.22343900124254046</v>
      </c>
    </row>
    <row r="534" spans="1:15" x14ac:dyDescent="0.2">
      <c r="A534">
        <v>560</v>
      </c>
      <c r="B534" t="s">
        <v>229</v>
      </c>
      <c r="C534" t="s">
        <v>11</v>
      </c>
      <c r="D534" s="48">
        <v>41274</v>
      </c>
      <c r="E534" s="3">
        <v>1747502000</v>
      </c>
      <c r="F534" s="3">
        <v>625507000</v>
      </c>
      <c r="G534" s="3">
        <f>Project_Data_NYSE[[#This Row],[ Total Revenue ]]-Project_Data_NYSE[[#This Row],[ Cost of Goods Sold ]]</f>
        <v>1121995000</v>
      </c>
      <c r="H534" s="3">
        <v>47233000</v>
      </c>
      <c r="I534" s="3">
        <v>0</v>
      </c>
      <c r="J534" s="3">
        <v>560669000</v>
      </c>
      <c r="K534" s="3">
        <f>Project_Data_NYSE[[#This Row],[Gross Profit]]-Project_Data_NYSE[[#This Row],[ Sales, General and Admin. ]]-Project_Data_NYSE[[#This Row],[ Research and Development ]]-Project_Data_NYSE[[#This Row],[ Other Operating Items ]]</f>
        <v>514093000</v>
      </c>
      <c r="L534" t="s">
        <v>51</v>
      </c>
      <c r="M534" t="s">
        <v>52</v>
      </c>
      <c r="N534" s="31">
        <f>Project_Data_NYSE[[#This Row],[Gross Profit]]/Project_Data_NYSE[[#This Row],[ Total Revenue ]]</f>
        <v>0.64205648977798024</v>
      </c>
      <c r="O534" s="31">
        <f>Project_Data_NYSE[[#This Row],[Operating Profit]]/Project_Data_NYSE[[#This Row],[ Total Revenue ]]</f>
        <v>0.29418736001446638</v>
      </c>
    </row>
    <row r="535" spans="1:15" x14ac:dyDescent="0.2">
      <c r="A535">
        <v>561</v>
      </c>
      <c r="B535" t="s">
        <v>229</v>
      </c>
      <c r="C535" t="s">
        <v>14</v>
      </c>
      <c r="D535" s="48">
        <v>41639</v>
      </c>
      <c r="E535" s="3">
        <v>2387702000</v>
      </c>
      <c r="F535" s="3">
        <v>834228000</v>
      </c>
      <c r="G535" s="3">
        <f>Project_Data_NYSE[[#This Row],[ Total Revenue ]]-Project_Data_NYSE[[#This Row],[ Cost of Goods Sold ]]</f>
        <v>1553474000</v>
      </c>
      <c r="H535" s="3">
        <v>62179000</v>
      </c>
      <c r="I535" s="3">
        <v>0</v>
      </c>
      <c r="J535" s="3">
        <v>978973000</v>
      </c>
      <c r="K535" s="3">
        <f>Project_Data_NYSE[[#This Row],[Gross Profit]]-Project_Data_NYSE[[#This Row],[ Sales, General and Admin. ]]-Project_Data_NYSE[[#This Row],[ Research and Development ]]-Project_Data_NYSE[[#This Row],[ Other Operating Items ]]</f>
        <v>512322000</v>
      </c>
      <c r="L535" t="s">
        <v>51</v>
      </c>
      <c r="M535" t="s">
        <v>52</v>
      </c>
      <c r="N535" s="31">
        <f>Project_Data_NYSE[[#This Row],[Gross Profit]]/Project_Data_NYSE[[#This Row],[ Total Revenue ]]</f>
        <v>0.65061469144809525</v>
      </c>
      <c r="O535" s="31">
        <f>Project_Data_NYSE[[#This Row],[Operating Profit]]/Project_Data_NYSE[[#This Row],[ Total Revenue ]]</f>
        <v>0.21456697695106006</v>
      </c>
    </row>
    <row r="536" spans="1:15" x14ac:dyDescent="0.2">
      <c r="A536">
        <v>562</v>
      </c>
      <c r="B536" t="s">
        <v>229</v>
      </c>
      <c r="C536" t="s">
        <v>15</v>
      </c>
      <c r="D536" s="48">
        <v>42004</v>
      </c>
      <c r="E536" s="3">
        <v>2614748000</v>
      </c>
      <c r="F536" s="3">
        <v>883564000</v>
      </c>
      <c r="G536" s="3">
        <f>Project_Data_NYSE[[#This Row],[ Total Revenue ]]-Project_Data_NYSE[[#This Row],[ Cost of Goods Sold ]]</f>
        <v>1731184000</v>
      </c>
      <c r="H536" s="3">
        <v>50948000</v>
      </c>
      <c r="I536" s="3">
        <v>0</v>
      </c>
      <c r="J536" s="3">
        <v>758861000</v>
      </c>
      <c r="K536" s="3">
        <f>Project_Data_NYSE[[#This Row],[Gross Profit]]-Project_Data_NYSE[[#This Row],[ Sales, General and Admin. ]]-Project_Data_NYSE[[#This Row],[ Research and Development ]]-Project_Data_NYSE[[#This Row],[ Other Operating Items ]]</f>
        <v>921375000</v>
      </c>
      <c r="L536" t="s">
        <v>51</v>
      </c>
      <c r="M536" t="s">
        <v>52</v>
      </c>
      <c r="N536" s="31">
        <f>Project_Data_NYSE[[#This Row],[Gross Profit]]/Project_Data_NYSE[[#This Row],[ Total Revenue ]]</f>
        <v>0.66208445326280008</v>
      </c>
      <c r="O536" s="31">
        <f>Project_Data_NYSE[[#This Row],[Operating Profit]]/Project_Data_NYSE[[#This Row],[ Total Revenue ]]</f>
        <v>0.35237621369248584</v>
      </c>
    </row>
    <row r="537" spans="1:15" x14ac:dyDescent="0.2">
      <c r="A537">
        <v>563</v>
      </c>
      <c r="B537" t="s">
        <v>229</v>
      </c>
      <c r="C537" t="s">
        <v>16</v>
      </c>
      <c r="D537" s="48">
        <v>42369</v>
      </c>
      <c r="E537" s="3">
        <v>2744965000</v>
      </c>
      <c r="F537" s="3">
        <v>905168000</v>
      </c>
      <c r="G537" s="3">
        <f>Project_Data_NYSE[[#This Row],[ Total Revenue ]]-Project_Data_NYSE[[#This Row],[ Cost of Goods Sold ]]</f>
        <v>1839797000</v>
      </c>
      <c r="H537" s="3">
        <v>65082000</v>
      </c>
      <c r="I537" s="3">
        <v>0</v>
      </c>
      <c r="J537" s="3">
        <v>765895000</v>
      </c>
      <c r="K537" s="3">
        <f>Project_Data_NYSE[[#This Row],[Gross Profit]]-Project_Data_NYSE[[#This Row],[ Sales, General and Admin. ]]-Project_Data_NYSE[[#This Row],[ Research and Development ]]-Project_Data_NYSE[[#This Row],[ Other Operating Items ]]</f>
        <v>1008820000</v>
      </c>
      <c r="L537" t="s">
        <v>51</v>
      </c>
      <c r="M537" t="s">
        <v>52</v>
      </c>
      <c r="N537" s="31">
        <f>Project_Data_NYSE[[#This Row],[Gross Profit]]/Project_Data_NYSE[[#This Row],[ Total Revenue ]]</f>
        <v>0.67024424719440867</v>
      </c>
      <c r="O537" s="31">
        <f>Project_Data_NYSE[[#This Row],[Operating Profit]]/Project_Data_NYSE[[#This Row],[ Total Revenue ]]</f>
        <v>0.36751652571162108</v>
      </c>
    </row>
    <row r="538" spans="1:15" x14ac:dyDescent="0.2">
      <c r="A538">
        <v>564</v>
      </c>
      <c r="B538" t="s">
        <v>230</v>
      </c>
      <c r="C538" t="s">
        <v>11</v>
      </c>
      <c r="D538" s="48">
        <v>41639</v>
      </c>
      <c r="E538" s="3">
        <v>1859177000</v>
      </c>
      <c r="F538" s="3">
        <v>354561000</v>
      </c>
      <c r="G538" s="3">
        <f>Project_Data_NYSE[[#This Row],[ Total Revenue ]]-Project_Data_NYSE[[#This Row],[ Cost of Goods Sold ]]</f>
        <v>1504616000</v>
      </c>
      <c r="H538" s="3">
        <v>200849000</v>
      </c>
      <c r="I538" s="3">
        <v>0</v>
      </c>
      <c r="J538" s="3">
        <v>653132000</v>
      </c>
      <c r="K538" s="3">
        <f>Project_Data_NYSE[[#This Row],[Gross Profit]]-Project_Data_NYSE[[#This Row],[ Sales, General and Admin. ]]-Project_Data_NYSE[[#This Row],[ Research and Development ]]-Project_Data_NYSE[[#This Row],[ Other Operating Items ]]</f>
        <v>650635000</v>
      </c>
      <c r="L538" t="s">
        <v>82</v>
      </c>
      <c r="M538" t="s">
        <v>83</v>
      </c>
      <c r="N538" s="31">
        <f>Project_Data_NYSE[[#This Row],[Gross Profit]]/Project_Data_NYSE[[#This Row],[ Total Revenue ]]</f>
        <v>0.8092914230328796</v>
      </c>
      <c r="O538" s="31">
        <f>Project_Data_NYSE[[#This Row],[Operating Profit]]/Project_Data_NYSE[[#This Row],[ Total Revenue ]]</f>
        <v>0.34995861071861367</v>
      </c>
    </row>
    <row r="539" spans="1:15" x14ac:dyDescent="0.2">
      <c r="A539">
        <v>565</v>
      </c>
      <c r="B539" t="s">
        <v>230</v>
      </c>
      <c r="C539" t="s">
        <v>14</v>
      </c>
      <c r="D539" s="48">
        <v>42004</v>
      </c>
      <c r="E539" s="3">
        <v>2388768000</v>
      </c>
      <c r="F539" s="3">
        <v>443974000</v>
      </c>
      <c r="G539" s="3">
        <f>Project_Data_NYSE[[#This Row],[ Total Revenue ]]-Project_Data_NYSE[[#This Row],[ Cost of Goods Sold ]]</f>
        <v>1944794000</v>
      </c>
      <c r="H539" s="3">
        <v>238134000</v>
      </c>
      <c r="I539" s="3">
        <v>0</v>
      </c>
      <c r="J539" s="3">
        <v>679298000</v>
      </c>
      <c r="K539" s="3">
        <f>Project_Data_NYSE[[#This Row],[Gross Profit]]-Project_Data_NYSE[[#This Row],[ Sales, General and Admin. ]]-Project_Data_NYSE[[#This Row],[ Research and Development ]]-Project_Data_NYSE[[#This Row],[ Other Operating Items ]]</f>
        <v>1027362000</v>
      </c>
      <c r="L539" t="s">
        <v>82</v>
      </c>
      <c r="M539" t="s">
        <v>83</v>
      </c>
      <c r="N539" s="31">
        <f>Project_Data_NYSE[[#This Row],[Gross Profit]]/Project_Data_NYSE[[#This Row],[ Total Revenue ]]</f>
        <v>0.81414101327546251</v>
      </c>
      <c r="O539" s="31">
        <f>Project_Data_NYSE[[#This Row],[Operating Profit]]/Project_Data_NYSE[[#This Row],[ Total Revenue ]]</f>
        <v>0.43008027569023027</v>
      </c>
    </row>
    <row r="540" spans="1:15" x14ac:dyDescent="0.2">
      <c r="A540">
        <v>566</v>
      </c>
      <c r="B540" t="s">
        <v>230</v>
      </c>
      <c r="C540" t="s">
        <v>15</v>
      </c>
      <c r="D540" s="48">
        <v>42369</v>
      </c>
      <c r="E540" s="3">
        <v>1954000000</v>
      </c>
      <c r="F540" s="3">
        <v>523043000</v>
      </c>
      <c r="G540" s="3">
        <f>Project_Data_NYSE[[#This Row],[ Total Revenue ]]-Project_Data_NYSE[[#This Row],[ Cost of Goods Sold ]]</f>
        <v>1430957000</v>
      </c>
      <c r="H540" s="3">
        <v>249925000</v>
      </c>
      <c r="I540" s="3">
        <v>0</v>
      </c>
      <c r="J540" s="3">
        <v>819216000</v>
      </c>
      <c r="K540" s="3">
        <f>Project_Data_NYSE[[#This Row],[Gross Profit]]-Project_Data_NYSE[[#This Row],[ Sales, General and Admin. ]]-Project_Data_NYSE[[#This Row],[ Research and Development ]]-Project_Data_NYSE[[#This Row],[ Other Operating Items ]]</f>
        <v>361816000</v>
      </c>
      <c r="L540" t="s">
        <v>82</v>
      </c>
      <c r="M540" t="s">
        <v>83</v>
      </c>
      <c r="N540" s="31">
        <f>Project_Data_NYSE[[#This Row],[Gross Profit]]/Project_Data_NYSE[[#This Row],[ Total Revenue ]]</f>
        <v>0.73232190378710338</v>
      </c>
      <c r="O540" s="31">
        <f>Project_Data_NYSE[[#This Row],[Operating Profit]]/Project_Data_NYSE[[#This Row],[ Total Revenue ]]</f>
        <v>0.18516683725690891</v>
      </c>
    </row>
    <row r="541" spans="1:15" x14ac:dyDescent="0.2">
      <c r="A541">
        <v>567</v>
      </c>
      <c r="B541" t="s">
        <v>230</v>
      </c>
      <c r="C541" t="s">
        <v>16</v>
      </c>
      <c r="D541" s="48">
        <v>42735</v>
      </c>
      <c r="E541" s="3">
        <v>1857339000</v>
      </c>
      <c r="F541" s="3">
        <v>613909000</v>
      </c>
      <c r="G541" s="3">
        <f>Project_Data_NYSE[[#This Row],[ Total Revenue ]]-Project_Data_NYSE[[#This Row],[ Cost of Goods Sold ]]</f>
        <v>1243430000</v>
      </c>
      <c r="H541" s="3">
        <v>272747000</v>
      </c>
      <c r="I541" s="3">
        <v>0</v>
      </c>
      <c r="J541" s="3">
        <v>927920000</v>
      </c>
      <c r="K541" s="3">
        <f>Project_Data_NYSE[[#This Row],[Gross Profit]]-Project_Data_NYSE[[#This Row],[ Sales, General and Admin. ]]-Project_Data_NYSE[[#This Row],[ Research and Development ]]-Project_Data_NYSE[[#This Row],[ Other Operating Items ]]</f>
        <v>42763000</v>
      </c>
      <c r="L541" t="s">
        <v>82</v>
      </c>
      <c r="M541" t="s">
        <v>83</v>
      </c>
      <c r="N541" s="31">
        <f>Project_Data_NYSE[[#This Row],[Gross Profit]]/Project_Data_NYSE[[#This Row],[ Total Revenue ]]</f>
        <v>0.66946852459351791</v>
      </c>
      <c r="O541" s="31">
        <f>Project_Data_NYSE[[#This Row],[Operating Profit]]/Project_Data_NYSE[[#This Row],[ Total Revenue ]]</f>
        <v>2.3023799101833321E-2</v>
      </c>
    </row>
    <row r="542" spans="1:15" x14ac:dyDescent="0.2">
      <c r="A542">
        <v>568</v>
      </c>
      <c r="B542" t="s">
        <v>231</v>
      </c>
      <c r="C542" t="s">
        <v>11</v>
      </c>
      <c r="D542" s="48">
        <v>41274</v>
      </c>
      <c r="E542" s="3">
        <v>6273787000</v>
      </c>
      <c r="F542" s="3">
        <v>3667434000</v>
      </c>
      <c r="G542" s="3">
        <f>Project_Data_NYSE[[#This Row],[ Total Revenue ]]-Project_Data_NYSE[[#This Row],[ Cost of Goods Sold ]]</f>
        <v>2606353000</v>
      </c>
      <c r="H542" s="3">
        <v>747356000</v>
      </c>
      <c r="I542" s="3">
        <v>0</v>
      </c>
      <c r="J542" s="3">
        <v>740791000</v>
      </c>
      <c r="K542" s="3">
        <f>Project_Data_NYSE[[#This Row],[Gross Profit]]-Project_Data_NYSE[[#This Row],[ Sales, General and Admin. ]]-Project_Data_NYSE[[#This Row],[ Research and Development ]]-Project_Data_NYSE[[#This Row],[ Other Operating Items ]]</f>
        <v>1118206000</v>
      </c>
      <c r="L542" t="s">
        <v>41</v>
      </c>
      <c r="M542" t="s">
        <v>42</v>
      </c>
      <c r="N542" s="31">
        <f>Project_Data_NYSE[[#This Row],[Gross Profit]]/Project_Data_NYSE[[#This Row],[ Total Revenue ]]</f>
        <v>0.41543536623095428</v>
      </c>
      <c r="O542" s="31">
        <f>Project_Data_NYSE[[#This Row],[Operating Profit]]/Project_Data_NYSE[[#This Row],[ Total Revenue ]]</f>
        <v>0.17823461332047136</v>
      </c>
    </row>
    <row r="543" spans="1:15" x14ac:dyDescent="0.2">
      <c r="A543">
        <v>569</v>
      </c>
      <c r="B543" t="s">
        <v>231</v>
      </c>
      <c r="C543" t="s">
        <v>14</v>
      </c>
      <c r="D543" s="48">
        <v>41639</v>
      </c>
      <c r="E543" s="3">
        <v>7301204000</v>
      </c>
      <c r="F543" s="3">
        <v>3997940000</v>
      </c>
      <c r="G543" s="3">
        <f>Project_Data_NYSE[[#This Row],[ Total Revenue ]]-Project_Data_NYSE[[#This Row],[ Cost of Goods Sold ]]</f>
        <v>3303264000</v>
      </c>
      <c r="H543" s="3">
        <v>914149000</v>
      </c>
      <c r="I543" s="3">
        <v>0</v>
      </c>
      <c r="J543" s="3">
        <v>859680000</v>
      </c>
      <c r="K543" s="3">
        <f>Project_Data_NYSE[[#This Row],[Gross Profit]]-Project_Data_NYSE[[#This Row],[ Sales, General and Admin. ]]-Project_Data_NYSE[[#This Row],[ Research and Development ]]-Project_Data_NYSE[[#This Row],[ Other Operating Items ]]</f>
        <v>1529435000</v>
      </c>
      <c r="L543" t="s">
        <v>41</v>
      </c>
      <c r="M543" t="s">
        <v>42</v>
      </c>
      <c r="N543" s="31">
        <f>Project_Data_NYSE[[#This Row],[Gross Profit]]/Project_Data_NYSE[[#This Row],[ Total Revenue ]]</f>
        <v>0.4524272982921721</v>
      </c>
      <c r="O543" s="31">
        <f>Project_Data_NYSE[[#This Row],[Operating Profit]]/Project_Data_NYSE[[#This Row],[ Total Revenue ]]</f>
        <v>0.20947709446277626</v>
      </c>
    </row>
    <row r="544" spans="1:15" x14ac:dyDescent="0.2">
      <c r="A544">
        <v>570</v>
      </c>
      <c r="B544" t="s">
        <v>231</v>
      </c>
      <c r="C544" t="s">
        <v>15</v>
      </c>
      <c r="D544" s="48">
        <v>42004</v>
      </c>
      <c r="E544" s="3">
        <v>7741856000</v>
      </c>
      <c r="F544" s="3">
        <v>4449139000</v>
      </c>
      <c r="G544" s="3">
        <f>Project_Data_NYSE[[#This Row],[ Total Revenue ]]-Project_Data_NYSE[[#This Row],[ Cost of Goods Sold ]]</f>
        <v>3292717000</v>
      </c>
      <c r="H544" s="3">
        <v>1034507000</v>
      </c>
      <c r="I544" s="3">
        <v>0</v>
      </c>
      <c r="J544" s="3">
        <v>625361000</v>
      </c>
      <c r="K544" s="3">
        <f>Project_Data_NYSE[[#This Row],[Gross Profit]]-Project_Data_NYSE[[#This Row],[ Sales, General and Admin. ]]-Project_Data_NYSE[[#This Row],[ Research and Development ]]-Project_Data_NYSE[[#This Row],[ Other Operating Items ]]</f>
        <v>1632849000</v>
      </c>
      <c r="L544" t="s">
        <v>41</v>
      </c>
      <c r="M544" t="s">
        <v>42</v>
      </c>
      <c r="N544" s="31">
        <f>Project_Data_NYSE[[#This Row],[Gross Profit]]/Project_Data_NYSE[[#This Row],[ Total Revenue ]]</f>
        <v>0.42531364572009606</v>
      </c>
      <c r="O544" s="31">
        <f>Project_Data_NYSE[[#This Row],[Operating Profit]]/Project_Data_NYSE[[#This Row],[ Total Revenue ]]</f>
        <v>0.2109118278614327</v>
      </c>
    </row>
    <row r="545" spans="1:15" x14ac:dyDescent="0.2">
      <c r="A545">
        <v>571</v>
      </c>
      <c r="B545" t="s">
        <v>231</v>
      </c>
      <c r="C545" t="s">
        <v>16</v>
      </c>
      <c r="D545" s="48">
        <v>42369</v>
      </c>
      <c r="E545" s="3">
        <v>7954827000</v>
      </c>
      <c r="F545" s="3">
        <v>4416194000</v>
      </c>
      <c r="G545" s="3">
        <f>Project_Data_NYSE[[#This Row],[ Total Revenue ]]-Project_Data_NYSE[[#This Row],[ Cost of Goods Sold ]]</f>
        <v>3538633000</v>
      </c>
      <c r="H545" s="3">
        <v>1086274000</v>
      </c>
      <c r="I545" s="3">
        <v>0</v>
      </c>
      <c r="J545" s="3">
        <v>688195000</v>
      </c>
      <c r="K545" s="3">
        <f>Project_Data_NYSE[[#This Row],[Gross Profit]]-Project_Data_NYSE[[#This Row],[ Sales, General and Admin. ]]-Project_Data_NYSE[[#This Row],[ Research and Development ]]-Project_Data_NYSE[[#This Row],[ Other Operating Items ]]</f>
        <v>1764164000</v>
      </c>
      <c r="L545" t="s">
        <v>41</v>
      </c>
      <c r="M545" t="s">
        <v>42</v>
      </c>
      <c r="N545" s="31">
        <f>Project_Data_NYSE[[#This Row],[Gross Profit]]/Project_Data_NYSE[[#This Row],[ Total Revenue ]]</f>
        <v>0.44484097517142734</v>
      </c>
      <c r="O545" s="31">
        <f>Project_Data_NYSE[[#This Row],[Operating Profit]]/Project_Data_NYSE[[#This Row],[ Total Revenue ]]</f>
        <v>0.22177276765415516</v>
      </c>
    </row>
    <row r="546" spans="1:15" x14ac:dyDescent="0.2">
      <c r="A546">
        <v>572</v>
      </c>
      <c r="B546" t="s">
        <v>232</v>
      </c>
      <c r="C546" t="s">
        <v>11</v>
      </c>
      <c r="D546" s="48">
        <v>41274</v>
      </c>
      <c r="E546" s="3">
        <v>535153000</v>
      </c>
      <c r="F546" s="3">
        <v>172167000</v>
      </c>
      <c r="G546" s="3">
        <f>Project_Data_NYSE[[#This Row],[ Total Revenue ]]-Project_Data_NYSE[[#This Row],[ Cost of Goods Sold ]]</f>
        <v>362986000</v>
      </c>
      <c r="H546" s="3">
        <v>24573000</v>
      </c>
      <c r="I546" s="3">
        <v>0</v>
      </c>
      <c r="J546" s="3">
        <v>169173000</v>
      </c>
      <c r="K546" s="3">
        <f>Project_Data_NYSE[[#This Row],[Gross Profit]]-Project_Data_NYSE[[#This Row],[ Sales, General and Admin. ]]-Project_Data_NYSE[[#This Row],[ Research and Development ]]-Project_Data_NYSE[[#This Row],[ Other Operating Items ]]</f>
        <v>169240000</v>
      </c>
      <c r="L546" t="s">
        <v>51</v>
      </c>
      <c r="M546" t="s">
        <v>233</v>
      </c>
      <c r="N546" s="31">
        <f>Project_Data_NYSE[[#This Row],[Gross Profit]]/Project_Data_NYSE[[#This Row],[ Total Revenue ]]</f>
        <v>0.6782845279761115</v>
      </c>
      <c r="O546" s="31">
        <f>Project_Data_NYSE[[#This Row],[Operating Profit]]/Project_Data_NYSE[[#This Row],[ Total Revenue ]]</f>
        <v>0.31624600815094001</v>
      </c>
    </row>
    <row r="547" spans="1:15" x14ac:dyDescent="0.2">
      <c r="A547">
        <v>573</v>
      </c>
      <c r="B547" t="s">
        <v>232</v>
      </c>
      <c r="C547" t="s">
        <v>14</v>
      </c>
      <c r="D547" s="48">
        <v>41639</v>
      </c>
      <c r="E547" s="3">
        <v>610590000</v>
      </c>
      <c r="F547" s="3">
        <v>197336000</v>
      </c>
      <c r="G547" s="3">
        <f>Project_Data_NYSE[[#This Row],[ Total Revenue ]]-Project_Data_NYSE[[#This Row],[ Cost of Goods Sold ]]</f>
        <v>413254000</v>
      </c>
      <c r="H547" s="3">
        <v>26684000</v>
      </c>
      <c r="I547" s="3">
        <v>0</v>
      </c>
      <c r="J547" s="3">
        <v>192420000</v>
      </c>
      <c r="K547" s="3">
        <f>Project_Data_NYSE[[#This Row],[Gross Profit]]-Project_Data_NYSE[[#This Row],[ Sales, General and Admin. ]]-Project_Data_NYSE[[#This Row],[ Research and Development ]]-Project_Data_NYSE[[#This Row],[ Other Operating Items ]]</f>
        <v>194150000</v>
      </c>
      <c r="L547" t="s">
        <v>51</v>
      </c>
      <c r="M547" t="s">
        <v>233</v>
      </c>
      <c r="N547" s="31">
        <f>Project_Data_NYSE[[#This Row],[Gross Profit]]/Project_Data_NYSE[[#This Row],[ Total Revenue ]]</f>
        <v>0.67681095334021191</v>
      </c>
      <c r="O547" s="31">
        <f>Project_Data_NYSE[[#This Row],[Operating Profit]]/Project_Data_NYSE[[#This Row],[ Total Revenue ]]</f>
        <v>0.31797114266529097</v>
      </c>
    </row>
    <row r="548" spans="1:15" x14ac:dyDescent="0.2">
      <c r="A548">
        <v>574</v>
      </c>
      <c r="B548" t="s">
        <v>232</v>
      </c>
      <c r="C548" t="s">
        <v>15</v>
      </c>
      <c r="D548" s="48">
        <v>42004</v>
      </c>
      <c r="E548" s="3">
        <v>970938000</v>
      </c>
      <c r="F548" s="3">
        <v>312546000</v>
      </c>
      <c r="G548" s="3">
        <f>Project_Data_NYSE[[#This Row],[ Total Revenue ]]-Project_Data_NYSE[[#This Row],[ Cost of Goods Sold ]]</f>
        <v>658392000</v>
      </c>
      <c r="H548" s="3">
        <v>40878000</v>
      </c>
      <c r="I548" s="3">
        <v>0</v>
      </c>
      <c r="J548" s="3">
        <v>360592000</v>
      </c>
      <c r="K548" s="3">
        <f>Project_Data_NYSE[[#This Row],[Gross Profit]]-Project_Data_NYSE[[#This Row],[ Sales, General and Admin. ]]-Project_Data_NYSE[[#This Row],[ Research and Development ]]-Project_Data_NYSE[[#This Row],[ Other Operating Items ]]</f>
        <v>256922000</v>
      </c>
      <c r="L548" t="s">
        <v>51</v>
      </c>
      <c r="M548" t="s">
        <v>233</v>
      </c>
      <c r="N548" s="31">
        <f>Project_Data_NYSE[[#This Row],[Gross Profit]]/Project_Data_NYSE[[#This Row],[ Total Revenue ]]</f>
        <v>0.67809891053805704</v>
      </c>
      <c r="O548" s="31">
        <f>Project_Data_NYSE[[#This Row],[Operating Profit]]/Project_Data_NYSE[[#This Row],[ Total Revenue ]]</f>
        <v>0.2646121585518334</v>
      </c>
    </row>
    <row r="549" spans="1:15" x14ac:dyDescent="0.2">
      <c r="A549">
        <v>575</v>
      </c>
      <c r="B549" t="s">
        <v>232</v>
      </c>
      <c r="C549" t="s">
        <v>16</v>
      </c>
      <c r="D549" s="48">
        <v>42369</v>
      </c>
      <c r="E549" s="3">
        <v>1194407000</v>
      </c>
      <c r="F549" s="3">
        <v>363508000</v>
      </c>
      <c r="G549" s="3">
        <f>Project_Data_NYSE[[#This Row],[ Total Revenue ]]-Project_Data_NYSE[[#This Row],[ Cost of Goods Sold ]]</f>
        <v>830899000</v>
      </c>
      <c r="H549" s="3">
        <v>40090000</v>
      </c>
      <c r="I549" s="3">
        <v>0</v>
      </c>
      <c r="J549" s="3">
        <v>453423000</v>
      </c>
      <c r="K549" s="3">
        <f>Project_Data_NYSE[[#This Row],[Gross Profit]]-Project_Data_NYSE[[#This Row],[ Sales, General and Admin. ]]-Project_Data_NYSE[[#This Row],[ Research and Development ]]-Project_Data_NYSE[[#This Row],[ Other Operating Items ]]</f>
        <v>337386000</v>
      </c>
      <c r="L549" t="s">
        <v>51</v>
      </c>
      <c r="M549" t="s">
        <v>233</v>
      </c>
      <c r="N549" s="31">
        <f>Project_Data_NYSE[[#This Row],[Gross Profit]]/Project_Data_NYSE[[#This Row],[ Total Revenue ]]</f>
        <v>0.69565818016806669</v>
      </c>
      <c r="O549" s="31">
        <f>Project_Data_NYSE[[#This Row],[Operating Profit]]/Project_Data_NYSE[[#This Row],[ Total Revenue ]]</f>
        <v>0.28247155282914449</v>
      </c>
    </row>
    <row r="550" spans="1:15" x14ac:dyDescent="0.2">
      <c r="A550">
        <v>576</v>
      </c>
      <c r="B550" t="s">
        <v>234</v>
      </c>
      <c r="C550" t="s">
        <v>11</v>
      </c>
      <c r="D550" s="48">
        <v>41274</v>
      </c>
      <c r="E550" s="3">
        <v>1365000000</v>
      </c>
      <c r="F550" s="3">
        <v>0</v>
      </c>
      <c r="G550" s="3">
        <f>Project_Data_NYSE[[#This Row],[ Total Revenue ]]-Project_Data_NYSE[[#This Row],[ Cost of Goods Sold ]]</f>
        <v>1365000000</v>
      </c>
      <c r="H550" s="3">
        <v>921000000</v>
      </c>
      <c r="I550" s="3">
        <v>0</v>
      </c>
      <c r="J550" s="3">
        <v>471000000</v>
      </c>
      <c r="K550" s="3">
        <f>Project_Data_NYSE[[#This Row],[Gross Profit]]-Project_Data_NYSE[[#This Row],[ Sales, General and Admin. ]]-Project_Data_NYSE[[#This Row],[ Research and Development ]]-Project_Data_NYSE[[#This Row],[ Other Operating Items ]]</f>
        <v>-27000000</v>
      </c>
      <c r="L550" t="s">
        <v>46</v>
      </c>
      <c r="M550" t="s">
        <v>235</v>
      </c>
      <c r="N550" s="31">
        <f>Project_Data_NYSE[[#This Row],[Gross Profit]]/Project_Data_NYSE[[#This Row],[ Total Revenue ]]</f>
        <v>1</v>
      </c>
      <c r="O550" s="31">
        <f>Project_Data_NYSE[[#This Row],[Operating Profit]]/Project_Data_NYSE[[#This Row],[ Total Revenue ]]</f>
        <v>-1.9780219780219779E-2</v>
      </c>
    </row>
    <row r="551" spans="1:15" x14ac:dyDescent="0.2">
      <c r="A551">
        <v>577</v>
      </c>
      <c r="B551" t="s">
        <v>234</v>
      </c>
      <c r="C551" t="s">
        <v>14</v>
      </c>
      <c r="D551" s="48">
        <v>41639</v>
      </c>
      <c r="E551" s="3">
        <v>1466000000</v>
      </c>
      <c r="F551" s="3">
        <v>0</v>
      </c>
      <c r="G551" s="3">
        <f>Project_Data_NYSE[[#This Row],[ Total Revenue ]]-Project_Data_NYSE[[#This Row],[ Cost of Goods Sold ]]</f>
        <v>1466000000</v>
      </c>
      <c r="H551" s="3">
        <v>888000000</v>
      </c>
      <c r="I551" s="3">
        <v>0</v>
      </c>
      <c r="J551" s="3">
        <v>256000000</v>
      </c>
      <c r="K551" s="3">
        <f>Project_Data_NYSE[[#This Row],[Gross Profit]]-Project_Data_NYSE[[#This Row],[ Sales, General and Admin. ]]-Project_Data_NYSE[[#This Row],[ Research and Development ]]-Project_Data_NYSE[[#This Row],[ Other Operating Items ]]</f>
        <v>322000000</v>
      </c>
      <c r="L551" t="s">
        <v>46</v>
      </c>
      <c r="M551" t="s">
        <v>235</v>
      </c>
      <c r="N551" s="31">
        <f>Project_Data_NYSE[[#This Row],[Gross Profit]]/Project_Data_NYSE[[#This Row],[ Total Revenue ]]</f>
        <v>1</v>
      </c>
      <c r="O551" s="31">
        <f>Project_Data_NYSE[[#This Row],[Operating Profit]]/Project_Data_NYSE[[#This Row],[ Total Revenue ]]</f>
        <v>0.21964529331514324</v>
      </c>
    </row>
    <row r="552" spans="1:15" x14ac:dyDescent="0.2">
      <c r="A552">
        <v>578</v>
      </c>
      <c r="B552" t="s">
        <v>234</v>
      </c>
      <c r="C552" t="s">
        <v>15</v>
      </c>
      <c r="D552" s="48">
        <v>42004</v>
      </c>
      <c r="E552" s="3">
        <v>1665000000</v>
      </c>
      <c r="F552" s="3">
        <v>0</v>
      </c>
      <c r="G552" s="3">
        <f>Project_Data_NYSE[[#This Row],[ Total Revenue ]]-Project_Data_NYSE[[#This Row],[ Cost of Goods Sold ]]</f>
        <v>1665000000</v>
      </c>
      <c r="H552" s="3">
        <v>958000000</v>
      </c>
      <c r="I552" s="3">
        <v>0</v>
      </c>
      <c r="J552" s="3">
        <v>136000000</v>
      </c>
      <c r="K552" s="3">
        <f>Project_Data_NYSE[[#This Row],[Gross Profit]]-Project_Data_NYSE[[#This Row],[ Sales, General and Admin. ]]-Project_Data_NYSE[[#This Row],[ Research and Development ]]-Project_Data_NYSE[[#This Row],[ Other Operating Items ]]</f>
        <v>571000000</v>
      </c>
      <c r="L552" t="s">
        <v>46</v>
      </c>
      <c r="M552" t="s">
        <v>235</v>
      </c>
      <c r="N552" s="31">
        <f>Project_Data_NYSE[[#This Row],[Gross Profit]]/Project_Data_NYSE[[#This Row],[ Total Revenue ]]</f>
        <v>1</v>
      </c>
      <c r="O552" s="31">
        <f>Project_Data_NYSE[[#This Row],[Operating Profit]]/Project_Data_NYSE[[#This Row],[ Total Revenue ]]</f>
        <v>0.34294294294294292</v>
      </c>
    </row>
    <row r="553" spans="1:15" x14ac:dyDescent="0.2">
      <c r="A553">
        <v>579</v>
      </c>
      <c r="B553" t="s">
        <v>234</v>
      </c>
      <c r="C553" t="s">
        <v>16</v>
      </c>
      <c r="D553" s="48">
        <v>42369</v>
      </c>
      <c r="E553" s="3">
        <v>1403000000</v>
      </c>
      <c r="F553" s="3">
        <v>0</v>
      </c>
      <c r="G553" s="3">
        <f>Project_Data_NYSE[[#This Row],[ Total Revenue ]]-Project_Data_NYSE[[#This Row],[ Cost of Goods Sold ]]</f>
        <v>1403000000</v>
      </c>
      <c r="H553" s="3">
        <v>1048000000</v>
      </c>
      <c r="I553" s="3">
        <v>0</v>
      </c>
      <c r="J553" s="3">
        <v>61000000</v>
      </c>
      <c r="K553" s="3">
        <f>Project_Data_NYSE[[#This Row],[Gross Profit]]-Project_Data_NYSE[[#This Row],[ Sales, General and Admin. ]]-Project_Data_NYSE[[#This Row],[ Research and Development ]]-Project_Data_NYSE[[#This Row],[ Other Operating Items ]]</f>
        <v>294000000</v>
      </c>
      <c r="L553" t="s">
        <v>46</v>
      </c>
      <c r="M553" t="s">
        <v>235</v>
      </c>
      <c r="N553" s="31">
        <f>Project_Data_NYSE[[#This Row],[Gross Profit]]/Project_Data_NYSE[[#This Row],[ Total Revenue ]]</f>
        <v>1</v>
      </c>
      <c r="O553" s="31">
        <f>Project_Data_NYSE[[#This Row],[Operating Profit]]/Project_Data_NYSE[[#This Row],[ Total Revenue ]]</f>
        <v>0.20955096222380612</v>
      </c>
    </row>
    <row r="554" spans="1:15" x14ac:dyDescent="0.2">
      <c r="A554">
        <v>580</v>
      </c>
      <c r="B554" t="s">
        <v>236</v>
      </c>
      <c r="C554" t="s">
        <v>11</v>
      </c>
      <c r="D554" s="48">
        <v>41274</v>
      </c>
      <c r="E554" s="3">
        <v>16311000000</v>
      </c>
      <c r="F554" s="3">
        <v>11448000000</v>
      </c>
      <c r="G554" s="3">
        <f>Project_Data_NYSE[[#This Row],[ Total Revenue ]]-Project_Data_NYSE[[#This Row],[ Cost of Goods Sold ]]</f>
        <v>4863000000</v>
      </c>
      <c r="H554" s="3">
        <v>2894000000</v>
      </c>
      <c r="I554" s="3">
        <v>439000000</v>
      </c>
      <c r="J554" s="3">
        <v>0</v>
      </c>
      <c r="K554" s="3">
        <f>Project_Data_NYSE[[#This Row],[Gross Profit]]-Project_Data_NYSE[[#This Row],[ Sales, General and Admin. ]]-Project_Data_NYSE[[#This Row],[ Research and Development ]]-Project_Data_NYSE[[#This Row],[ Other Operating Items ]]</f>
        <v>1530000000</v>
      </c>
      <c r="L554" t="s">
        <v>12</v>
      </c>
      <c r="M554" t="s">
        <v>163</v>
      </c>
      <c r="N554" s="31">
        <f>Project_Data_NYSE[[#This Row],[Gross Profit]]/Project_Data_NYSE[[#This Row],[ Total Revenue ]]</f>
        <v>0.29814235791796945</v>
      </c>
      <c r="O554" s="31">
        <f>Project_Data_NYSE[[#This Row],[Operating Profit]]/Project_Data_NYSE[[#This Row],[ Total Revenue ]]</f>
        <v>9.3801728894610997E-2</v>
      </c>
    </row>
    <row r="555" spans="1:15" x14ac:dyDescent="0.2">
      <c r="A555">
        <v>581</v>
      </c>
      <c r="B555" t="s">
        <v>236</v>
      </c>
      <c r="C555" t="s">
        <v>14</v>
      </c>
      <c r="D555" s="48">
        <v>41639</v>
      </c>
      <c r="E555" s="3">
        <v>22046000000</v>
      </c>
      <c r="F555" s="3">
        <v>15369000000</v>
      </c>
      <c r="G555" s="3">
        <f>Project_Data_NYSE[[#This Row],[ Total Revenue ]]-Project_Data_NYSE[[#This Row],[ Cost of Goods Sold ]]</f>
        <v>6677000000</v>
      </c>
      <c r="H555" s="3">
        <v>3886000000</v>
      </c>
      <c r="I555" s="3">
        <v>644000000</v>
      </c>
      <c r="J555" s="3">
        <v>0</v>
      </c>
      <c r="K555" s="3">
        <f>Project_Data_NYSE[[#This Row],[Gross Profit]]-Project_Data_NYSE[[#This Row],[ Sales, General and Admin. ]]-Project_Data_NYSE[[#This Row],[ Research and Development ]]-Project_Data_NYSE[[#This Row],[ Other Operating Items ]]</f>
        <v>2147000000</v>
      </c>
      <c r="L555" t="s">
        <v>12</v>
      </c>
      <c r="M555" t="s">
        <v>163</v>
      </c>
      <c r="N555" s="31">
        <f>Project_Data_NYSE[[#This Row],[Gross Profit]]/Project_Data_NYSE[[#This Row],[ Total Revenue ]]</f>
        <v>0.30286673319423024</v>
      </c>
      <c r="O555" s="31">
        <f>Project_Data_NYSE[[#This Row],[Operating Profit]]/Project_Data_NYSE[[#This Row],[ Total Revenue ]]</f>
        <v>9.7387281139435719E-2</v>
      </c>
    </row>
    <row r="556" spans="1:15" x14ac:dyDescent="0.2">
      <c r="A556">
        <v>582</v>
      </c>
      <c r="B556" t="s">
        <v>236</v>
      </c>
      <c r="C556" t="s">
        <v>15</v>
      </c>
      <c r="D556" s="48">
        <v>42004</v>
      </c>
      <c r="E556" s="3">
        <v>22552000000</v>
      </c>
      <c r="F556" s="3">
        <v>15646000000</v>
      </c>
      <c r="G556" s="3">
        <f>Project_Data_NYSE[[#This Row],[ Total Revenue ]]-Project_Data_NYSE[[#This Row],[ Cost of Goods Sold ]]</f>
        <v>6906000000</v>
      </c>
      <c r="H556" s="3">
        <v>3810000000</v>
      </c>
      <c r="I556" s="3">
        <v>647000000</v>
      </c>
      <c r="J556" s="3">
        <v>0</v>
      </c>
      <c r="K556" s="3">
        <f>Project_Data_NYSE[[#This Row],[Gross Profit]]-Project_Data_NYSE[[#This Row],[ Sales, General and Admin. ]]-Project_Data_NYSE[[#This Row],[ Research and Development ]]-Project_Data_NYSE[[#This Row],[ Other Operating Items ]]</f>
        <v>2449000000</v>
      </c>
      <c r="L556" t="s">
        <v>12</v>
      </c>
      <c r="M556" t="s">
        <v>163</v>
      </c>
      <c r="N556" s="31">
        <f>Project_Data_NYSE[[#This Row],[Gross Profit]]/Project_Data_NYSE[[#This Row],[ Total Revenue ]]</f>
        <v>0.30622561191912023</v>
      </c>
      <c r="O556" s="31">
        <f>Project_Data_NYSE[[#This Row],[Operating Profit]]/Project_Data_NYSE[[#This Row],[ Total Revenue ]]</f>
        <v>0.10859347286271727</v>
      </c>
    </row>
    <row r="557" spans="1:15" x14ac:dyDescent="0.2">
      <c r="A557">
        <v>583</v>
      </c>
      <c r="B557" t="s">
        <v>236</v>
      </c>
      <c r="C557" t="s">
        <v>16</v>
      </c>
      <c r="D557" s="48">
        <v>42369</v>
      </c>
      <c r="E557" s="3">
        <v>20855000000</v>
      </c>
      <c r="F557" s="3">
        <v>14292000000</v>
      </c>
      <c r="G557" s="3">
        <f>Project_Data_NYSE[[#This Row],[ Total Revenue ]]-Project_Data_NYSE[[#This Row],[ Cost of Goods Sold ]]</f>
        <v>6563000000</v>
      </c>
      <c r="H557" s="3">
        <v>3596000000</v>
      </c>
      <c r="I557" s="3">
        <v>625000000</v>
      </c>
      <c r="J557" s="3">
        <v>0</v>
      </c>
      <c r="K557" s="3">
        <f>Project_Data_NYSE[[#This Row],[Gross Profit]]-Project_Data_NYSE[[#This Row],[ Sales, General and Admin. ]]-Project_Data_NYSE[[#This Row],[ Research and Development ]]-Project_Data_NYSE[[#This Row],[ Other Operating Items ]]</f>
        <v>2342000000</v>
      </c>
      <c r="L557" t="s">
        <v>12</v>
      </c>
      <c r="M557" t="s">
        <v>163</v>
      </c>
      <c r="N557" s="31">
        <f>Project_Data_NYSE[[#This Row],[Gross Profit]]/Project_Data_NYSE[[#This Row],[ Total Revenue ]]</f>
        <v>0.31469671541596739</v>
      </c>
      <c r="O557" s="31">
        <f>Project_Data_NYSE[[#This Row],[Operating Profit]]/Project_Data_NYSE[[#This Row],[ Total Revenue ]]</f>
        <v>0.11229920882282426</v>
      </c>
    </row>
    <row r="558" spans="1:15" x14ac:dyDescent="0.2">
      <c r="A558">
        <v>584</v>
      </c>
      <c r="B558" t="s">
        <v>237</v>
      </c>
      <c r="C558" t="s">
        <v>11</v>
      </c>
      <c r="D558" s="48">
        <v>41274</v>
      </c>
      <c r="E558" s="3">
        <v>10302079000</v>
      </c>
      <c r="F558" s="3">
        <v>6583627000</v>
      </c>
      <c r="G558" s="3">
        <f>Project_Data_NYSE[[#This Row],[ Total Revenue ]]-Project_Data_NYSE[[#This Row],[ Cost of Goods Sold ]]</f>
        <v>3718452000</v>
      </c>
      <c r="H558" s="3">
        <v>917162000</v>
      </c>
      <c r="I558" s="3">
        <v>0</v>
      </c>
      <c r="J558" s="3">
        <v>1144585000</v>
      </c>
      <c r="K558" s="3">
        <f>Project_Data_NYSE[[#This Row],[Gross Profit]]-Project_Data_NYSE[[#This Row],[ Sales, General and Admin. ]]-Project_Data_NYSE[[#This Row],[ Research and Development ]]-Project_Data_NYSE[[#This Row],[ Other Operating Items ]]</f>
        <v>1656705000</v>
      </c>
      <c r="L558" t="s">
        <v>41</v>
      </c>
      <c r="M558" t="s">
        <v>44</v>
      </c>
      <c r="N558" s="31">
        <f>Project_Data_NYSE[[#This Row],[Gross Profit]]/Project_Data_NYSE[[#This Row],[ Total Revenue ]]</f>
        <v>0.36094190308577523</v>
      </c>
      <c r="O558" s="31">
        <f>Project_Data_NYSE[[#This Row],[Operating Profit]]/Project_Data_NYSE[[#This Row],[ Total Revenue ]]</f>
        <v>0.16081268644901675</v>
      </c>
    </row>
    <row r="559" spans="1:15" x14ac:dyDescent="0.2">
      <c r="A559">
        <v>585</v>
      </c>
      <c r="B559" t="s">
        <v>237</v>
      </c>
      <c r="C559" t="s">
        <v>14</v>
      </c>
      <c r="D559" s="48">
        <v>41639</v>
      </c>
      <c r="E559" s="3">
        <v>11390947000</v>
      </c>
      <c r="F559" s="3">
        <v>7588885000</v>
      </c>
      <c r="G559" s="3">
        <f>Project_Data_NYSE[[#This Row],[ Total Revenue ]]-Project_Data_NYSE[[#This Row],[ Cost of Goods Sold ]]</f>
        <v>3802062000</v>
      </c>
      <c r="H559" s="3">
        <v>888051000</v>
      </c>
      <c r="I559" s="3">
        <v>0</v>
      </c>
      <c r="J559" s="3">
        <v>1261044000</v>
      </c>
      <c r="K559" s="3">
        <f>Project_Data_NYSE[[#This Row],[Gross Profit]]-Project_Data_NYSE[[#This Row],[ Sales, General and Admin. ]]-Project_Data_NYSE[[#This Row],[ Research and Development ]]-Project_Data_NYSE[[#This Row],[ Other Operating Items ]]</f>
        <v>1652967000</v>
      </c>
      <c r="L559" t="s">
        <v>41</v>
      </c>
      <c r="M559" t="s">
        <v>44</v>
      </c>
      <c r="N559" s="31">
        <f>Project_Data_NYSE[[#This Row],[Gross Profit]]/Project_Data_NYSE[[#This Row],[ Total Revenue ]]</f>
        <v>0.33377927225892634</v>
      </c>
      <c r="O559" s="31">
        <f>Project_Data_NYSE[[#This Row],[Operating Profit]]/Project_Data_NYSE[[#This Row],[ Total Revenue ]]</f>
        <v>0.14511234228374514</v>
      </c>
    </row>
    <row r="560" spans="1:15" x14ac:dyDescent="0.2">
      <c r="A560">
        <v>586</v>
      </c>
      <c r="B560" t="s">
        <v>237</v>
      </c>
      <c r="C560" t="s">
        <v>15</v>
      </c>
      <c r="D560" s="48">
        <v>42004</v>
      </c>
      <c r="E560" s="3">
        <v>12494921000</v>
      </c>
      <c r="F560" s="3">
        <v>8126187000</v>
      </c>
      <c r="G560" s="3">
        <f>Project_Data_NYSE[[#This Row],[ Total Revenue ]]-Project_Data_NYSE[[#This Row],[ Cost of Goods Sold ]]</f>
        <v>4368734000</v>
      </c>
      <c r="H560" s="3">
        <v>863455000</v>
      </c>
      <c r="I560" s="3">
        <v>0</v>
      </c>
      <c r="J560" s="3">
        <v>1318638000</v>
      </c>
      <c r="K560" s="3">
        <f>Project_Data_NYSE[[#This Row],[Gross Profit]]-Project_Data_NYSE[[#This Row],[ Sales, General and Admin. ]]-Project_Data_NYSE[[#This Row],[ Research and Development ]]-Project_Data_NYSE[[#This Row],[ Other Operating Items ]]</f>
        <v>2186641000</v>
      </c>
      <c r="L560" t="s">
        <v>41</v>
      </c>
      <c r="M560" t="s">
        <v>44</v>
      </c>
      <c r="N560" s="31">
        <f>Project_Data_NYSE[[#This Row],[Gross Profit]]/Project_Data_NYSE[[#This Row],[ Total Revenue ]]</f>
        <v>0.34964078604418547</v>
      </c>
      <c r="O560" s="31">
        <f>Project_Data_NYSE[[#This Row],[Operating Profit]]/Project_Data_NYSE[[#This Row],[ Total Revenue ]]</f>
        <v>0.17500238696987361</v>
      </c>
    </row>
    <row r="561" spans="1:15" x14ac:dyDescent="0.2">
      <c r="A561">
        <v>587</v>
      </c>
      <c r="B561" t="s">
        <v>237</v>
      </c>
      <c r="C561" t="s">
        <v>16</v>
      </c>
      <c r="D561" s="48">
        <v>42369</v>
      </c>
      <c r="E561" s="3">
        <v>11513251000</v>
      </c>
      <c r="F561" s="3">
        <v>7449273000</v>
      </c>
      <c r="G561" s="3">
        <f>Project_Data_NYSE[[#This Row],[ Total Revenue ]]-Project_Data_NYSE[[#This Row],[ Cost of Goods Sold ]]</f>
        <v>4063978000</v>
      </c>
      <c r="H561" s="3">
        <v>1074998000</v>
      </c>
      <c r="I561" s="3">
        <v>0</v>
      </c>
      <c r="J561" s="3">
        <v>1337276000</v>
      </c>
      <c r="K561" s="3">
        <f>Project_Data_NYSE[[#This Row],[Gross Profit]]-Project_Data_NYSE[[#This Row],[ Sales, General and Admin. ]]-Project_Data_NYSE[[#This Row],[ Research and Development ]]-Project_Data_NYSE[[#This Row],[ Other Operating Items ]]</f>
        <v>1651704000</v>
      </c>
      <c r="L561" t="s">
        <v>41</v>
      </c>
      <c r="M561" t="s">
        <v>44</v>
      </c>
      <c r="N561" s="31">
        <f>Project_Data_NYSE[[#This Row],[Gross Profit]]/Project_Data_NYSE[[#This Row],[ Total Revenue ]]</f>
        <v>0.35298266319391458</v>
      </c>
      <c r="O561" s="31">
        <f>Project_Data_NYSE[[#This Row],[Operating Profit]]/Project_Data_NYSE[[#This Row],[ Total Revenue ]]</f>
        <v>0.14346113013604933</v>
      </c>
    </row>
    <row r="562" spans="1:15" x14ac:dyDescent="0.2">
      <c r="A562">
        <v>214</v>
      </c>
      <c r="B562" t="s">
        <v>111</v>
      </c>
      <c r="C562" t="s">
        <v>11</v>
      </c>
      <c r="D562" s="48">
        <v>41547</v>
      </c>
      <c r="E562" s="3">
        <v>8054000000</v>
      </c>
      <c r="F562" s="3">
        <v>3883000000</v>
      </c>
      <c r="G562" s="3">
        <f>Project_Data_NYSE[[#This Row],[ Total Revenue ]]-Project_Data_NYSE[[#This Row],[ Cost of Goods Sold ]]</f>
        <v>4171000000</v>
      </c>
      <c r="H562" s="3">
        <v>2422000000</v>
      </c>
      <c r="I562" s="3">
        <v>494000000</v>
      </c>
      <c r="J562" s="3">
        <v>0</v>
      </c>
      <c r="K562" s="3">
        <f>Project_Data_NYSE[[#This Row],[Gross Profit]]-Project_Data_NYSE[[#This Row],[ Sales, General and Admin. ]]-Project_Data_NYSE[[#This Row],[ Research and Development ]]-Project_Data_NYSE[[#This Row],[ Other Operating Items ]]</f>
        <v>1255000000</v>
      </c>
      <c r="L562" t="s">
        <v>24</v>
      </c>
      <c r="M562" t="s">
        <v>29</v>
      </c>
      <c r="N562" s="31">
        <f>Project_Data_NYSE[[#This Row],[Gross Profit]]/Project_Data_NYSE[[#This Row],[ Total Revenue ]]</f>
        <v>0.51787931462627268</v>
      </c>
      <c r="O562" s="31">
        <f>Project_Data_NYSE[[#This Row],[Operating Profit]]/Project_Data_NYSE[[#This Row],[ Total Revenue ]]</f>
        <v>0.1558231934442513</v>
      </c>
    </row>
    <row r="563" spans="1:15" x14ac:dyDescent="0.2">
      <c r="A563">
        <v>1751</v>
      </c>
      <c r="B563" t="s">
        <v>567</v>
      </c>
      <c r="C563" t="s">
        <v>15</v>
      </c>
      <c r="D563" s="48">
        <v>42004</v>
      </c>
      <c r="E563" s="3">
        <v>2922600000</v>
      </c>
      <c r="F563" s="3">
        <v>1322800000</v>
      </c>
      <c r="G563" s="3">
        <f>Project_Data_NYSE[[#This Row],[ Total Revenue ]]-Project_Data_NYSE[[#This Row],[ Cost of Goods Sold ]]</f>
        <v>1599800000</v>
      </c>
      <c r="H563" s="3">
        <v>1143100000</v>
      </c>
      <c r="I563" s="3">
        <v>0</v>
      </c>
      <c r="J563" s="3">
        <v>0</v>
      </c>
      <c r="K563" s="3">
        <f>Project_Data_NYSE[[#This Row],[Gross Profit]]-Project_Data_NYSE[[#This Row],[ Sales, General and Admin. ]]-Project_Data_NYSE[[#This Row],[ Research and Development ]]-Project_Data_NYSE[[#This Row],[ Other Operating Items ]]</f>
        <v>456700000</v>
      </c>
      <c r="L563" t="s">
        <v>24</v>
      </c>
      <c r="M563" t="s">
        <v>165</v>
      </c>
      <c r="N563" s="31">
        <f>Project_Data_NYSE[[#This Row],[Gross Profit]]/Project_Data_NYSE[[#This Row],[ Total Revenue ]]</f>
        <v>0.54738931088756582</v>
      </c>
      <c r="O563" s="31">
        <f>Project_Data_NYSE[[#This Row],[Operating Profit]]/Project_Data_NYSE[[#This Row],[ Total Revenue ]]</f>
        <v>0.15626496954766303</v>
      </c>
    </row>
    <row r="564" spans="1:15" x14ac:dyDescent="0.2">
      <c r="A564">
        <v>1101</v>
      </c>
      <c r="B564" t="s">
        <v>396</v>
      </c>
      <c r="C564" t="s">
        <v>15</v>
      </c>
      <c r="D564" s="48">
        <v>42004</v>
      </c>
      <c r="E564" s="3">
        <v>42237000000</v>
      </c>
      <c r="F564" s="3">
        <v>16768000000</v>
      </c>
      <c r="G564" s="3">
        <f>Project_Data_NYSE[[#This Row],[ Total Revenue ]]-Project_Data_NYSE[[#This Row],[ Cost of Goods Sold ]]</f>
        <v>25469000000</v>
      </c>
      <c r="H564" s="3">
        <v>11606000000</v>
      </c>
      <c r="I564" s="3">
        <v>7180000000</v>
      </c>
      <c r="J564" s="3">
        <v>0</v>
      </c>
      <c r="K564" s="3">
        <f>Project_Data_NYSE[[#This Row],[Gross Profit]]-Project_Data_NYSE[[#This Row],[ Sales, General and Admin. ]]-Project_Data_NYSE[[#This Row],[ Research and Development ]]-Project_Data_NYSE[[#This Row],[ Other Operating Items ]]</f>
        <v>6683000000</v>
      </c>
      <c r="L564" t="s">
        <v>24</v>
      </c>
      <c r="M564" t="s">
        <v>25</v>
      </c>
      <c r="N564" s="31">
        <f>Project_Data_NYSE[[#This Row],[Gross Profit]]/Project_Data_NYSE[[#This Row],[ Total Revenue ]]</f>
        <v>0.60300210715723179</v>
      </c>
      <c r="O564" s="31">
        <f>Project_Data_NYSE[[#This Row],[Operating Profit]]/Project_Data_NYSE[[#This Row],[ Total Revenue ]]</f>
        <v>0.15822619977744631</v>
      </c>
    </row>
    <row r="565" spans="1:15" x14ac:dyDescent="0.2">
      <c r="A565">
        <v>452</v>
      </c>
      <c r="B565" t="s">
        <v>197</v>
      </c>
      <c r="C565" t="s">
        <v>11</v>
      </c>
      <c r="D565" s="48">
        <v>41274</v>
      </c>
      <c r="E565" s="3">
        <v>7383000000</v>
      </c>
      <c r="F565" s="3">
        <v>4365000000</v>
      </c>
      <c r="G565" s="3">
        <f>Project_Data_NYSE[[#This Row],[ Total Revenue ]]-Project_Data_NYSE[[#This Row],[ Cost of Goods Sold ]]</f>
        <v>3018000000</v>
      </c>
      <c r="H565" s="3">
        <v>1742000000</v>
      </c>
      <c r="I565" s="3">
        <v>0</v>
      </c>
      <c r="J565" s="3">
        <v>75000000</v>
      </c>
      <c r="K565" s="3">
        <f>Project_Data_NYSE[[#This Row],[Gross Profit]]-Project_Data_NYSE[[#This Row],[ Sales, General and Admin. ]]-Project_Data_NYSE[[#This Row],[ Research and Development ]]-Project_Data_NYSE[[#This Row],[ Other Operating Items ]]</f>
        <v>1201000000</v>
      </c>
      <c r="L565" t="s">
        <v>24</v>
      </c>
      <c r="M565" t="s">
        <v>198</v>
      </c>
      <c r="N565" s="31">
        <f>Project_Data_NYSE[[#This Row],[Gross Profit]]/Project_Data_NYSE[[#This Row],[ Total Revenue ]]</f>
        <v>0.40877691995123933</v>
      </c>
      <c r="O565" s="31">
        <f>Project_Data_NYSE[[#This Row],[Operating Profit]]/Project_Data_NYSE[[#This Row],[ Total Revenue ]]</f>
        <v>0.16267100094812406</v>
      </c>
    </row>
    <row r="566" spans="1:15" x14ac:dyDescent="0.2">
      <c r="A566">
        <v>592</v>
      </c>
      <c r="B566" t="s">
        <v>239</v>
      </c>
      <c r="C566" t="s">
        <v>11</v>
      </c>
      <c r="D566" s="48">
        <v>41639</v>
      </c>
      <c r="E566" s="3">
        <v>24888000000</v>
      </c>
      <c r="F566" s="3">
        <v>17994000000</v>
      </c>
      <c r="G566" s="3">
        <f>Project_Data_NYSE[[#This Row],[ Total Revenue ]]-Project_Data_NYSE[[#This Row],[ Cost of Goods Sold ]]</f>
        <v>6894000000</v>
      </c>
      <c r="H566" s="3">
        <v>1095000000</v>
      </c>
      <c r="I566" s="3">
        <v>0</v>
      </c>
      <c r="J566" s="3">
        <v>2153000000</v>
      </c>
      <c r="K566" s="3">
        <f>Project_Data_NYSE[[#This Row],[Gross Profit]]-Project_Data_NYSE[[#This Row],[ Sales, General and Admin. ]]-Project_Data_NYSE[[#This Row],[ Research and Development ]]-Project_Data_NYSE[[#This Row],[ Other Operating Items ]]</f>
        <v>3646000000</v>
      </c>
      <c r="L566" t="s">
        <v>41</v>
      </c>
      <c r="M566" t="s">
        <v>42</v>
      </c>
      <c r="N566" s="31">
        <f>Project_Data_NYSE[[#This Row],[Gross Profit]]/Project_Data_NYSE[[#This Row],[ Total Revenue ]]</f>
        <v>0.27700096432015431</v>
      </c>
      <c r="O566" s="31">
        <f>Project_Data_NYSE[[#This Row],[Operating Profit]]/Project_Data_NYSE[[#This Row],[ Total Revenue ]]</f>
        <v>0.14649630343940856</v>
      </c>
    </row>
    <row r="567" spans="1:15" x14ac:dyDescent="0.2">
      <c r="A567">
        <v>593</v>
      </c>
      <c r="B567" t="s">
        <v>239</v>
      </c>
      <c r="C567" t="s">
        <v>14</v>
      </c>
      <c r="D567" s="48">
        <v>42004</v>
      </c>
      <c r="E567" s="3">
        <v>27429000000</v>
      </c>
      <c r="F567" s="3">
        <v>21571000000</v>
      </c>
      <c r="G567" s="3">
        <f>Project_Data_NYSE[[#This Row],[ Total Revenue ]]-Project_Data_NYSE[[#This Row],[ Cost of Goods Sold ]]</f>
        <v>5858000000</v>
      </c>
      <c r="H567" s="3">
        <v>1154000000</v>
      </c>
      <c r="I567" s="3">
        <v>0</v>
      </c>
      <c r="J567" s="3">
        <v>2314000000</v>
      </c>
      <c r="K567" s="3">
        <f>Project_Data_NYSE[[#This Row],[Gross Profit]]-Project_Data_NYSE[[#This Row],[ Sales, General and Admin. ]]-Project_Data_NYSE[[#This Row],[ Research and Development ]]-Project_Data_NYSE[[#This Row],[ Other Operating Items ]]</f>
        <v>2390000000</v>
      </c>
      <c r="L567" t="s">
        <v>41</v>
      </c>
      <c r="M567" t="s">
        <v>42</v>
      </c>
      <c r="N567" s="31">
        <f>Project_Data_NYSE[[#This Row],[Gross Profit]]/Project_Data_NYSE[[#This Row],[ Total Revenue ]]</f>
        <v>0.21356957964198475</v>
      </c>
      <c r="O567" s="31">
        <f>Project_Data_NYSE[[#This Row],[Operating Profit]]/Project_Data_NYSE[[#This Row],[ Total Revenue ]]</f>
        <v>8.7134055197054208E-2</v>
      </c>
    </row>
    <row r="568" spans="1:15" x14ac:dyDescent="0.2">
      <c r="A568">
        <v>594</v>
      </c>
      <c r="B568" t="s">
        <v>239</v>
      </c>
      <c r="C568" t="s">
        <v>15</v>
      </c>
      <c r="D568" s="48">
        <v>42369</v>
      </c>
      <c r="E568" s="3">
        <v>29447000000</v>
      </c>
      <c r="F568" s="3">
        <v>21406000000</v>
      </c>
      <c r="G568" s="3">
        <f>Project_Data_NYSE[[#This Row],[ Total Revenue ]]-Project_Data_NYSE[[#This Row],[ Cost of Goods Sold ]]</f>
        <v>8041000000</v>
      </c>
      <c r="H568" s="3">
        <v>1200000000</v>
      </c>
      <c r="I568" s="3">
        <v>0</v>
      </c>
      <c r="J568" s="3">
        <v>2450000000</v>
      </c>
      <c r="K568" s="3">
        <f>Project_Data_NYSE[[#This Row],[Gross Profit]]-Project_Data_NYSE[[#This Row],[ Sales, General and Admin. ]]-Project_Data_NYSE[[#This Row],[ Research and Development ]]-Project_Data_NYSE[[#This Row],[ Other Operating Items ]]</f>
        <v>4391000000</v>
      </c>
      <c r="L568" t="s">
        <v>41</v>
      </c>
      <c r="M568" t="s">
        <v>42</v>
      </c>
      <c r="N568" s="31">
        <f>Project_Data_NYSE[[#This Row],[Gross Profit]]/Project_Data_NYSE[[#This Row],[ Total Revenue ]]</f>
        <v>0.27306686589465817</v>
      </c>
      <c r="O568" s="31">
        <f>Project_Data_NYSE[[#This Row],[Operating Profit]]/Project_Data_NYSE[[#This Row],[ Total Revenue ]]</f>
        <v>0.14911535979896084</v>
      </c>
    </row>
    <row r="569" spans="1:15" x14ac:dyDescent="0.2">
      <c r="A569">
        <v>595</v>
      </c>
      <c r="B569" t="s">
        <v>239</v>
      </c>
      <c r="C569" t="s">
        <v>16</v>
      </c>
      <c r="D569" s="48">
        <v>42735</v>
      </c>
      <c r="E569" s="3">
        <v>31360000000</v>
      </c>
      <c r="F569" s="3">
        <v>22688000000</v>
      </c>
      <c r="G569" s="3">
        <f>Project_Data_NYSE[[#This Row],[ Total Revenue ]]-Project_Data_NYSE[[#This Row],[ Cost of Goods Sold ]]</f>
        <v>8672000000</v>
      </c>
      <c r="H569" s="3">
        <v>1576000000</v>
      </c>
      <c r="I569" s="3">
        <v>0</v>
      </c>
      <c r="J569" s="3">
        <v>3936000000</v>
      </c>
      <c r="K569" s="3">
        <f>Project_Data_NYSE[[#This Row],[Gross Profit]]-Project_Data_NYSE[[#This Row],[ Sales, General and Admin. ]]-Project_Data_NYSE[[#This Row],[ Research and Development ]]-Project_Data_NYSE[[#This Row],[ Other Operating Items ]]</f>
        <v>3160000000</v>
      </c>
      <c r="L569" t="s">
        <v>41</v>
      </c>
      <c r="M569" t="s">
        <v>42</v>
      </c>
      <c r="N569" s="31">
        <f>Project_Data_NYSE[[#This Row],[Gross Profit]]/Project_Data_NYSE[[#This Row],[ Total Revenue ]]</f>
        <v>0.27653061224489794</v>
      </c>
      <c r="O569" s="31">
        <f>Project_Data_NYSE[[#This Row],[Operating Profit]]/Project_Data_NYSE[[#This Row],[ Total Revenue ]]</f>
        <v>0.10076530612244898</v>
      </c>
    </row>
    <row r="570" spans="1:15" x14ac:dyDescent="0.2">
      <c r="A570">
        <v>596</v>
      </c>
      <c r="B570" t="s">
        <v>240</v>
      </c>
      <c r="C570" t="s">
        <v>11</v>
      </c>
      <c r="D570" s="48">
        <v>41274</v>
      </c>
      <c r="E570" s="3">
        <v>5992215000</v>
      </c>
      <c r="F570" s="3">
        <v>4156845000</v>
      </c>
      <c r="G570" s="3">
        <f>Project_Data_NYSE[[#This Row],[ Total Revenue ]]-Project_Data_NYSE[[#This Row],[ Cost of Goods Sold ]]</f>
        <v>1835370000</v>
      </c>
      <c r="H570" s="3">
        <v>1264632000</v>
      </c>
      <c r="I570" s="3">
        <v>0</v>
      </c>
      <c r="J570" s="3">
        <v>39940000</v>
      </c>
      <c r="K570" s="3">
        <f>Project_Data_NYSE[[#This Row],[Gross Profit]]-Project_Data_NYSE[[#This Row],[ Sales, General and Admin. ]]-Project_Data_NYSE[[#This Row],[ Research and Development ]]-Project_Data_NYSE[[#This Row],[ Other Operating Items ]]</f>
        <v>530798000</v>
      </c>
      <c r="L570" t="s">
        <v>12</v>
      </c>
      <c r="M570" t="s">
        <v>145</v>
      </c>
      <c r="N570" s="31">
        <f>Project_Data_NYSE[[#This Row],[Gross Profit]]/Project_Data_NYSE[[#This Row],[ Total Revenue ]]</f>
        <v>0.306292414407694</v>
      </c>
      <c r="O570" s="31">
        <f>Project_Data_NYSE[[#This Row],[Operating Profit]]/Project_Data_NYSE[[#This Row],[ Total Revenue ]]</f>
        <v>8.8581267527950855E-2</v>
      </c>
    </row>
    <row r="571" spans="1:15" x14ac:dyDescent="0.2">
      <c r="A571">
        <v>597</v>
      </c>
      <c r="B571" t="s">
        <v>240</v>
      </c>
      <c r="C571" t="s">
        <v>14</v>
      </c>
      <c r="D571" s="48">
        <v>41639</v>
      </c>
      <c r="E571" s="3">
        <v>6080257000</v>
      </c>
      <c r="F571" s="3">
        <v>4197404000</v>
      </c>
      <c r="G571" s="3">
        <f>Project_Data_NYSE[[#This Row],[ Total Revenue ]]-Project_Data_NYSE[[#This Row],[ Cost of Goods Sold ]]</f>
        <v>1882853000</v>
      </c>
      <c r="H571" s="3">
        <v>1282709000</v>
      </c>
      <c r="I571" s="3">
        <v>0</v>
      </c>
      <c r="J571" s="3">
        <v>48071000</v>
      </c>
      <c r="K571" s="3">
        <f>Project_Data_NYSE[[#This Row],[Gross Profit]]-Project_Data_NYSE[[#This Row],[ Sales, General and Admin. ]]-Project_Data_NYSE[[#This Row],[ Research and Development ]]-Project_Data_NYSE[[#This Row],[ Other Operating Items ]]</f>
        <v>552073000</v>
      </c>
      <c r="L571" t="s">
        <v>12</v>
      </c>
      <c r="M571" t="s">
        <v>145</v>
      </c>
      <c r="N571" s="31">
        <f>Project_Data_NYSE[[#This Row],[Gross Profit]]/Project_Data_NYSE[[#This Row],[ Total Revenue ]]</f>
        <v>0.30966668020776095</v>
      </c>
      <c r="O571" s="31">
        <f>Project_Data_NYSE[[#This Row],[Operating Profit]]/Project_Data_NYSE[[#This Row],[ Total Revenue ]]</f>
        <v>9.0797642270713227E-2</v>
      </c>
    </row>
    <row r="572" spans="1:15" x14ac:dyDescent="0.2">
      <c r="A572">
        <v>598</v>
      </c>
      <c r="B572" t="s">
        <v>240</v>
      </c>
      <c r="C572" t="s">
        <v>15</v>
      </c>
      <c r="D572" s="48">
        <v>42004</v>
      </c>
      <c r="E572" s="3">
        <v>6564721000</v>
      </c>
      <c r="F572" s="3">
        <v>4583294000</v>
      </c>
      <c r="G572" s="3">
        <f>Project_Data_NYSE[[#This Row],[ Total Revenue ]]-Project_Data_NYSE[[#This Row],[ Cost of Goods Sold ]]</f>
        <v>1981427000</v>
      </c>
      <c r="H572" s="3">
        <v>1337487000</v>
      </c>
      <c r="I572" s="3">
        <v>0</v>
      </c>
      <c r="J572" s="3">
        <v>49292000</v>
      </c>
      <c r="K572" s="3">
        <f>Project_Data_NYSE[[#This Row],[Gross Profit]]-Project_Data_NYSE[[#This Row],[ Sales, General and Admin. ]]-Project_Data_NYSE[[#This Row],[ Research and Development ]]-Project_Data_NYSE[[#This Row],[ Other Operating Items ]]</f>
        <v>594648000</v>
      </c>
      <c r="L572" t="s">
        <v>12</v>
      </c>
      <c r="M572" t="s">
        <v>145</v>
      </c>
      <c r="N572" s="31">
        <f>Project_Data_NYSE[[#This Row],[Gross Profit]]/Project_Data_NYSE[[#This Row],[ Total Revenue ]]</f>
        <v>0.3018295827042764</v>
      </c>
      <c r="O572" s="31">
        <f>Project_Data_NYSE[[#This Row],[Operating Profit]]/Project_Data_NYSE[[#This Row],[ Total Revenue ]]</f>
        <v>9.058237204597118E-2</v>
      </c>
    </row>
    <row r="573" spans="1:15" x14ac:dyDescent="0.2">
      <c r="A573">
        <v>599</v>
      </c>
      <c r="B573" t="s">
        <v>240</v>
      </c>
      <c r="C573" t="s">
        <v>16</v>
      </c>
      <c r="D573" s="48">
        <v>42369</v>
      </c>
      <c r="E573" s="3">
        <v>6616632000</v>
      </c>
      <c r="F573" s="3">
        <v>4428855000</v>
      </c>
      <c r="G573" s="3">
        <f>Project_Data_NYSE[[#This Row],[ Total Revenue ]]-Project_Data_NYSE[[#This Row],[ Cost of Goods Sold ]]</f>
        <v>2187777000</v>
      </c>
      <c r="H573" s="3">
        <v>1420281000</v>
      </c>
      <c r="I573" s="3">
        <v>0</v>
      </c>
      <c r="J573" s="3">
        <v>46012000</v>
      </c>
      <c r="K573" s="3">
        <f>Project_Data_NYSE[[#This Row],[Gross Profit]]-Project_Data_NYSE[[#This Row],[ Sales, General and Admin. ]]-Project_Data_NYSE[[#This Row],[ Research and Development ]]-Project_Data_NYSE[[#This Row],[ Other Operating Items ]]</f>
        <v>721484000</v>
      </c>
      <c r="L573" t="s">
        <v>12</v>
      </c>
      <c r="M573" t="s">
        <v>145</v>
      </c>
      <c r="N573" s="31">
        <f>Project_Data_NYSE[[#This Row],[Gross Profit]]/Project_Data_NYSE[[#This Row],[ Total Revenue ]]</f>
        <v>0.33064813034788698</v>
      </c>
      <c r="O573" s="31">
        <f>Project_Data_NYSE[[#This Row],[Operating Profit]]/Project_Data_NYSE[[#This Row],[ Total Revenue ]]</f>
        <v>0.10904097432047</v>
      </c>
    </row>
    <row r="574" spans="1:15" x14ac:dyDescent="0.2">
      <c r="A574">
        <v>600</v>
      </c>
      <c r="B574" t="s">
        <v>241</v>
      </c>
      <c r="C574" t="s">
        <v>11</v>
      </c>
      <c r="D574" s="48">
        <v>41639</v>
      </c>
      <c r="E574" s="3">
        <v>4771259000</v>
      </c>
      <c r="F574" s="3">
        <v>1038034000</v>
      </c>
      <c r="G574" s="3">
        <f>Project_Data_NYSE[[#This Row],[ Total Revenue ]]-Project_Data_NYSE[[#This Row],[ Cost of Goods Sold ]]</f>
        <v>3733225000</v>
      </c>
      <c r="H574" s="3">
        <v>3151043000</v>
      </c>
      <c r="I574" s="3">
        <v>0</v>
      </c>
      <c r="J574" s="3">
        <v>71731000</v>
      </c>
      <c r="K574" s="3">
        <f>Project_Data_NYSE[[#This Row],[Gross Profit]]-Project_Data_NYSE[[#This Row],[ Sales, General and Admin. ]]-Project_Data_NYSE[[#This Row],[ Research and Development ]]-Project_Data_NYSE[[#This Row],[ Other Operating Items ]]</f>
        <v>510451000</v>
      </c>
      <c r="L574" t="s">
        <v>18</v>
      </c>
      <c r="M574" t="s">
        <v>76</v>
      </c>
      <c r="N574" s="31">
        <f>Project_Data_NYSE[[#This Row],[Gross Profit]]/Project_Data_NYSE[[#This Row],[ Total Revenue ]]</f>
        <v>0.78244023223220538</v>
      </c>
      <c r="O574" s="31">
        <f>Project_Data_NYSE[[#This Row],[Operating Profit]]/Project_Data_NYSE[[#This Row],[ Total Revenue ]]</f>
        <v>0.10698455061861031</v>
      </c>
    </row>
    <row r="575" spans="1:15" x14ac:dyDescent="0.2">
      <c r="A575">
        <v>601</v>
      </c>
      <c r="B575" t="s">
        <v>241</v>
      </c>
      <c r="C575" t="s">
        <v>14</v>
      </c>
      <c r="D575" s="48">
        <v>42004</v>
      </c>
      <c r="E575" s="3">
        <v>5763485000</v>
      </c>
      <c r="F575" s="3">
        <v>1179081000</v>
      </c>
      <c r="G575" s="3">
        <f>Project_Data_NYSE[[#This Row],[ Total Revenue ]]-Project_Data_NYSE[[#This Row],[ Cost of Goods Sold ]]</f>
        <v>4584404000</v>
      </c>
      <c r="H575" s="3">
        <v>3919856000</v>
      </c>
      <c r="I575" s="3">
        <v>0</v>
      </c>
      <c r="J575" s="3">
        <v>76773000</v>
      </c>
      <c r="K575" s="3">
        <f>Project_Data_NYSE[[#This Row],[Gross Profit]]-Project_Data_NYSE[[#This Row],[ Sales, General and Admin. ]]-Project_Data_NYSE[[#This Row],[ Research and Development ]]-Project_Data_NYSE[[#This Row],[ Other Operating Items ]]</f>
        <v>587775000</v>
      </c>
      <c r="L575" t="s">
        <v>18</v>
      </c>
      <c r="M575" t="s">
        <v>76</v>
      </c>
      <c r="N575" s="31">
        <f>Project_Data_NYSE[[#This Row],[Gross Profit]]/Project_Data_NYSE[[#This Row],[ Total Revenue ]]</f>
        <v>0.79542221416382619</v>
      </c>
      <c r="O575" s="31">
        <f>Project_Data_NYSE[[#This Row],[Operating Profit]]/Project_Data_NYSE[[#This Row],[ Total Revenue ]]</f>
        <v>0.10198256783872951</v>
      </c>
    </row>
    <row r="576" spans="1:15" x14ac:dyDescent="0.2">
      <c r="A576">
        <v>602</v>
      </c>
      <c r="B576" t="s">
        <v>241</v>
      </c>
      <c r="C576" t="s">
        <v>15</v>
      </c>
      <c r="D576" s="48">
        <v>42369</v>
      </c>
      <c r="E576" s="3">
        <v>6672317000</v>
      </c>
      <c r="F576" s="3">
        <v>1309559000</v>
      </c>
      <c r="G576" s="3">
        <f>Project_Data_NYSE[[#This Row],[ Total Revenue ]]-Project_Data_NYSE[[#This Row],[ Cost of Goods Sold ]]</f>
        <v>5362758000</v>
      </c>
      <c r="H576" s="3">
        <v>4785243000</v>
      </c>
      <c r="I576" s="3">
        <v>0</v>
      </c>
      <c r="J576" s="3">
        <v>156458000</v>
      </c>
      <c r="K576" s="3">
        <f>Project_Data_NYSE[[#This Row],[Gross Profit]]-Project_Data_NYSE[[#This Row],[ Sales, General and Admin. ]]-Project_Data_NYSE[[#This Row],[ Research and Development ]]-Project_Data_NYSE[[#This Row],[ Other Operating Items ]]</f>
        <v>421057000</v>
      </c>
      <c r="L576" t="s">
        <v>18</v>
      </c>
      <c r="M576" t="s">
        <v>76</v>
      </c>
      <c r="N576" s="31">
        <f>Project_Data_NYSE[[#This Row],[Gross Profit]]/Project_Data_NYSE[[#This Row],[ Total Revenue ]]</f>
        <v>0.80373249652257228</v>
      </c>
      <c r="O576" s="31">
        <f>Project_Data_NYSE[[#This Row],[Operating Profit]]/Project_Data_NYSE[[#This Row],[ Total Revenue ]]</f>
        <v>6.3105065301903365E-2</v>
      </c>
    </row>
    <row r="577" spans="1:15" x14ac:dyDescent="0.2">
      <c r="A577">
        <v>603</v>
      </c>
      <c r="B577" t="s">
        <v>241</v>
      </c>
      <c r="C577" t="s">
        <v>16</v>
      </c>
      <c r="D577" s="48">
        <v>42735</v>
      </c>
      <c r="E577" s="3">
        <v>8773564000</v>
      </c>
      <c r="F577" s="3">
        <v>1596698000</v>
      </c>
      <c r="G577" s="3">
        <f>Project_Data_NYSE[[#This Row],[ Total Revenue ]]-Project_Data_NYSE[[#This Row],[ Cost of Goods Sold ]]</f>
        <v>7176866000</v>
      </c>
      <c r="H577" s="3">
        <v>6280728000</v>
      </c>
      <c r="I577" s="3">
        <v>0</v>
      </c>
      <c r="J577" s="3">
        <v>317141000</v>
      </c>
      <c r="K577" s="3">
        <f>Project_Data_NYSE[[#This Row],[Gross Profit]]-Project_Data_NYSE[[#This Row],[ Sales, General and Admin. ]]-Project_Data_NYSE[[#This Row],[ Research and Development ]]-Project_Data_NYSE[[#This Row],[ Other Operating Items ]]</f>
        <v>578997000</v>
      </c>
      <c r="L577" t="s">
        <v>18</v>
      </c>
      <c r="M577" t="s">
        <v>76</v>
      </c>
      <c r="N577" s="31">
        <f>Project_Data_NYSE[[#This Row],[Gross Profit]]/Project_Data_NYSE[[#This Row],[ Total Revenue ]]</f>
        <v>0.81801033194719952</v>
      </c>
      <c r="O577" s="31">
        <f>Project_Data_NYSE[[#This Row],[Operating Profit]]/Project_Data_NYSE[[#This Row],[ Total Revenue ]]</f>
        <v>6.5993363700316082E-2</v>
      </c>
    </row>
    <row r="578" spans="1:15" x14ac:dyDescent="0.2">
      <c r="A578">
        <v>604</v>
      </c>
      <c r="B578" t="s">
        <v>242</v>
      </c>
      <c r="C578" t="s">
        <v>11</v>
      </c>
      <c r="D578" s="48">
        <v>41274</v>
      </c>
      <c r="E578" s="3">
        <v>409396000</v>
      </c>
      <c r="F578" s="3">
        <v>114028000</v>
      </c>
      <c r="G578" s="3">
        <f>Project_Data_NYSE[[#This Row],[ Total Revenue ]]-Project_Data_NYSE[[#This Row],[ Cost of Goods Sold ]]</f>
        <v>295368000</v>
      </c>
      <c r="H578" s="3">
        <v>58323000</v>
      </c>
      <c r="I578" s="3">
        <v>0</v>
      </c>
      <c r="J578" s="3">
        <v>74453000</v>
      </c>
      <c r="K578" s="3">
        <f>Project_Data_NYSE[[#This Row],[Gross Profit]]-Project_Data_NYSE[[#This Row],[ Sales, General and Admin. ]]-Project_Data_NYSE[[#This Row],[ Research and Development ]]-Project_Data_NYSE[[#This Row],[ Other Operating Items ]]</f>
        <v>162592000</v>
      </c>
      <c r="L578" t="s">
        <v>51</v>
      </c>
      <c r="M578" t="s">
        <v>74</v>
      </c>
      <c r="N578" s="31">
        <f>Project_Data_NYSE[[#This Row],[Gross Profit]]/Project_Data_NYSE[[#This Row],[ Total Revenue ]]</f>
        <v>0.72147260842802563</v>
      </c>
      <c r="O578" s="31">
        <f>Project_Data_NYSE[[#This Row],[Operating Profit]]/Project_Data_NYSE[[#This Row],[ Total Revenue ]]</f>
        <v>0.39715092477698855</v>
      </c>
    </row>
    <row r="579" spans="1:15" x14ac:dyDescent="0.2">
      <c r="A579">
        <v>605</v>
      </c>
      <c r="B579" t="s">
        <v>242</v>
      </c>
      <c r="C579" t="s">
        <v>14</v>
      </c>
      <c r="D579" s="48">
        <v>41639</v>
      </c>
      <c r="E579" s="3">
        <v>520613000</v>
      </c>
      <c r="F579" s="3">
        <v>140012000</v>
      </c>
      <c r="G579" s="3">
        <f>Project_Data_NYSE[[#This Row],[ Total Revenue ]]-Project_Data_NYSE[[#This Row],[ Cost of Goods Sold ]]</f>
        <v>380601000</v>
      </c>
      <c r="H579" s="3">
        <v>63268000</v>
      </c>
      <c r="I579" s="3">
        <v>0</v>
      </c>
      <c r="J579" s="3">
        <v>95232000</v>
      </c>
      <c r="K579" s="3">
        <f>Project_Data_NYSE[[#This Row],[Gross Profit]]-Project_Data_NYSE[[#This Row],[ Sales, General and Admin. ]]-Project_Data_NYSE[[#This Row],[ Research and Development ]]-Project_Data_NYSE[[#This Row],[ Other Operating Items ]]</f>
        <v>222101000</v>
      </c>
      <c r="L579" t="s">
        <v>51</v>
      </c>
      <c r="M579" t="s">
        <v>74</v>
      </c>
      <c r="N579" s="31">
        <f>Project_Data_NYSE[[#This Row],[Gross Profit]]/Project_Data_NYSE[[#This Row],[ Total Revenue ]]</f>
        <v>0.7310631889714625</v>
      </c>
      <c r="O579" s="31">
        <f>Project_Data_NYSE[[#This Row],[Operating Profit]]/Project_Data_NYSE[[#This Row],[ Total Revenue ]]</f>
        <v>0.42661439495364117</v>
      </c>
    </row>
    <row r="580" spans="1:15" x14ac:dyDescent="0.2">
      <c r="A580">
        <v>606</v>
      </c>
      <c r="B580" t="s">
        <v>242</v>
      </c>
      <c r="C580" t="s">
        <v>15</v>
      </c>
      <c r="D580" s="48">
        <v>42004</v>
      </c>
      <c r="E580" s="3">
        <v>647155000</v>
      </c>
      <c r="F580" s="3">
        <v>172416000</v>
      </c>
      <c r="G580" s="3">
        <f>Project_Data_NYSE[[#This Row],[ Total Revenue ]]-Project_Data_NYSE[[#This Row],[ Cost of Goods Sold ]]</f>
        <v>474739000</v>
      </c>
      <c r="H580" s="3">
        <v>71369000</v>
      </c>
      <c r="I580" s="3">
        <v>0</v>
      </c>
      <c r="J580" s="3">
        <v>115076000</v>
      </c>
      <c r="K580" s="3">
        <f>Project_Data_NYSE[[#This Row],[Gross Profit]]-Project_Data_NYSE[[#This Row],[ Sales, General and Admin. ]]-Project_Data_NYSE[[#This Row],[ Research and Development ]]-Project_Data_NYSE[[#This Row],[ Other Operating Items ]]</f>
        <v>288294000</v>
      </c>
      <c r="L580" t="s">
        <v>51</v>
      </c>
      <c r="M580" t="s">
        <v>74</v>
      </c>
      <c r="N580" s="31">
        <f>Project_Data_NYSE[[#This Row],[Gross Profit]]/Project_Data_NYSE[[#This Row],[ Total Revenue ]]</f>
        <v>0.73357850901252408</v>
      </c>
      <c r="O580" s="31">
        <f>Project_Data_NYSE[[#This Row],[Operating Profit]]/Project_Data_NYSE[[#This Row],[ Total Revenue ]]</f>
        <v>0.44547905833996493</v>
      </c>
    </row>
    <row r="581" spans="1:15" x14ac:dyDescent="0.2">
      <c r="A581">
        <v>607</v>
      </c>
      <c r="B581" t="s">
        <v>242</v>
      </c>
      <c r="C581" t="s">
        <v>16</v>
      </c>
      <c r="D581" s="48">
        <v>42369</v>
      </c>
      <c r="E581" s="3">
        <v>782270000</v>
      </c>
      <c r="F581" s="3">
        <v>203965000</v>
      </c>
      <c r="G581" s="3">
        <f>Project_Data_NYSE[[#This Row],[ Total Revenue ]]-Project_Data_NYSE[[#This Row],[ Cost of Goods Sold ]]</f>
        <v>578305000</v>
      </c>
      <c r="H581" s="3">
        <v>80791000</v>
      </c>
      <c r="I581" s="3">
        <v>0</v>
      </c>
      <c r="J581" s="3">
        <v>133457000</v>
      </c>
      <c r="K581" s="3">
        <f>Project_Data_NYSE[[#This Row],[Gross Profit]]-Project_Data_NYSE[[#This Row],[ Sales, General and Admin. ]]-Project_Data_NYSE[[#This Row],[ Research and Development ]]-Project_Data_NYSE[[#This Row],[ Other Operating Items ]]</f>
        <v>364057000</v>
      </c>
      <c r="L581" t="s">
        <v>51</v>
      </c>
      <c r="M581" t="s">
        <v>74</v>
      </c>
      <c r="N581" s="31">
        <f>Project_Data_NYSE[[#This Row],[Gross Profit]]/Project_Data_NYSE[[#This Row],[ Total Revenue ]]</f>
        <v>0.73926521533485878</v>
      </c>
      <c r="O581" s="31">
        <f>Project_Data_NYSE[[#This Row],[Operating Profit]]/Project_Data_NYSE[[#This Row],[ Total Revenue ]]</f>
        <v>0.46538535288327559</v>
      </c>
    </row>
    <row r="582" spans="1:15" x14ac:dyDescent="0.2">
      <c r="A582">
        <v>608</v>
      </c>
      <c r="B582" t="s">
        <v>243</v>
      </c>
      <c r="C582" t="s">
        <v>11</v>
      </c>
      <c r="D582" s="48">
        <v>41639</v>
      </c>
      <c r="E582" s="3">
        <v>146917000000</v>
      </c>
      <c r="F582" s="3">
        <v>123050000000</v>
      </c>
      <c r="G582" s="3">
        <f>Project_Data_NYSE[[#This Row],[ Total Revenue ]]-Project_Data_NYSE[[#This Row],[ Cost of Goods Sold ]]</f>
        <v>23867000000</v>
      </c>
      <c r="H582" s="3">
        <v>10850000000</v>
      </c>
      <c r="I582" s="3">
        <v>0</v>
      </c>
      <c r="J582" s="3">
        <v>0</v>
      </c>
      <c r="K582" s="3">
        <f>Project_Data_NYSE[[#This Row],[Gross Profit]]-Project_Data_NYSE[[#This Row],[ Sales, General and Admin. ]]-Project_Data_NYSE[[#This Row],[ Research and Development ]]-Project_Data_NYSE[[#This Row],[ Other Operating Items ]]</f>
        <v>13017000000</v>
      </c>
      <c r="L582" t="s">
        <v>18</v>
      </c>
      <c r="M582" t="s">
        <v>244</v>
      </c>
      <c r="N582" s="31">
        <f>Project_Data_NYSE[[#This Row],[Gross Profit]]/Project_Data_NYSE[[#This Row],[ Total Revenue ]]</f>
        <v>0.16245226896819293</v>
      </c>
      <c r="O582" s="31">
        <f>Project_Data_NYSE[[#This Row],[Operating Profit]]/Project_Data_NYSE[[#This Row],[ Total Revenue ]]</f>
        <v>8.8601046849581741E-2</v>
      </c>
    </row>
    <row r="583" spans="1:15" x14ac:dyDescent="0.2">
      <c r="A583">
        <v>609</v>
      </c>
      <c r="B583" t="s">
        <v>243</v>
      </c>
      <c r="C583" t="s">
        <v>14</v>
      </c>
      <c r="D583" s="48">
        <v>42004</v>
      </c>
      <c r="E583" s="3">
        <v>144077000000</v>
      </c>
      <c r="F583" s="3">
        <v>131903000000</v>
      </c>
      <c r="G583" s="3">
        <f>Project_Data_NYSE[[#This Row],[ Total Revenue ]]-Project_Data_NYSE[[#This Row],[ Cost of Goods Sold ]]</f>
        <v>12174000000</v>
      </c>
      <c r="H583" s="3">
        <v>11842000000</v>
      </c>
      <c r="I583" s="3">
        <v>0</v>
      </c>
      <c r="J583" s="3">
        <v>0</v>
      </c>
      <c r="K583" s="3">
        <f>Project_Data_NYSE[[#This Row],[Gross Profit]]-Project_Data_NYSE[[#This Row],[ Sales, General and Admin. ]]-Project_Data_NYSE[[#This Row],[ Research and Development ]]-Project_Data_NYSE[[#This Row],[ Other Operating Items ]]</f>
        <v>332000000</v>
      </c>
      <c r="L583" t="s">
        <v>18</v>
      </c>
      <c r="M583" t="s">
        <v>244</v>
      </c>
      <c r="N583" s="31">
        <f>Project_Data_NYSE[[#This Row],[Gross Profit]]/Project_Data_NYSE[[#This Row],[ Total Revenue ]]</f>
        <v>8.4496484518694862E-2</v>
      </c>
      <c r="O583" s="31">
        <f>Project_Data_NYSE[[#This Row],[Operating Profit]]/Project_Data_NYSE[[#This Row],[ Total Revenue ]]</f>
        <v>2.3043233826356741E-3</v>
      </c>
    </row>
    <row r="584" spans="1:15" x14ac:dyDescent="0.2">
      <c r="A584">
        <v>610</v>
      </c>
      <c r="B584" t="s">
        <v>243</v>
      </c>
      <c r="C584" t="s">
        <v>15</v>
      </c>
      <c r="D584" s="48">
        <v>42369</v>
      </c>
      <c r="E584" s="3">
        <v>149558000000</v>
      </c>
      <c r="F584" s="3">
        <v>131409000000</v>
      </c>
      <c r="G584" s="3">
        <f>Project_Data_NYSE[[#This Row],[ Total Revenue ]]-Project_Data_NYSE[[#This Row],[ Cost of Goods Sold ]]</f>
        <v>18149000000</v>
      </c>
      <c r="H584" s="3">
        <v>10502000000</v>
      </c>
      <c r="I584" s="3">
        <v>0</v>
      </c>
      <c r="J584" s="3">
        <v>0</v>
      </c>
      <c r="K584" s="3">
        <f>Project_Data_NYSE[[#This Row],[Gross Profit]]-Project_Data_NYSE[[#This Row],[ Sales, General and Admin. ]]-Project_Data_NYSE[[#This Row],[ Research and Development ]]-Project_Data_NYSE[[#This Row],[ Other Operating Items ]]</f>
        <v>7647000000</v>
      </c>
      <c r="L584" t="s">
        <v>18</v>
      </c>
      <c r="M584" t="s">
        <v>244</v>
      </c>
      <c r="N584" s="31">
        <f>Project_Data_NYSE[[#This Row],[Gross Profit]]/Project_Data_NYSE[[#This Row],[ Total Revenue ]]</f>
        <v>0.12135091402666524</v>
      </c>
      <c r="O584" s="31">
        <f>Project_Data_NYSE[[#This Row],[Operating Profit]]/Project_Data_NYSE[[#This Row],[ Total Revenue ]]</f>
        <v>5.113066502627743E-2</v>
      </c>
    </row>
    <row r="585" spans="1:15" x14ac:dyDescent="0.2">
      <c r="A585">
        <v>611</v>
      </c>
      <c r="B585" t="s">
        <v>243</v>
      </c>
      <c r="C585" t="s">
        <v>16</v>
      </c>
      <c r="D585" s="48">
        <v>42735</v>
      </c>
      <c r="E585" s="3">
        <v>151800000000</v>
      </c>
      <c r="F585" s="3">
        <v>135488000000</v>
      </c>
      <c r="G585" s="3">
        <f>Project_Data_NYSE[[#This Row],[ Total Revenue ]]-Project_Data_NYSE[[#This Row],[ Cost of Goods Sold ]]</f>
        <v>16312000000</v>
      </c>
      <c r="H585" s="3">
        <v>12196000000</v>
      </c>
      <c r="I585" s="3">
        <v>0</v>
      </c>
      <c r="J585" s="3">
        <v>0</v>
      </c>
      <c r="K585" s="3">
        <f>Project_Data_NYSE[[#This Row],[Gross Profit]]-Project_Data_NYSE[[#This Row],[ Sales, General and Admin. ]]-Project_Data_NYSE[[#This Row],[ Research and Development ]]-Project_Data_NYSE[[#This Row],[ Other Operating Items ]]</f>
        <v>4116000000</v>
      </c>
      <c r="L585" t="s">
        <v>18</v>
      </c>
      <c r="M585" t="s">
        <v>244</v>
      </c>
      <c r="N585" s="31">
        <f>Project_Data_NYSE[[#This Row],[Gross Profit]]/Project_Data_NYSE[[#This Row],[ Total Revenue ]]</f>
        <v>0.10745718050065876</v>
      </c>
      <c r="O585" s="31">
        <f>Project_Data_NYSE[[#This Row],[Operating Profit]]/Project_Data_NYSE[[#This Row],[ Total Revenue ]]</f>
        <v>2.7114624505928855E-2</v>
      </c>
    </row>
    <row r="586" spans="1:15" x14ac:dyDescent="0.2">
      <c r="A586">
        <v>612</v>
      </c>
      <c r="B586" t="s">
        <v>245</v>
      </c>
      <c r="C586" t="s">
        <v>11</v>
      </c>
      <c r="D586" s="48">
        <v>41639</v>
      </c>
      <c r="E586" s="3">
        <v>3326106000</v>
      </c>
      <c r="F586" s="3">
        <v>1606661000</v>
      </c>
      <c r="G586" s="3">
        <f>Project_Data_NYSE[[#This Row],[ Total Revenue ]]-Project_Data_NYSE[[#This Row],[ Cost of Goods Sold ]]</f>
        <v>1719445000</v>
      </c>
      <c r="H586" s="3">
        <v>1007431000</v>
      </c>
      <c r="I586" s="3">
        <v>0</v>
      </c>
      <c r="J586" s="3">
        <v>0</v>
      </c>
      <c r="K586" s="3">
        <f>Project_Data_NYSE[[#This Row],[Gross Profit]]-Project_Data_NYSE[[#This Row],[ Sales, General and Admin. ]]-Project_Data_NYSE[[#This Row],[ Research and Development ]]-Project_Data_NYSE[[#This Row],[ Other Operating Items ]]</f>
        <v>712014000</v>
      </c>
      <c r="L586" t="s">
        <v>12</v>
      </c>
      <c r="M586" t="s">
        <v>63</v>
      </c>
      <c r="N586" s="31">
        <f>Project_Data_NYSE[[#This Row],[Gross Profit]]/Project_Data_NYSE[[#This Row],[ Total Revenue ]]</f>
        <v>0.51695436044431542</v>
      </c>
      <c r="O586" s="31">
        <f>Project_Data_NYSE[[#This Row],[Operating Profit]]/Project_Data_NYSE[[#This Row],[ Total Revenue ]]</f>
        <v>0.21406834298125196</v>
      </c>
    </row>
    <row r="587" spans="1:15" x14ac:dyDescent="0.2">
      <c r="A587">
        <v>613</v>
      </c>
      <c r="B587" t="s">
        <v>245</v>
      </c>
      <c r="C587" t="s">
        <v>14</v>
      </c>
      <c r="D587" s="48">
        <v>42004</v>
      </c>
      <c r="E587" s="3">
        <v>3733507000</v>
      </c>
      <c r="F587" s="3">
        <v>1836105000</v>
      </c>
      <c r="G587" s="3">
        <f>Project_Data_NYSE[[#This Row],[ Total Revenue ]]-Project_Data_NYSE[[#This Row],[ Cost of Goods Sold ]]</f>
        <v>1897402000</v>
      </c>
      <c r="H587" s="3">
        <v>1110776000</v>
      </c>
      <c r="I587" s="3">
        <v>0</v>
      </c>
      <c r="J587" s="3">
        <v>0</v>
      </c>
      <c r="K587" s="3">
        <f>Project_Data_NYSE[[#This Row],[Gross Profit]]-Project_Data_NYSE[[#This Row],[ Sales, General and Admin. ]]-Project_Data_NYSE[[#This Row],[ Research and Development ]]-Project_Data_NYSE[[#This Row],[ Other Operating Items ]]</f>
        <v>786626000</v>
      </c>
      <c r="L587" t="s">
        <v>12</v>
      </c>
      <c r="M587" t="s">
        <v>63</v>
      </c>
      <c r="N587" s="31">
        <f>Project_Data_NYSE[[#This Row],[Gross Profit]]/Project_Data_NYSE[[#This Row],[ Total Revenue ]]</f>
        <v>0.50820903777601056</v>
      </c>
      <c r="O587" s="31">
        <f>Project_Data_NYSE[[#This Row],[Operating Profit]]/Project_Data_NYSE[[#This Row],[ Total Revenue ]]</f>
        <v>0.21069359184273659</v>
      </c>
    </row>
    <row r="588" spans="1:15" x14ac:dyDescent="0.2">
      <c r="A588">
        <v>614</v>
      </c>
      <c r="B588" t="s">
        <v>245</v>
      </c>
      <c r="C588" t="s">
        <v>15</v>
      </c>
      <c r="D588" s="48">
        <v>42369</v>
      </c>
      <c r="E588" s="3">
        <v>3869187000</v>
      </c>
      <c r="F588" s="3">
        <v>1920253000</v>
      </c>
      <c r="G588" s="3">
        <f>Project_Data_NYSE[[#This Row],[ Total Revenue ]]-Project_Data_NYSE[[#This Row],[ Cost of Goods Sold ]]</f>
        <v>1948934000</v>
      </c>
      <c r="H588" s="3">
        <v>1121590000</v>
      </c>
      <c r="I588" s="3">
        <v>0</v>
      </c>
      <c r="J588" s="3">
        <v>0</v>
      </c>
      <c r="K588" s="3">
        <f>Project_Data_NYSE[[#This Row],[Gross Profit]]-Project_Data_NYSE[[#This Row],[ Sales, General and Admin. ]]-Project_Data_NYSE[[#This Row],[ Research and Development ]]-Project_Data_NYSE[[#This Row],[ Other Operating Items ]]</f>
        <v>827344000</v>
      </c>
      <c r="L588" t="s">
        <v>12</v>
      </c>
      <c r="M588" t="s">
        <v>63</v>
      </c>
      <c r="N588" s="31">
        <f>Project_Data_NYSE[[#This Row],[Gross Profit]]/Project_Data_NYSE[[#This Row],[ Total Revenue ]]</f>
        <v>0.50370633417304467</v>
      </c>
      <c r="O588" s="31">
        <f>Project_Data_NYSE[[#This Row],[Operating Profit]]/Project_Data_NYSE[[#This Row],[ Total Revenue ]]</f>
        <v>0.21382889997304344</v>
      </c>
    </row>
    <row r="589" spans="1:15" x14ac:dyDescent="0.2">
      <c r="A589">
        <v>615</v>
      </c>
      <c r="B589" t="s">
        <v>245</v>
      </c>
      <c r="C589" t="s">
        <v>16</v>
      </c>
      <c r="D589" s="48">
        <v>42735</v>
      </c>
      <c r="E589" s="3">
        <v>3962036000</v>
      </c>
      <c r="F589" s="3">
        <v>1997259000</v>
      </c>
      <c r="G589" s="3">
        <f>Project_Data_NYSE[[#This Row],[ Total Revenue ]]-Project_Data_NYSE[[#This Row],[ Cost of Goods Sold ]]</f>
        <v>1964777000</v>
      </c>
      <c r="H589" s="3">
        <v>1169470000</v>
      </c>
      <c r="I589" s="3">
        <v>0</v>
      </c>
      <c r="J589" s="3">
        <v>0</v>
      </c>
      <c r="K589" s="3">
        <f>Project_Data_NYSE[[#This Row],[Gross Profit]]-Project_Data_NYSE[[#This Row],[ Sales, General and Admin. ]]-Project_Data_NYSE[[#This Row],[ Research and Development ]]-Project_Data_NYSE[[#This Row],[ Other Operating Items ]]</f>
        <v>795307000</v>
      </c>
      <c r="L589" t="s">
        <v>12</v>
      </c>
      <c r="M589" t="s">
        <v>63</v>
      </c>
      <c r="N589" s="31">
        <f>Project_Data_NYSE[[#This Row],[Gross Profit]]/Project_Data_NYSE[[#This Row],[ Total Revenue ]]</f>
        <v>0.49590084491912745</v>
      </c>
      <c r="O589" s="31">
        <f>Project_Data_NYSE[[#This Row],[Operating Profit]]/Project_Data_NYSE[[#This Row],[ Total Revenue ]]</f>
        <v>0.20073189642900771</v>
      </c>
    </row>
    <row r="590" spans="1:15" x14ac:dyDescent="0.2">
      <c r="A590">
        <v>616</v>
      </c>
      <c r="B590" t="s">
        <v>246</v>
      </c>
      <c r="C590" t="s">
        <v>11</v>
      </c>
      <c r="D590" s="48">
        <v>41639</v>
      </c>
      <c r="E590" s="3">
        <v>7872000000</v>
      </c>
      <c r="F590" s="3">
        <v>1875000000</v>
      </c>
      <c r="G590" s="3">
        <f>Project_Data_NYSE[[#This Row],[ Total Revenue ]]-Project_Data_NYSE[[#This Row],[ Cost of Goods Sold ]]</f>
        <v>5997000000</v>
      </c>
      <c r="H590" s="3">
        <v>1778000000</v>
      </c>
      <c r="I590" s="3">
        <v>1415000000</v>
      </c>
      <c r="J590" s="3">
        <v>0</v>
      </c>
      <c r="K590" s="3">
        <f>Project_Data_NYSE[[#This Row],[Gross Profit]]-Project_Data_NYSE[[#This Row],[ Sales, General and Admin. ]]-Project_Data_NYSE[[#This Row],[ Research and Development ]]-Project_Data_NYSE[[#This Row],[ Other Operating Items ]]</f>
        <v>2804000000</v>
      </c>
      <c r="L590" t="s">
        <v>21</v>
      </c>
      <c r="M590" t="s">
        <v>56</v>
      </c>
      <c r="N590" s="31">
        <f>Project_Data_NYSE[[#This Row],[Gross Profit]]/Project_Data_NYSE[[#This Row],[ Total Revenue ]]</f>
        <v>0.76181402439024393</v>
      </c>
      <c r="O590" s="31">
        <f>Project_Data_NYSE[[#This Row],[Operating Profit]]/Project_Data_NYSE[[#This Row],[ Total Revenue ]]</f>
        <v>0.35619918699186992</v>
      </c>
    </row>
    <row r="591" spans="1:15" x14ac:dyDescent="0.2">
      <c r="A591">
        <v>617</v>
      </c>
      <c r="B591" t="s">
        <v>246</v>
      </c>
      <c r="C591" t="s">
        <v>14</v>
      </c>
      <c r="D591" s="48">
        <v>42004</v>
      </c>
      <c r="E591" s="3">
        <v>12466000000</v>
      </c>
      <c r="F591" s="3">
        <v>2153000000</v>
      </c>
      <c r="G591" s="3">
        <f>Project_Data_NYSE[[#This Row],[ Total Revenue ]]-Project_Data_NYSE[[#This Row],[ Cost of Goods Sold ]]</f>
        <v>10313000000</v>
      </c>
      <c r="H591" s="3">
        <v>2653000000</v>
      </c>
      <c r="I591" s="3">
        <v>2666000000</v>
      </c>
      <c r="J591" s="3">
        <v>0</v>
      </c>
      <c r="K591" s="3">
        <f>Project_Data_NYSE[[#This Row],[Gross Profit]]-Project_Data_NYSE[[#This Row],[ Sales, General and Admin. ]]-Project_Data_NYSE[[#This Row],[ Research and Development ]]-Project_Data_NYSE[[#This Row],[ Other Operating Items ]]</f>
        <v>4994000000</v>
      </c>
      <c r="L591" t="s">
        <v>21</v>
      </c>
      <c r="M591" t="s">
        <v>56</v>
      </c>
      <c r="N591" s="31">
        <f>Project_Data_NYSE[[#This Row],[Gross Profit]]/Project_Data_NYSE[[#This Row],[ Total Revenue ]]</f>
        <v>0.82729022942403341</v>
      </c>
      <c r="O591" s="31">
        <f>Project_Data_NYSE[[#This Row],[Operating Profit]]/Project_Data_NYSE[[#This Row],[ Total Revenue ]]</f>
        <v>0.40060965827049577</v>
      </c>
    </row>
    <row r="592" spans="1:15" x14ac:dyDescent="0.2">
      <c r="A592">
        <v>618</v>
      </c>
      <c r="B592" t="s">
        <v>246</v>
      </c>
      <c r="C592" t="s">
        <v>15</v>
      </c>
      <c r="D592" s="48">
        <v>42369</v>
      </c>
      <c r="E592" s="3">
        <v>17928000000</v>
      </c>
      <c r="F592" s="3">
        <v>2867000000</v>
      </c>
      <c r="G592" s="3">
        <f>Project_Data_NYSE[[#This Row],[ Total Revenue ]]-Project_Data_NYSE[[#This Row],[ Cost of Goods Sold ]]</f>
        <v>15061000000</v>
      </c>
      <c r="H592" s="3">
        <v>4020000000</v>
      </c>
      <c r="I592" s="3">
        <v>4816000000</v>
      </c>
      <c r="J592" s="3">
        <v>0</v>
      </c>
      <c r="K592" s="3">
        <f>Project_Data_NYSE[[#This Row],[Gross Profit]]-Project_Data_NYSE[[#This Row],[ Sales, General and Admin. ]]-Project_Data_NYSE[[#This Row],[ Research and Development ]]-Project_Data_NYSE[[#This Row],[ Other Operating Items ]]</f>
        <v>6225000000</v>
      </c>
      <c r="L592" t="s">
        <v>21</v>
      </c>
      <c r="M592" t="s">
        <v>56</v>
      </c>
      <c r="N592" s="31">
        <f>Project_Data_NYSE[[#This Row],[Gross Profit]]/Project_Data_NYSE[[#This Row],[ Total Revenue ]]</f>
        <v>0.84008255243195007</v>
      </c>
      <c r="O592" s="31">
        <f>Project_Data_NYSE[[#This Row],[Operating Profit]]/Project_Data_NYSE[[#This Row],[ Total Revenue ]]</f>
        <v>0.34722222222222221</v>
      </c>
    </row>
    <row r="593" spans="1:15" x14ac:dyDescent="0.2">
      <c r="A593">
        <v>619</v>
      </c>
      <c r="B593" t="s">
        <v>246</v>
      </c>
      <c r="C593" t="s">
        <v>16</v>
      </c>
      <c r="D593" s="48">
        <v>42735</v>
      </c>
      <c r="E593" s="3">
        <v>27638000000</v>
      </c>
      <c r="F593" s="3">
        <v>3789000000</v>
      </c>
      <c r="G593" s="3">
        <f>Project_Data_NYSE[[#This Row],[ Total Revenue ]]-Project_Data_NYSE[[#This Row],[ Cost of Goods Sold ]]</f>
        <v>23849000000</v>
      </c>
      <c r="H593" s="3">
        <v>5503000000</v>
      </c>
      <c r="I593" s="3">
        <v>5919000000</v>
      </c>
      <c r="J593" s="3">
        <v>0</v>
      </c>
      <c r="K593" s="3">
        <f>Project_Data_NYSE[[#This Row],[Gross Profit]]-Project_Data_NYSE[[#This Row],[ Sales, General and Admin. ]]-Project_Data_NYSE[[#This Row],[ Research and Development ]]-Project_Data_NYSE[[#This Row],[ Other Operating Items ]]</f>
        <v>12427000000</v>
      </c>
      <c r="L593" t="s">
        <v>21</v>
      </c>
      <c r="M593" t="s">
        <v>56</v>
      </c>
      <c r="N593" s="31">
        <f>Project_Data_NYSE[[#This Row],[Gross Profit]]/Project_Data_NYSE[[#This Row],[ Total Revenue ]]</f>
        <v>0.86290614371517471</v>
      </c>
      <c r="O593" s="31">
        <f>Project_Data_NYSE[[#This Row],[Operating Profit]]/Project_Data_NYSE[[#This Row],[ Total Revenue ]]</f>
        <v>0.44963456111151312</v>
      </c>
    </row>
    <row r="594" spans="1:15" x14ac:dyDescent="0.2">
      <c r="A594">
        <v>620</v>
      </c>
      <c r="B594" t="s">
        <v>247</v>
      </c>
      <c r="C594" t="s">
        <v>11</v>
      </c>
      <c r="D594" s="48">
        <v>41274</v>
      </c>
      <c r="E594" s="3">
        <v>3134800000</v>
      </c>
      <c r="F594" s="3">
        <v>2093200000</v>
      </c>
      <c r="G594" s="3">
        <f>Project_Data_NYSE[[#This Row],[ Total Revenue ]]-Project_Data_NYSE[[#This Row],[ Cost of Goods Sold ]]</f>
        <v>1041600000</v>
      </c>
      <c r="H594" s="3">
        <v>873100000</v>
      </c>
      <c r="I594" s="3">
        <v>0</v>
      </c>
      <c r="J594" s="3">
        <v>7400000</v>
      </c>
      <c r="K594" s="3">
        <f>Project_Data_NYSE[[#This Row],[Gross Profit]]-Project_Data_NYSE[[#This Row],[ Sales, General and Admin. ]]-Project_Data_NYSE[[#This Row],[ Research and Development ]]-Project_Data_NYSE[[#This Row],[ Other Operating Items ]]</f>
        <v>161100000</v>
      </c>
      <c r="L594" t="s">
        <v>12</v>
      </c>
      <c r="M594" t="s">
        <v>63</v>
      </c>
      <c r="N594" s="31">
        <f>Project_Data_NYSE[[#This Row],[Gross Profit]]/Project_Data_NYSE[[#This Row],[ Total Revenue ]]</f>
        <v>0.33227000127599848</v>
      </c>
      <c r="O594" s="31">
        <f>Project_Data_NYSE[[#This Row],[Operating Profit]]/Project_Data_NYSE[[#This Row],[ Total Revenue ]]</f>
        <v>5.1390838330994004E-2</v>
      </c>
    </row>
    <row r="595" spans="1:15" x14ac:dyDescent="0.2">
      <c r="A595">
        <v>621</v>
      </c>
      <c r="B595" t="s">
        <v>247</v>
      </c>
      <c r="C595" t="s">
        <v>14</v>
      </c>
      <c r="D595" s="48">
        <v>41639</v>
      </c>
      <c r="E595" s="3">
        <v>3703600000</v>
      </c>
      <c r="F595" s="3">
        <v>2408500000</v>
      </c>
      <c r="G595" s="3">
        <f>Project_Data_NYSE[[#This Row],[ Total Revenue ]]-Project_Data_NYSE[[#This Row],[ Cost of Goods Sold ]]</f>
        <v>1295100000</v>
      </c>
      <c r="H595" s="3">
        <v>938700000</v>
      </c>
      <c r="I595" s="3">
        <v>0</v>
      </c>
      <c r="J595" s="3">
        <v>9400000</v>
      </c>
      <c r="K595" s="3">
        <f>Project_Data_NYSE[[#This Row],[Gross Profit]]-Project_Data_NYSE[[#This Row],[ Sales, General and Admin. ]]-Project_Data_NYSE[[#This Row],[ Research and Development ]]-Project_Data_NYSE[[#This Row],[ Other Operating Items ]]</f>
        <v>347000000</v>
      </c>
      <c r="L595" t="s">
        <v>12</v>
      </c>
      <c r="M595" t="s">
        <v>63</v>
      </c>
      <c r="N595" s="31">
        <f>Project_Data_NYSE[[#This Row],[Gross Profit]]/Project_Data_NYSE[[#This Row],[ Total Revenue ]]</f>
        <v>0.34968679123015445</v>
      </c>
      <c r="O595" s="31">
        <f>Project_Data_NYSE[[#This Row],[Operating Profit]]/Project_Data_NYSE[[#This Row],[ Total Revenue ]]</f>
        <v>9.3692623393455021E-2</v>
      </c>
    </row>
    <row r="596" spans="1:15" x14ac:dyDescent="0.2">
      <c r="A596">
        <v>622</v>
      </c>
      <c r="B596" t="s">
        <v>247</v>
      </c>
      <c r="C596" t="s">
        <v>15</v>
      </c>
      <c r="D596" s="48">
        <v>42004</v>
      </c>
      <c r="E596" s="3">
        <v>4013600000</v>
      </c>
      <c r="F596" s="3">
        <v>2646700000</v>
      </c>
      <c r="G596" s="3">
        <f>Project_Data_NYSE[[#This Row],[ Total Revenue ]]-Project_Data_NYSE[[#This Row],[ Cost of Goods Sold ]]</f>
        <v>1366900000</v>
      </c>
      <c r="H596" s="3">
        <v>943300000</v>
      </c>
      <c r="I596" s="3">
        <v>0</v>
      </c>
      <c r="J596" s="3">
        <v>13100000</v>
      </c>
      <c r="K596" s="3">
        <f>Project_Data_NYSE[[#This Row],[Gross Profit]]-Project_Data_NYSE[[#This Row],[ Sales, General and Admin. ]]-Project_Data_NYSE[[#This Row],[ Research and Development ]]-Project_Data_NYSE[[#This Row],[ Other Operating Items ]]</f>
        <v>410500000</v>
      </c>
      <c r="L596" t="s">
        <v>12</v>
      </c>
      <c r="M596" t="s">
        <v>63</v>
      </c>
      <c r="N596" s="31">
        <f>Project_Data_NYSE[[#This Row],[Gross Profit]]/Project_Data_NYSE[[#This Row],[ Total Revenue ]]</f>
        <v>0.3405670719553518</v>
      </c>
      <c r="O596" s="31">
        <f>Project_Data_NYSE[[#This Row],[Operating Profit]]/Project_Data_NYSE[[#This Row],[ Total Revenue ]]</f>
        <v>0.10227725732509468</v>
      </c>
    </row>
    <row r="597" spans="1:15" x14ac:dyDescent="0.2">
      <c r="A597">
        <v>623</v>
      </c>
      <c r="B597" t="s">
        <v>247</v>
      </c>
      <c r="C597" t="s">
        <v>16</v>
      </c>
      <c r="D597" s="48">
        <v>42369</v>
      </c>
      <c r="E597" s="3">
        <v>4579400000</v>
      </c>
      <c r="F597" s="3">
        <v>2997500000</v>
      </c>
      <c r="G597" s="3">
        <f>Project_Data_NYSE[[#This Row],[ Total Revenue ]]-Project_Data_NYSE[[#This Row],[ Cost of Goods Sold ]]</f>
        <v>1581900000</v>
      </c>
      <c r="H597" s="3">
        <v>1047600000</v>
      </c>
      <c r="I597" s="3">
        <v>0</v>
      </c>
      <c r="J597" s="3">
        <v>21600000</v>
      </c>
      <c r="K597" s="3">
        <f>Project_Data_NYSE[[#This Row],[Gross Profit]]-Project_Data_NYSE[[#This Row],[ Sales, General and Admin. ]]-Project_Data_NYSE[[#This Row],[ Research and Development ]]-Project_Data_NYSE[[#This Row],[ Other Operating Items ]]</f>
        <v>512700000</v>
      </c>
      <c r="L597" t="s">
        <v>12</v>
      </c>
      <c r="M597" t="s">
        <v>63</v>
      </c>
      <c r="N597" s="31">
        <f>Project_Data_NYSE[[#This Row],[Gross Profit]]/Project_Data_NYSE[[#This Row],[ Total Revenue ]]</f>
        <v>0.34543826702188057</v>
      </c>
      <c r="O597" s="31">
        <f>Project_Data_NYSE[[#This Row],[Operating Profit]]/Project_Data_NYSE[[#This Row],[ Total Revenue ]]</f>
        <v>0.11195789841463948</v>
      </c>
    </row>
    <row r="598" spans="1:15" x14ac:dyDescent="0.2">
      <c r="A598">
        <v>624</v>
      </c>
      <c r="B598" t="s">
        <v>248</v>
      </c>
      <c r="C598" t="s">
        <v>11</v>
      </c>
      <c r="D598" s="48">
        <v>41274</v>
      </c>
      <c r="E598" s="3">
        <v>18010000000</v>
      </c>
      <c r="F598" s="3">
        <v>11561000000</v>
      </c>
      <c r="G598" s="3">
        <f>Project_Data_NYSE[[#This Row],[ Total Revenue ]]-Project_Data_NYSE[[#This Row],[ Cost of Goods Sold ]]</f>
        <v>6449000000</v>
      </c>
      <c r="H598" s="3">
        <v>431000000</v>
      </c>
      <c r="I598" s="3">
        <v>285000000</v>
      </c>
      <c r="J598" s="3">
        <v>0</v>
      </c>
      <c r="K598" s="3">
        <f>Project_Data_NYSE[[#This Row],[Gross Profit]]-Project_Data_NYSE[[#This Row],[ Sales, General and Admin. ]]-Project_Data_NYSE[[#This Row],[ Research and Development ]]-Project_Data_NYSE[[#This Row],[ Other Operating Items ]]</f>
        <v>5733000000</v>
      </c>
      <c r="L598" t="s">
        <v>58</v>
      </c>
      <c r="M598" t="s">
        <v>249</v>
      </c>
      <c r="N598" s="31">
        <f>Project_Data_NYSE[[#This Row],[Gross Profit]]/Project_Data_NYSE[[#This Row],[ Total Revenue ]]</f>
        <v>0.3580788450860633</v>
      </c>
      <c r="O598" s="31">
        <f>Project_Data_NYSE[[#This Row],[Operating Profit]]/Project_Data_NYSE[[#This Row],[ Total Revenue ]]</f>
        <v>0.3183231538034425</v>
      </c>
    </row>
    <row r="599" spans="1:15" x14ac:dyDescent="0.2">
      <c r="A599">
        <v>625</v>
      </c>
      <c r="B599" t="s">
        <v>248</v>
      </c>
      <c r="C599" t="s">
        <v>14</v>
      </c>
      <c r="D599" s="48">
        <v>41639</v>
      </c>
      <c r="E599" s="3">
        <v>20921000000</v>
      </c>
      <c r="F599" s="3">
        <v>14637000000</v>
      </c>
      <c r="G599" s="3">
        <f>Project_Data_NYSE[[#This Row],[ Total Revenue ]]-Project_Data_NYSE[[#This Row],[ Cost of Goods Sold ]]</f>
        <v>6284000000</v>
      </c>
      <c r="H599" s="3">
        <v>657000000</v>
      </c>
      <c r="I599" s="3">
        <v>210000000</v>
      </c>
      <c r="J599" s="3">
        <v>0</v>
      </c>
      <c r="K599" s="3">
        <f>Project_Data_NYSE[[#This Row],[Gross Profit]]-Project_Data_NYSE[[#This Row],[ Sales, General and Admin. ]]-Project_Data_NYSE[[#This Row],[ Research and Development ]]-Project_Data_NYSE[[#This Row],[ Other Operating Items ]]</f>
        <v>5417000000</v>
      </c>
      <c r="L599" t="s">
        <v>58</v>
      </c>
      <c r="M599" t="s">
        <v>249</v>
      </c>
      <c r="N599" s="31">
        <f>Project_Data_NYSE[[#This Row],[Gross Profit]]/Project_Data_NYSE[[#This Row],[ Total Revenue ]]</f>
        <v>0.30036805124038046</v>
      </c>
      <c r="O599" s="31">
        <f>Project_Data_NYSE[[#This Row],[Operating Profit]]/Project_Data_NYSE[[#This Row],[ Total Revenue ]]</f>
        <v>0.25892643755078631</v>
      </c>
    </row>
    <row r="600" spans="1:15" x14ac:dyDescent="0.2">
      <c r="A600">
        <v>626</v>
      </c>
      <c r="B600" t="s">
        <v>248</v>
      </c>
      <c r="C600" t="s">
        <v>15</v>
      </c>
      <c r="D600" s="48">
        <v>42004</v>
      </c>
      <c r="E600" s="3">
        <v>21438000000</v>
      </c>
      <c r="F600" s="3">
        <v>19504000000</v>
      </c>
      <c r="G600" s="3">
        <f>Project_Data_NYSE[[#This Row],[ Total Revenue ]]-Project_Data_NYSE[[#This Row],[ Cost of Goods Sold ]]</f>
        <v>1934000000</v>
      </c>
      <c r="H600" s="3">
        <v>592000000</v>
      </c>
      <c r="I600" s="3">
        <v>126000000</v>
      </c>
      <c r="J600" s="3">
        <v>0</v>
      </c>
      <c r="K600" s="3">
        <f>Project_Data_NYSE[[#This Row],[Gross Profit]]-Project_Data_NYSE[[#This Row],[ Sales, General and Admin. ]]-Project_Data_NYSE[[#This Row],[ Research and Development ]]-Project_Data_NYSE[[#This Row],[ Other Operating Items ]]</f>
        <v>1216000000</v>
      </c>
      <c r="L600" t="s">
        <v>58</v>
      </c>
      <c r="M600" t="s">
        <v>249</v>
      </c>
      <c r="N600" s="31">
        <f>Project_Data_NYSE[[#This Row],[Gross Profit]]/Project_Data_NYSE[[#This Row],[ Total Revenue ]]</f>
        <v>9.0213639332027237E-2</v>
      </c>
      <c r="O600" s="31">
        <f>Project_Data_NYSE[[#This Row],[Operating Profit]]/Project_Data_NYSE[[#This Row],[ Total Revenue ]]</f>
        <v>5.6721709114656217E-2</v>
      </c>
    </row>
    <row r="601" spans="1:15" x14ac:dyDescent="0.2">
      <c r="A601">
        <v>627</v>
      </c>
      <c r="B601" t="s">
        <v>248</v>
      </c>
      <c r="C601" t="s">
        <v>16</v>
      </c>
      <c r="D601" s="48">
        <v>42369</v>
      </c>
      <c r="E601" s="3">
        <v>15877000000</v>
      </c>
      <c r="F601" s="3">
        <v>28524000000</v>
      </c>
      <c r="G601" s="3">
        <f>Project_Data_NYSE[[#This Row],[ Total Revenue ]]-Project_Data_NYSE[[#This Row],[ Cost of Goods Sold ]]</f>
        <v>-12647000000</v>
      </c>
      <c r="H601" s="3">
        <v>569000000</v>
      </c>
      <c r="I601" s="3">
        <v>127000000</v>
      </c>
      <c r="J601" s="3">
        <v>0</v>
      </c>
      <c r="K601" s="3">
        <f>Project_Data_NYSE[[#This Row],[Gross Profit]]-Project_Data_NYSE[[#This Row],[ Sales, General and Admin. ]]-Project_Data_NYSE[[#This Row],[ Research and Development ]]-Project_Data_NYSE[[#This Row],[ Other Operating Items ]]</f>
        <v>-13343000000</v>
      </c>
      <c r="L601" t="s">
        <v>58</v>
      </c>
      <c r="M601" t="s">
        <v>249</v>
      </c>
      <c r="N601" s="31">
        <f>Project_Data_NYSE[[#This Row],[Gross Profit]]/Project_Data_NYSE[[#This Row],[ Total Revenue ]]</f>
        <v>-0.79656106317314357</v>
      </c>
      <c r="O601" s="31">
        <f>Project_Data_NYSE[[#This Row],[Operating Profit]]/Project_Data_NYSE[[#This Row],[ Total Revenue ]]</f>
        <v>-0.8403980600869182</v>
      </c>
    </row>
    <row r="602" spans="1:15" x14ac:dyDescent="0.2">
      <c r="A602">
        <v>628</v>
      </c>
      <c r="B602" t="s">
        <v>250</v>
      </c>
      <c r="C602" t="s">
        <v>11</v>
      </c>
      <c r="D602" s="48">
        <v>41425</v>
      </c>
      <c r="E602" s="3">
        <v>44287000000</v>
      </c>
      <c r="F602" s="3">
        <v>16448000000</v>
      </c>
      <c r="G602" s="3">
        <f>Project_Data_NYSE[[#This Row],[ Total Revenue ]]-Project_Data_NYSE[[#This Row],[ Cost of Goods Sold ]]</f>
        <v>27839000000</v>
      </c>
      <c r="H602" s="3">
        <v>20359000000</v>
      </c>
      <c r="I602" s="3">
        <v>0</v>
      </c>
      <c r="J602" s="3">
        <v>2386000000</v>
      </c>
      <c r="K602" s="3">
        <f>Project_Data_NYSE[[#This Row],[Gross Profit]]-Project_Data_NYSE[[#This Row],[ Sales, General and Admin. ]]-Project_Data_NYSE[[#This Row],[ Research and Development ]]-Project_Data_NYSE[[#This Row],[ Other Operating Items ]]</f>
        <v>5094000000</v>
      </c>
      <c r="L602" t="s">
        <v>12</v>
      </c>
      <c r="M602" t="s">
        <v>145</v>
      </c>
      <c r="N602" s="31">
        <f>Project_Data_NYSE[[#This Row],[Gross Profit]]/Project_Data_NYSE[[#This Row],[ Total Revenue ]]</f>
        <v>0.62860433084200784</v>
      </c>
      <c r="O602" s="31">
        <f>Project_Data_NYSE[[#This Row],[Operating Profit]]/Project_Data_NYSE[[#This Row],[ Total Revenue ]]</f>
        <v>0.11502246708966514</v>
      </c>
    </row>
    <row r="603" spans="1:15" x14ac:dyDescent="0.2">
      <c r="A603">
        <v>629</v>
      </c>
      <c r="B603" t="s">
        <v>250</v>
      </c>
      <c r="C603" t="s">
        <v>14</v>
      </c>
      <c r="D603" s="48">
        <v>41790</v>
      </c>
      <c r="E603" s="3">
        <v>45567000000</v>
      </c>
      <c r="F603" s="3">
        <v>17052000000</v>
      </c>
      <c r="G603" s="3">
        <f>Project_Data_NYSE[[#This Row],[ Total Revenue ]]-Project_Data_NYSE[[#This Row],[ Cost of Goods Sold ]]</f>
        <v>28515000000</v>
      </c>
      <c r="H603" s="3">
        <v>22113000000</v>
      </c>
      <c r="I603" s="3">
        <v>0</v>
      </c>
      <c r="J603" s="3">
        <v>2587000000</v>
      </c>
      <c r="K603" s="3">
        <f>Project_Data_NYSE[[#This Row],[Gross Profit]]-Project_Data_NYSE[[#This Row],[ Sales, General and Admin. ]]-Project_Data_NYSE[[#This Row],[ Research and Development ]]-Project_Data_NYSE[[#This Row],[ Other Operating Items ]]</f>
        <v>3815000000</v>
      </c>
      <c r="L603" t="s">
        <v>12</v>
      </c>
      <c r="M603" t="s">
        <v>145</v>
      </c>
      <c r="N603" s="31">
        <f>Project_Data_NYSE[[#This Row],[Gross Profit]]/Project_Data_NYSE[[#This Row],[ Total Revenue ]]</f>
        <v>0.62578181578774117</v>
      </c>
      <c r="O603" s="31">
        <f>Project_Data_NYSE[[#This Row],[Operating Profit]]/Project_Data_NYSE[[#This Row],[ Total Revenue ]]</f>
        <v>8.3722869620558735E-2</v>
      </c>
    </row>
    <row r="604" spans="1:15" x14ac:dyDescent="0.2">
      <c r="A604">
        <v>630</v>
      </c>
      <c r="B604" t="s">
        <v>250</v>
      </c>
      <c r="C604" t="s">
        <v>15</v>
      </c>
      <c r="D604" s="48">
        <v>42155</v>
      </c>
      <c r="E604" s="3">
        <v>47453000000</v>
      </c>
      <c r="F604" s="3">
        <v>16984000000</v>
      </c>
      <c r="G604" s="3">
        <f>Project_Data_NYSE[[#This Row],[ Total Revenue ]]-Project_Data_NYSE[[#This Row],[ Cost of Goods Sold ]]</f>
        <v>30469000000</v>
      </c>
      <c r="H604" s="3">
        <v>25715000000</v>
      </c>
      <c r="I604" s="3">
        <v>0</v>
      </c>
      <c r="J604" s="3">
        <v>2611000000</v>
      </c>
      <c r="K604" s="3">
        <f>Project_Data_NYSE[[#This Row],[Gross Profit]]-Project_Data_NYSE[[#This Row],[ Sales, General and Admin. ]]-Project_Data_NYSE[[#This Row],[ Research and Development ]]-Project_Data_NYSE[[#This Row],[ Other Operating Items ]]</f>
        <v>2143000000</v>
      </c>
      <c r="L604" t="s">
        <v>12</v>
      </c>
      <c r="M604" t="s">
        <v>145</v>
      </c>
      <c r="N604" s="31">
        <f>Project_Data_NYSE[[#This Row],[Gross Profit]]/Project_Data_NYSE[[#This Row],[ Total Revenue ]]</f>
        <v>0.6420879607190273</v>
      </c>
      <c r="O604" s="31">
        <f>Project_Data_NYSE[[#This Row],[Operating Profit]]/Project_Data_NYSE[[#This Row],[ Total Revenue ]]</f>
        <v>4.5160474574842478E-2</v>
      </c>
    </row>
    <row r="605" spans="1:15" x14ac:dyDescent="0.2">
      <c r="A605">
        <v>631</v>
      </c>
      <c r="B605" t="s">
        <v>250</v>
      </c>
      <c r="C605" t="s">
        <v>16</v>
      </c>
      <c r="D605" s="48">
        <v>42521</v>
      </c>
      <c r="E605" s="3">
        <v>50365000000</v>
      </c>
      <c r="F605" s="3">
        <v>17327000000</v>
      </c>
      <c r="G605" s="3">
        <f>Project_Data_NYSE[[#This Row],[ Total Revenue ]]-Project_Data_NYSE[[#This Row],[ Cost of Goods Sold ]]</f>
        <v>33038000000</v>
      </c>
      <c r="H605" s="3">
        <v>27330000000</v>
      </c>
      <c r="I605" s="3">
        <v>0</v>
      </c>
      <c r="J605" s="3">
        <v>2631000000</v>
      </c>
      <c r="K605" s="3">
        <f>Project_Data_NYSE[[#This Row],[Gross Profit]]-Project_Data_NYSE[[#This Row],[ Sales, General and Admin. ]]-Project_Data_NYSE[[#This Row],[ Research and Development ]]-Project_Data_NYSE[[#This Row],[ Other Operating Items ]]</f>
        <v>3077000000</v>
      </c>
      <c r="L605" t="s">
        <v>12</v>
      </c>
      <c r="M605" t="s">
        <v>145</v>
      </c>
      <c r="N605" s="31">
        <f>Project_Data_NYSE[[#This Row],[Gross Profit]]/Project_Data_NYSE[[#This Row],[ Total Revenue ]]</f>
        <v>0.6559714087163705</v>
      </c>
      <c r="O605" s="31">
        <f>Project_Data_NYSE[[#This Row],[Operating Profit]]/Project_Data_NYSE[[#This Row],[ Total Revenue ]]</f>
        <v>6.1094013699990075E-2</v>
      </c>
    </row>
    <row r="606" spans="1:15" x14ac:dyDescent="0.2">
      <c r="A606">
        <v>632</v>
      </c>
      <c r="B606" t="s">
        <v>251</v>
      </c>
      <c r="C606" t="s">
        <v>11</v>
      </c>
      <c r="D606" s="48">
        <v>41274</v>
      </c>
      <c r="E606" s="3">
        <v>15255000000</v>
      </c>
      <c r="F606" s="3">
        <v>6717000000</v>
      </c>
      <c r="G606" s="3">
        <f>Project_Data_NYSE[[#This Row],[ Total Revenue ]]-Project_Data_NYSE[[#This Row],[ Cost of Goods Sold ]]</f>
        <v>8538000000</v>
      </c>
      <c r="H606" s="3">
        <v>5353000000</v>
      </c>
      <c r="I606" s="3">
        <v>0</v>
      </c>
      <c r="J606" s="3">
        <v>1051000000</v>
      </c>
      <c r="K606" s="3">
        <f>Project_Data_NYSE[[#This Row],[Gross Profit]]-Project_Data_NYSE[[#This Row],[ Sales, General and Admin. ]]-Project_Data_NYSE[[#This Row],[ Research and Development ]]-Project_Data_NYSE[[#This Row],[ Other Operating Items ]]</f>
        <v>2134000000</v>
      </c>
      <c r="L606" t="s">
        <v>41</v>
      </c>
      <c r="M606" t="s">
        <v>44</v>
      </c>
      <c r="N606" s="31">
        <f>Project_Data_NYSE[[#This Row],[Gross Profit]]/Project_Data_NYSE[[#This Row],[ Total Revenue ]]</f>
        <v>0.55968534906588008</v>
      </c>
      <c r="O606" s="31">
        <f>Project_Data_NYSE[[#This Row],[Operating Profit]]/Project_Data_NYSE[[#This Row],[ Total Revenue ]]</f>
        <v>0.13988856112749917</v>
      </c>
    </row>
    <row r="607" spans="1:15" x14ac:dyDescent="0.2">
      <c r="A607">
        <v>633</v>
      </c>
      <c r="B607" t="s">
        <v>251</v>
      </c>
      <c r="C607" t="s">
        <v>14</v>
      </c>
      <c r="D607" s="48">
        <v>41639</v>
      </c>
      <c r="E607" s="3">
        <v>14892000000</v>
      </c>
      <c r="F607" s="3">
        <v>6459000000</v>
      </c>
      <c r="G607" s="3">
        <f>Project_Data_NYSE[[#This Row],[ Total Revenue ]]-Project_Data_NYSE[[#This Row],[ Cost of Goods Sold ]]</f>
        <v>8433000000</v>
      </c>
      <c r="H607" s="3">
        <v>4315000000</v>
      </c>
      <c r="I607" s="3">
        <v>0</v>
      </c>
      <c r="J607" s="3">
        <v>1741000000</v>
      </c>
      <c r="K607" s="3">
        <f>Project_Data_NYSE[[#This Row],[Gross Profit]]-Project_Data_NYSE[[#This Row],[ Sales, General and Admin. ]]-Project_Data_NYSE[[#This Row],[ Research and Development ]]-Project_Data_NYSE[[#This Row],[ Other Operating Items ]]</f>
        <v>2377000000</v>
      </c>
      <c r="L607" t="s">
        <v>41</v>
      </c>
      <c r="M607" t="s">
        <v>44</v>
      </c>
      <c r="N607" s="31">
        <f>Project_Data_NYSE[[#This Row],[Gross Profit]]/Project_Data_NYSE[[#This Row],[ Total Revenue ]]</f>
        <v>0.56627719580983082</v>
      </c>
      <c r="O607" s="31">
        <f>Project_Data_NYSE[[#This Row],[Operating Profit]]/Project_Data_NYSE[[#This Row],[ Total Revenue ]]</f>
        <v>0.15961590115498253</v>
      </c>
    </row>
    <row r="608" spans="1:15" x14ac:dyDescent="0.2">
      <c r="A608">
        <v>634</v>
      </c>
      <c r="B608" t="s">
        <v>251</v>
      </c>
      <c r="C608" t="s">
        <v>15</v>
      </c>
      <c r="D608" s="48">
        <v>42004</v>
      </c>
      <c r="E608" s="3">
        <v>15049000000</v>
      </c>
      <c r="F608" s="3">
        <v>6996000000</v>
      </c>
      <c r="G608" s="3">
        <f>Project_Data_NYSE[[#This Row],[ Total Revenue ]]-Project_Data_NYSE[[#This Row],[ Cost of Goods Sold ]]</f>
        <v>8053000000</v>
      </c>
      <c r="H608" s="3">
        <v>5759000000</v>
      </c>
      <c r="I608" s="3">
        <v>0</v>
      </c>
      <c r="J608" s="3">
        <v>1232000000</v>
      </c>
      <c r="K608" s="3">
        <f>Project_Data_NYSE[[#This Row],[Gross Profit]]-Project_Data_NYSE[[#This Row],[ Sales, General and Admin. ]]-Project_Data_NYSE[[#This Row],[ Research and Development ]]-Project_Data_NYSE[[#This Row],[ Other Operating Items ]]</f>
        <v>1062000000</v>
      </c>
      <c r="L608" t="s">
        <v>41</v>
      </c>
      <c r="M608" t="s">
        <v>44</v>
      </c>
      <c r="N608" s="31">
        <f>Project_Data_NYSE[[#This Row],[Gross Profit]]/Project_Data_NYSE[[#This Row],[ Total Revenue ]]</f>
        <v>0.53511861253239423</v>
      </c>
      <c r="O608" s="31">
        <f>Project_Data_NYSE[[#This Row],[Operating Profit]]/Project_Data_NYSE[[#This Row],[ Total Revenue ]]</f>
        <v>7.0569473054688026E-2</v>
      </c>
    </row>
    <row r="609" spans="1:15" x14ac:dyDescent="0.2">
      <c r="A609">
        <v>635</v>
      </c>
      <c r="B609" t="s">
        <v>251</v>
      </c>
      <c r="C609" t="s">
        <v>16</v>
      </c>
      <c r="D609" s="48">
        <v>42369</v>
      </c>
      <c r="E609" s="3">
        <v>15026000000</v>
      </c>
      <c r="F609" s="3">
        <v>6173000000</v>
      </c>
      <c r="G609" s="3">
        <f>Project_Data_NYSE[[#This Row],[ Total Revenue ]]-Project_Data_NYSE[[#This Row],[ Cost of Goods Sold ]]</f>
        <v>8853000000</v>
      </c>
      <c r="H609" s="3">
        <v>4969000000</v>
      </c>
      <c r="I609" s="3">
        <v>0</v>
      </c>
      <c r="J609" s="3">
        <v>1550000000</v>
      </c>
      <c r="K609" s="3">
        <f>Project_Data_NYSE[[#This Row],[Gross Profit]]-Project_Data_NYSE[[#This Row],[ Sales, General and Admin. ]]-Project_Data_NYSE[[#This Row],[ Research and Development ]]-Project_Data_NYSE[[#This Row],[ Other Operating Items ]]</f>
        <v>2334000000</v>
      </c>
      <c r="L609" t="s">
        <v>41</v>
      </c>
      <c r="M609" t="s">
        <v>44</v>
      </c>
      <c r="N609" s="31">
        <f>Project_Data_NYSE[[#This Row],[Gross Profit]]/Project_Data_NYSE[[#This Row],[ Total Revenue ]]</f>
        <v>0.58917875682150933</v>
      </c>
      <c r="O609" s="31">
        <f>Project_Data_NYSE[[#This Row],[Operating Profit]]/Project_Data_NYSE[[#This Row],[ Total Revenue ]]</f>
        <v>0.15533076001597232</v>
      </c>
    </row>
    <row r="610" spans="1:15" x14ac:dyDescent="0.2">
      <c r="A610">
        <v>636</v>
      </c>
      <c r="B610" t="s">
        <v>252</v>
      </c>
      <c r="C610" t="s">
        <v>11</v>
      </c>
      <c r="D610" s="48">
        <v>41547</v>
      </c>
      <c r="E610" s="3">
        <v>1481314000</v>
      </c>
      <c r="F610" s="3">
        <v>253047000</v>
      </c>
      <c r="G610" s="3">
        <f>Project_Data_NYSE[[#This Row],[ Total Revenue ]]-Project_Data_NYSE[[#This Row],[ Cost of Goods Sold ]]</f>
        <v>1228267000</v>
      </c>
      <c r="H610" s="3">
        <v>587835000</v>
      </c>
      <c r="I610" s="3">
        <v>209614000</v>
      </c>
      <c r="J610" s="3">
        <v>0</v>
      </c>
      <c r="K610" s="3">
        <f>Project_Data_NYSE[[#This Row],[Gross Profit]]-Project_Data_NYSE[[#This Row],[ Sales, General and Admin. ]]-Project_Data_NYSE[[#This Row],[ Research and Development ]]-Project_Data_NYSE[[#This Row],[ Other Operating Items ]]</f>
        <v>430818000</v>
      </c>
      <c r="L610" t="s">
        <v>21</v>
      </c>
      <c r="M610" t="s">
        <v>173</v>
      </c>
      <c r="N610" s="31">
        <f>Project_Data_NYSE[[#This Row],[Gross Profit]]/Project_Data_NYSE[[#This Row],[ Total Revenue ]]</f>
        <v>0.82917396311653035</v>
      </c>
      <c r="O610" s="31">
        <f>Project_Data_NYSE[[#This Row],[Operating Profit]]/Project_Data_NYSE[[#This Row],[ Total Revenue ]]</f>
        <v>0.29083502890001717</v>
      </c>
    </row>
    <row r="611" spans="1:15" x14ac:dyDescent="0.2">
      <c r="A611">
        <v>637</v>
      </c>
      <c r="B611" t="s">
        <v>252</v>
      </c>
      <c r="C611" t="s">
        <v>14</v>
      </c>
      <c r="D611" s="48">
        <v>41912</v>
      </c>
      <c r="E611" s="3">
        <v>1732046000</v>
      </c>
      <c r="F611" s="3">
        <v>309959000</v>
      </c>
      <c r="G611" s="3">
        <f>Project_Data_NYSE[[#This Row],[ Total Revenue ]]-Project_Data_NYSE[[#This Row],[ Cost of Goods Sold ]]</f>
        <v>1422087000</v>
      </c>
      <c r="H611" s="3">
        <v>664738000</v>
      </c>
      <c r="I611" s="3">
        <v>263792000</v>
      </c>
      <c r="J611" s="3">
        <v>0</v>
      </c>
      <c r="K611" s="3">
        <f>Project_Data_NYSE[[#This Row],[Gross Profit]]-Project_Data_NYSE[[#This Row],[ Sales, General and Admin. ]]-Project_Data_NYSE[[#This Row],[ Research and Development ]]-Project_Data_NYSE[[#This Row],[ Other Operating Items ]]</f>
        <v>493557000</v>
      </c>
      <c r="L611" t="s">
        <v>21</v>
      </c>
      <c r="M611" t="s">
        <v>173</v>
      </c>
      <c r="N611" s="31">
        <f>Project_Data_NYSE[[#This Row],[Gross Profit]]/Project_Data_NYSE[[#This Row],[ Total Revenue ]]</f>
        <v>0.82104459119446016</v>
      </c>
      <c r="O611" s="31">
        <f>Project_Data_NYSE[[#This Row],[Operating Profit]]/Project_Data_NYSE[[#This Row],[ Total Revenue ]]</f>
        <v>0.28495605774904359</v>
      </c>
    </row>
    <row r="612" spans="1:15" x14ac:dyDescent="0.2">
      <c r="A612">
        <v>638</v>
      </c>
      <c r="B612" t="s">
        <v>252</v>
      </c>
      <c r="C612" t="s">
        <v>15</v>
      </c>
      <c r="D612" s="48">
        <v>42277</v>
      </c>
      <c r="E612" s="3">
        <v>1919823000</v>
      </c>
      <c r="F612" s="3">
        <v>332261000</v>
      </c>
      <c r="G612" s="3">
        <f>Project_Data_NYSE[[#This Row],[ Total Revenue ]]-Project_Data_NYSE[[#This Row],[ Cost of Goods Sold ]]</f>
        <v>1587562000</v>
      </c>
      <c r="H612" s="3">
        <v>738080000</v>
      </c>
      <c r="I612" s="3">
        <v>296583000</v>
      </c>
      <c r="J612" s="3">
        <v>0</v>
      </c>
      <c r="K612" s="3">
        <f>Project_Data_NYSE[[#This Row],[Gross Profit]]-Project_Data_NYSE[[#This Row],[ Sales, General and Admin. ]]-Project_Data_NYSE[[#This Row],[ Research and Development ]]-Project_Data_NYSE[[#This Row],[ Other Operating Items ]]</f>
        <v>552899000</v>
      </c>
      <c r="L612" t="s">
        <v>21</v>
      </c>
      <c r="M612" t="s">
        <v>173</v>
      </c>
      <c r="N612" s="31">
        <f>Project_Data_NYSE[[#This Row],[Gross Profit]]/Project_Data_NYSE[[#This Row],[ Total Revenue ]]</f>
        <v>0.82693144107555749</v>
      </c>
      <c r="O612" s="31">
        <f>Project_Data_NYSE[[#This Row],[Operating Profit]]/Project_Data_NYSE[[#This Row],[ Total Revenue ]]</f>
        <v>0.28799477868532675</v>
      </c>
    </row>
    <row r="613" spans="1:15" x14ac:dyDescent="0.2">
      <c r="A613">
        <v>639</v>
      </c>
      <c r="B613" t="s">
        <v>252</v>
      </c>
      <c r="C613" t="s">
        <v>16</v>
      </c>
      <c r="D613" s="48">
        <v>42643</v>
      </c>
      <c r="E613" s="3">
        <v>1995034000</v>
      </c>
      <c r="F613" s="3">
        <v>337205000</v>
      </c>
      <c r="G613" s="3">
        <f>Project_Data_NYSE[[#This Row],[ Total Revenue ]]-Project_Data_NYSE[[#This Row],[ Cost of Goods Sold ]]</f>
        <v>1657829000</v>
      </c>
      <c r="H613" s="3">
        <v>767174000</v>
      </c>
      <c r="I613" s="3">
        <v>334227000</v>
      </c>
      <c r="J613" s="3">
        <v>0</v>
      </c>
      <c r="K613" s="3">
        <f>Project_Data_NYSE[[#This Row],[Gross Profit]]-Project_Data_NYSE[[#This Row],[ Sales, General and Admin. ]]-Project_Data_NYSE[[#This Row],[ Research and Development ]]-Project_Data_NYSE[[#This Row],[ Other Operating Items ]]</f>
        <v>556428000</v>
      </c>
      <c r="L613" t="s">
        <v>21</v>
      </c>
      <c r="M613" t="s">
        <v>173</v>
      </c>
      <c r="N613" s="31">
        <f>Project_Data_NYSE[[#This Row],[Gross Profit]]/Project_Data_NYSE[[#This Row],[ Total Revenue ]]</f>
        <v>0.83097781792190006</v>
      </c>
      <c r="O613" s="31">
        <f>Project_Data_NYSE[[#This Row],[Operating Profit]]/Project_Data_NYSE[[#This Row],[ Total Revenue ]]</f>
        <v>0.27890652490133</v>
      </c>
    </row>
    <row r="614" spans="1:15" x14ac:dyDescent="0.2">
      <c r="A614">
        <v>640</v>
      </c>
      <c r="B614" t="s">
        <v>253</v>
      </c>
      <c r="C614" t="s">
        <v>11</v>
      </c>
      <c r="D614" s="48">
        <v>41274</v>
      </c>
      <c r="E614" s="3">
        <v>5795800000</v>
      </c>
      <c r="F614" s="3">
        <v>3956200000</v>
      </c>
      <c r="G614" s="3">
        <f>Project_Data_NYSE[[#This Row],[ Total Revenue ]]-Project_Data_NYSE[[#This Row],[ Cost of Goods Sold ]]</f>
        <v>1839600000</v>
      </c>
      <c r="H614" s="3">
        <v>763300000</v>
      </c>
      <c r="I614" s="3">
        <v>0</v>
      </c>
      <c r="J614" s="3">
        <v>0</v>
      </c>
      <c r="K614" s="3">
        <f>Project_Data_NYSE[[#This Row],[Gross Profit]]-Project_Data_NYSE[[#This Row],[ Sales, General and Admin. ]]-Project_Data_NYSE[[#This Row],[ Research and Development ]]-Project_Data_NYSE[[#This Row],[ Other Operating Items ]]</f>
        <v>1076300000</v>
      </c>
      <c r="L614" t="s">
        <v>21</v>
      </c>
      <c r="M614" t="s">
        <v>56</v>
      </c>
      <c r="N614" s="31">
        <f>Project_Data_NYSE[[#This Row],[Gross Profit]]/Project_Data_NYSE[[#This Row],[ Total Revenue ]]</f>
        <v>0.31740225680665307</v>
      </c>
      <c r="O614" s="31">
        <f>Project_Data_NYSE[[#This Row],[Operating Profit]]/Project_Data_NYSE[[#This Row],[ Total Revenue ]]</f>
        <v>0.18570344042237483</v>
      </c>
    </row>
    <row r="615" spans="1:15" x14ac:dyDescent="0.2">
      <c r="A615">
        <v>641</v>
      </c>
      <c r="B615" t="s">
        <v>253</v>
      </c>
      <c r="C615" t="s">
        <v>14</v>
      </c>
      <c r="D615" s="48">
        <v>41639</v>
      </c>
      <c r="E615" s="3">
        <v>6063400000</v>
      </c>
      <c r="F615" s="3">
        <v>4092700000</v>
      </c>
      <c r="G615" s="3">
        <f>Project_Data_NYSE[[#This Row],[ Total Revenue ]]-Project_Data_NYSE[[#This Row],[ Cost of Goods Sold ]]</f>
        <v>1970700000</v>
      </c>
      <c r="H615" s="3">
        <v>907800000</v>
      </c>
      <c r="I615" s="3">
        <v>0</v>
      </c>
      <c r="J615" s="3">
        <v>0</v>
      </c>
      <c r="K615" s="3">
        <f>Project_Data_NYSE[[#This Row],[Gross Profit]]-Project_Data_NYSE[[#This Row],[ Sales, General and Admin. ]]-Project_Data_NYSE[[#This Row],[ Research and Development ]]-Project_Data_NYSE[[#This Row],[ Other Operating Items ]]</f>
        <v>1062900000</v>
      </c>
      <c r="L615" t="s">
        <v>21</v>
      </c>
      <c r="M615" t="s">
        <v>56</v>
      </c>
      <c r="N615" s="31">
        <f>Project_Data_NYSE[[#This Row],[Gross Profit]]/Project_Data_NYSE[[#This Row],[ Total Revenue ]]</f>
        <v>0.32501566777715474</v>
      </c>
      <c r="O615" s="31">
        <f>Project_Data_NYSE[[#This Row],[Operating Profit]]/Project_Data_NYSE[[#This Row],[ Total Revenue ]]</f>
        <v>0.1752976877659399</v>
      </c>
    </row>
    <row r="616" spans="1:15" x14ac:dyDescent="0.2">
      <c r="A616">
        <v>642</v>
      </c>
      <c r="B616" t="s">
        <v>253</v>
      </c>
      <c r="C616" t="s">
        <v>15</v>
      </c>
      <c r="D616" s="48">
        <v>42004</v>
      </c>
      <c r="E616" s="3">
        <v>6413800000</v>
      </c>
      <c r="F616" s="3">
        <v>4328300000</v>
      </c>
      <c r="G616" s="3">
        <f>Project_Data_NYSE[[#This Row],[ Total Revenue ]]-Project_Data_NYSE[[#This Row],[ Cost of Goods Sold ]]</f>
        <v>2085500000</v>
      </c>
      <c r="H616" s="3">
        <v>814900000</v>
      </c>
      <c r="I616" s="3">
        <v>0</v>
      </c>
      <c r="J616" s="3">
        <v>0</v>
      </c>
      <c r="K616" s="3">
        <f>Project_Data_NYSE[[#This Row],[Gross Profit]]-Project_Data_NYSE[[#This Row],[ Sales, General and Admin. ]]-Project_Data_NYSE[[#This Row],[ Research and Development ]]-Project_Data_NYSE[[#This Row],[ Other Operating Items ]]</f>
        <v>1270600000</v>
      </c>
      <c r="L616" t="s">
        <v>21</v>
      </c>
      <c r="M616" t="s">
        <v>56</v>
      </c>
      <c r="N616" s="31">
        <f>Project_Data_NYSE[[#This Row],[Gross Profit]]/Project_Data_NYSE[[#This Row],[ Total Revenue ]]</f>
        <v>0.32515825251800806</v>
      </c>
      <c r="O616" s="31">
        <f>Project_Data_NYSE[[#This Row],[Operating Profit]]/Project_Data_NYSE[[#This Row],[ Total Revenue ]]</f>
        <v>0.19810408806012036</v>
      </c>
    </row>
    <row r="617" spans="1:15" x14ac:dyDescent="0.2">
      <c r="A617">
        <v>643</v>
      </c>
      <c r="B617" t="s">
        <v>253</v>
      </c>
      <c r="C617" t="s">
        <v>16</v>
      </c>
      <c r="D617" s="48">
        <v>42369</v>
      </c>
      <c r="E617" s="3">
        <v>6595200000</v>
      </c>
      <c r="F617" s="3">
        <v>4393200000</v>
      </c>
      <c r="G617" s="3">
        <f>Project_Data_NYSE[[#This Row],[ Total Revenue ]]-Project_Data_NYSE[[#This Row],[ Cost of Goods Sold ]]</f>
        <v>2202000000</v>
      </c>
      <c r="H617" s="3">
        <v>1102800000</v>
      </c>
      <c r="I617" s="3">
        <v>0</v>
      </c>
      <c r="J617" s="3">
        <v>0</v>
      </c>
      <c r="K617" s="3">
        <f>Project_Data_NYSE[[#This Row],[Gross Profit]]-Project_Data_NYSE[[#This Row],[ Sales, General and Admin. ]]-Project_Data_NYSE[[#This Row],[ Research and Development ]]-Project_Data_NYSE[[#This Row],[ Other Operating Items ]]</f>
        <v>1099200000</v>
      </c>
      <c r="L617" t="s">
        <v>21</v>
      </c>
      <c r="M617" t="s">
        <v>56</v>
      </c>
      <c r="N617" s="31">
        <f>Project_Data_NYSE[[#This Row],[Gross Profit]]/Project_Data_NYSE[[#This Row],[ Total Revenue ]]</f>
        <v>0.33387918486171764</v>
      </c>
      <c r="O617" s="31">
        <f>Project_Data_NYSE[[#This Row],[Operating Profit]]/Project_Data_NYSE[[#This Row],[ Total Revenue ]]</f>
        <v>0.16666666666666666</v>
      </c>
    </row>
    <row r="618" spans="1:15" x14ac:dyDescent="0.2">
      <c r="A618">
        <v>644</v>
      </c>
      <c r="B618" t="s">
        <v>254</v>
      </c>
      <c r="C618" t="s">
        <v>11</v>
      </c>
      <c r="D618" s="48">
        <v>41274</v>
      </c>
      <c r="E618" s="3">
        <v>4436000000</v>
      </c>
      <c r="F618" s="3">
        <v>2564000000</v>
      </c>
      <c r="G618" s="3">
        <f>Project_Data_NYSE[[#This Row],[ Total Revenue ]]-Project_Data_NYSE[[#This Row],[ Cost of Goods Sold ]]</f>
        <v>1872000000</v>
      </c>
      <c r="H618" s="3">
        <v>824000000</v>
      </c>
      <c r="I618" s="3">
        <v>0</v>
      </c>
      <c r="J618" s="3">
        <v>0</v>
      </c>
      <c r="K618" s="3">
        <f>Project_Data_NYSE[[#This Row],[Gross Profit]]-Project_Data_NYSE[[#This Row],[ Sales, General and Admin. ]]-Project_Data_NYSE[[#This Row],[ Research and Development ]]-Project_Data_NYSE[[#This Row],[ Other Operating Items ]]</f>
        <v>1048000000</v>
      </c>
      <c r="L618" t="s">
        <v>21</v>
      </c>
      <c r="M618" t="s">
        <v>56</v>
      </c>
      <c r="N618" s="31">
        <f>Project_Data_NYSE[[#This Row],[Gross Profit]]/Project_Data_NYSE[[#This Row],[ Total Revenue ]]</f>
        <v>0.42200180342651039</v>
      </c>
      <c r="O618" s="31">
        <f>Project_Data_NYSE[[#This Row],[Operating Profit]]/Project_Data_NYSE[[#This Row],[ Total Revenue ]]</f>
        <v>0.23624887285843102</v>
      </c>
    </row>
    <row r="619" spans="1:15" x14ac:dyDescent="0.2">
      <c r="A619">
        <v>645</v>
      </c>
      <c r="B619" t="s">
        <v>254</v>
      </c>
      <c r="C619" t="s">
        <v>14</v>
      </c>
      <c r="D619" s="48">
        <v>41639</v>
      </c>
      <c r="E619" s="3">
        <v>4814000000</v>
      </c>
      <c r="F619" s="3">
        <v>2776000000</v>
      </c>
      <c r="G619" s="3">
        <f>Project_Data_NYSE[[#This Row],[ Total Revenue ]]-Project_Data_NYSE[[#This Row],[ Cost of Goods Sold ]]</f>
        <v>2038000000</v>
      </c>
      <c r="H619" s="3">
        <v>977000000</v>
      </c>
      <c r="I619" s="3">
        <v>0</v>
      </c>
      <c r="J619" s="3">
        <v>0</v>
      </c>
      <c r="K619" s="3">
        <f>Project_Data_NYSE[[#This Row],[Gross Profit]]-Project_Data_NYSE[[#This Row],[ Sales, General and Admin. ]]-Project_Data_NYSE[[#This Row],[ Research and Development ]]-Project_Data_NYSE[[#This Row],[ Other Operating Items ]]</f>
        <v>1061000000</v>
      </c>
      <c r="L619" t="s">
        <v>21</v>
      </c>
      <c r="M619" t="s">
        <v>56</v>
      </c>
      <c r="N619" s="31">
        <f>Project_Data_NYSE[[#This Row],[Gross Profit]]/Project_Data_NYSE[[#This Row],[ Total Revenue ]]</f>
        <v>0.42334856668051518</v>
      </c>
      <c r="O619" s="31">
        <f>Project_Data_NYSE[[#This Row],[Operating Profit]]/Project_Data_NYSE[[#This Row],[ Total Revenue ]]</f>
        <v>0.22039883672621521</v>
      </c>
    </row>
    <row r="620" spans="1:15" x14ac:dyDescent="0.2">
      <c r="A620">
        <v>646</v>
      </c>
      <c r="B620" t="s">
        <v>254</v>
      </c>
      <c r="C620" t="s">
        <v>15</v>
      </c>
      <c r="D620" s="48">
        <v>42004</v>
      </c>
      <c r="E620" s="3">
        <v>5066000000</v>
      </c>
      <c r="F620" s="3">
        <v>2881000000</v>
      </c>
      <c r="G620" s="3">
        <f>Project_Data_NYSE[[#This Row],[ Total Revenue ]]-Project_Data_NYSE[[#This Row],[ Cost of Goods Sold ]]</f>
        <v>2185000000</v>
      </c>
      <c r="H620" s="3">
        <v>975000000</v>
      </c>
      <c r="I620" s="3">
        <v>0</v>
      </c>
      <c r="J620" s="3">
        <v>0</v>
      </c>
      <c r="K620" s="3">
        <f>Project_Data_NYSE[[#This Row],[Gross Profit]]-Project_Data_NYSE[[#This Row],[ Sales, General and Admin. ]]-Project_Data_NYSE[[#This Row],[ Research and Development ]]-Project_Data_NYSE[[#This Row],[ Other Operating Items ]]</f>
        <v>1210000000</v>
      </c>
      <c r="L620" t="s">
        <v>21</v>
      </c>
      <c r="M620" t="s">
        <v>56</v>
      </c>
      <c r="N620" s="31">
        <f>Project_Data_NYSE[[#This Row],[Gross Profit]]/Project_Data_NYSE[[#This Row],[ Total Revenue ]]</f>
        <v>0.43130675088827475</v>
      </c>
      <c r="O620" s="31">
        <f>Project_Data_NYSE[[#This Row],[Operating Profit]]/Project_Data_NYSE[[#This Row],[ Total Revenue ]]</f>
        <v>0.2388472167390446</v>
      </c>
    </row>
    <row r="621" spans="1:15" x14ac:dyDescent="0.2">
      <c r="A621">
        <v>647</v>
      </c>
      <c r="B621" t="s">
        <v>254</v>
      </c>
      <c r="C621" t="s">
        <v>16</v>
      </c>
      <c r="D621" s="48">
        <v>42369</v>
      </c>
      <c r="E621" s="3">
        <v>5254000000</v>
      </c>
      <c r="F621" s="3">
        <v>2909000000</v>
      </c>
      <c r="G621" s="3">
        <f>Project_Data_NYSE[[#This Row],[ Total Revenue ]]-Project_Data_NYSE[[#This Row],[ Cost of Goods Sold ]]</f>
        <v>2345000000</v>
      </c>
      <c r="H621" s="3">
        <v>1034000000</v>
      </c>
      <c r="I621" s="3">
        <v>0</v>
      </c>
      <c r="J621" s="3">
        <v>0</v>
      </c>
      <c r="K621" s="3">
        <f>Project_Data_NYSE[[#This Row],[Gross Profit]]-Project_Data_NYSE[[#This Row],[ Sales, General and Admin. ]]-Project_Data_NYSE[[#This Row],[ Research and Development ]]-Project_Data_NYSE[[#This Row],[ Other Operating Items ]]</f>
        <v>1311000000</v>
      </c>
      <c r="L621" t="s">
        <v>21</v>
      </c>
      <c r="M621" t="s">
        <v>56</v>
      </c>
      <c r="N621" s="31">
        <f>Project_Data_NYSE[[#This Row],[Gross Profit]]/Project_Data_NYSE[[#This Row],[ Total Revenue ]]</f>
        <v>0.44632660829843929</v>
      </c>
      <c r="O621" s="31">
        <f>Project_Data_NYSE[[#This Row],[Operating Profit]]/Project_Data_NYSE[[#This Row],[ Total Revenue ]]</f>
        <v>0.24952417205938332</v>
      </c>
    </row>
    <row r="622" spans="1:15" x14ac:dyDescent="0.2">
      <c r="A622">
        <v>648</v>
      </c>
      <c r="B622" t="s">
        <v>255</v>
      </c>
      <c r="C622" t="s">
        <v>11</v>
      </c>
      <c r="D622" s="48">
        <v>41307</v>
      </c>
      <c r="E622" s="3">
        <v>6182000000</v>
      </c>
      <c r="F622" s="3">
        <v>4148000000</v>
      </c>
      <c r="G622" s="3">
        <f>Project_Data_NYSE[[#This Row],[ Total Revenue ]]-Project_Data_NYSE[[#This Row],[ Cost of Goods Sold ]]</f>
        <v>2034000000</v>
      </c>
      <c r="H622" s="3">
        <v>1294000000</v>
      </c>
      <c r="I622" s="3">
        <v>0</v>
      </c>
      <c r="J622" s="3">
        <v>118000000</v>
      </c>
      <c r="K622" s="3">
        <f>Project_Data_NYSE[[#This Row],[Gross Profit]]-Project_Data_NYSE[[#This Row],[ Sales, General and Admin. ]]-Project_Data_NYSE[[#This Row],[ Research and Development ]]-Project_Data_NYSE[[#This Row],[ Other Operating Items ]]</f>
        <v>622000000</v>
      </c>
      <c r="L622" t="s">
        <v>18</v>
      </c>
      <c r="M622" t="s">
        <v>256</v>
      </c>
      <c r="N622" s="31">
        <f>Project_Data_NYSE[[#This Row],[Gross Profit]]/Project_Data_NYSE[[#This Row],[ Total Revenue ]]</f>
        <v>0.3290197347136849</v>
      </c>
      <c r="O622" s="31">
        <f>Project_Data_NYSE[[#This Row],[Operating Profit]]/Project_Data_NYSE[[#This Row],[ Total Revenue ]]</f>
        <v>0.10061468780329991</v>
      </c>
    </row>
    <row r="623" spans="1:15" x14ac:dyDescent="0.2">
      <c r="A623">
        <v>649</v>
      </c>
      <c r="B623" t="s">
        <v>255</v>
      </c>
      <c r="C623" t="s">
        <v>14</v>
      </c>
      <c r="D623" s="48">
        <v>41671</v>
      </c>
      <c r="E623" s="3">
        <v>6505000000</v>
      </c>
      <c r="F623" s="3">
        <v>4372000000</v>
      </c>
      <c r="G623" s="3">
        <f>Project_Data_NYSE[[#This Row],[ Total Revenue ]]-Project_Data_NYSE[[#This Row],[ Cost of Goods Sold ]]</f>
        <v>2133000000</v>
      </c>
      <c r="H623" s="3">
        <v>1334000000</v>
      </c>
      <c r="I623" s="3">
        <v>0</v>
      </c>
      <c r="J623" s="3">
        <v>133000000</v>
      </c>
      <c r="K623" s="3">
        <f>Project_Data_NYSE[[#This Row],[Gross Profit]]-Project_Data_NYSE[[#This Row],[ Sales, General and Admin. ]]-Project_Data_NYSE[[#This Row],[ Research and Development ]]-Project_Data_NYSE[[#This Row],[ Other Operating Items ]]</f>
        <v>666000000</v>
      </c>
      <c r="L623" t="s">
        <v>18</v>
      </c>
      <c r="M623" t="s">
        <v>256</v>
      </c>
      <c r="N623" s="31">
        <f>Project_Data_NYSE[[#This Row],[Gross Profit]]/Project_Data_NYSE[[#This Row],[ Total Revenue ]]</f>
        <v>0.32790161414296692</v>
      </c>
      <c r="O623" s="31">
        <f>Project_Data_NYSE[[#This Row],[Operating Profit]]/Project_Data_NYSE[[#This Row],[ Total Revenue ]]</f>
        <v>0.10238278247501921</v>
      </c>
    </row>
    <row r="624" spans="1:15" x14ac:dyDescent="0.2">
      <c r="A624">
        <v>650</v>
      </c>
      <c r="B624" t="s">
        <v>255</v>
      </c>
      <c r="C624" t="s">
        <v>15</v>
      </c>
      <c r="D624" s="48">
        <v>42035</v>
      </c>
      <c r="E624" s="3">
        <v>7151000000</v>
      </c>
      <c r="F624" s="3">
        <v>4777000000</v>
      </c>
      <c r="G624" s="3">
        <f>Project_Data_NYSE[[#This Row],[ Total Revenue ]]-Project_Data_NYSE[[#This Row],[ Cost of Goods Sold ]]</f>
        <v>2374000000</v>
      </c>
      <c r="H624" s="3">
        <v>1426000000</v>
      </c>
      <c r="I624" s="3">
        <v>0</v>
      </c>
      <c r="J624" s="3">
        <v>139000000</v>
      </c>
      <c r="K624" s="3">
        <f>Project_Data_NYSE[[#This Row],[Gross Profit]]-Project_Data_NYSE[[#This Row],[ Sales, General and Admin. ]]-Project_Data_NYSE[[#This Row],[ Research and Development ]]-Project_Data_NYSE[[#This Row],[ Other Operating Items ]]</f>
        <v>809000000</v>
      </c>
      <c r="L624" t="s">
        <v>18</v>
      </c>
      <c r="M624" t="s">
        <v>256</v>
      </c>
      <c r="N624" s="31">
        <f>Project_Data_NYSE[[#This Row],[Gross Profit]]/Project_Data_NYSE[[#This Row],[ Total Revenue ]]</f>
        <v>0.33198154104321076</v>
      </c>
      <c r="O624" s="31">
        <f>Project_Data_NYSE[[#This Row],[Operating Profit]]/Project_Data_NYSE[[#This Row],[ Total Revenue ]]</f>
        <v>0.11313103062508741</v>
      </c>
    </row>
    <row r="625" spans="1:15" x14ac:dyDescent="0.2">
      <c r="A625">
        <v>651</v>
      </c>
      <c r="B625" t="s">
        <v>255</v>
      </c>
      <c r="C625" t="s">
        <v>16</v>
      </c>
      <c r="D625" s="48">
        <v>42399</v>
      </c>
      <c r="E625" s="3">
        <v>7412000000</v>
      </c>
      <c r="F625" s="3">
        <v>4907000000</v>
      </c>
      <c r="G625" s="3">
        <f>Project_Data_NYSE[[#This Row],[ Total Revenue ]]-Project_Data_NYSE[[#This Row],[ Cost of Goods Sold ]]</f>
        <v>2505000000</v>
      </c>
      <c r="H625" s="3">
        <v>1415000000</v>
      </c>
      <c r="I625" s="3">
        <v>0</v>
      </c>
      <c r="J625" s="3">
        <v>148000000</v>
      </c>
      <c r="K625" s="3">
        <f>Project_Data_NYSE[[#This Row],[Gross Profit]]-Project_Data_NYSE[[#This Row],[ Sales, General and Admin. ]]-Project_Data_NYSE[[#This Row],[ Research and Development ]]-Project_Data_NYSE[[#This Row],[ Other Operating Items ]]</f>
        <v>942000000</v>
      </c>
      <c r="L625" t="s">
        <v>18</v>
      </c>
      <c r="M625" t="s">
        <v>256</v>
      </c>
      <c r="N625" s="31">
        <f>Project_Data_NYSE[[#This Row],[Gross Profit]]/Project_Data_NYSE[[#This Row],[ Total Revenue ]]</f>
        <v>0.33796546141392336</v>
      </c>
      <c r="O625" s="31">
        <f>Project_Data_NYSE[[#This Row],[Operating Profit]]/Project_Data_NYSE[[#This Row],[ Total Revenue ]]</f>
        <v>0.1270912034538586</v>
      </c>
    </row>
    <row r="626" spans="1:15" x14ac:dyDescent="0.2">
      <c r="A626">
        <v>652</v>
      </c>
      <c r="B626" t="s">
        <v>257</v>
      </c>
      <c r="C626" t="s">
        <v>11</v>
      </c>
      <c r="D626" s="48">
        <v>41274</v>
      </c>
      <c r="E626" s="3">
        <v>1405358000</v>
      </c>
      <c r="F626" s="3">
        <v>670174000</v>
      </c>
      <c r="G626" s="3">
        <f>Project_Data_NYSE[[#This Row],[ Total Revenue ]]-Project_Data_NYSE[[#This Row],[ Cost of Goods Sold ]]</f>
        <v>735184000</v>
      </c>
      <c r="H626" s="3">
        <v>292500000</v>
      </c>
      <c r="I626" s="3">
        <v>137354000</v>
      </c>
      <c r="J626" s="3">
        <v>0</v>
      </c>
      <c r="K626" s="3">
        <f>Project_Data_NYSE[[#This Row],[Gross Profit]]-Project_Data_NYSE[[#This Row],[ Sales, General and Admin. ]]-Project_Data_NYSE[[#This Row],[ Research and Development ]]-Project_Data_NYSE[[#This Row],[ Other Operating Items ]]</f>
        <v>305330000</v>
      </c>
      <c r="L626" t="s">
        <v>21</v>
      </c>
      <c r="M626" t="s">
        <v>258</v>
      </c>
      <c r="N626" s="31">
        <f>Project_Data_NYSE[[#This Row],[Gross Profit]]/Project_Data_NYSE[[#This Row],[ Total Revenue ]]</f>
        <v>0.52312933786266558</v>
      </c>
      <c r="O626" s="31">
        <f>Project_Data_NYSE[[#This Row],[Operating Profit]]/Project_Data_NYSE[[#This Row],[ Total Revenue ]]</f>
        <v>0.2172613668545666</v>
      </c>
    </row>
    <row r="627" spans="1:15" x14ac:dyDescent="0.2">
      <c r="A627">
        <v>653</v>
      </c>
      <c r="B627" t="s">
        <v>257</v>
      </c>
      <c r="C627" t="s">
        <v>14</v>
      </c>
      <c r="D627" s="48">
        <v>41639</v>
      </c>
      <c r="E627" s="3">
        <v>1496372000</v>
      </c>
      <c r="F627" s="3">
        <v>759362000</v>
      </c>
      <c r="G627" s="3">
        <f>Project_Data_NYSE[[#This Row],[ Total Revenue ]]-Project_Data_NYSE[[#This Row],[ Cost of Goods Sold ]]</f>
        <v>737010000</v>
      </c>
      <c r="H627" s="3">
        <v>322739000</v>
      </c>
      <c r="I627" s="3">
        <v>147696000</v>
      </c>
      <c r="J627" s="3">
        <v>0</v>
      </c>
      <c r="K627" s="3">
        <f>Project_Data_NYSE[[#This Row],[Gross Profit]]-Project_Data_NYSE[[#This Row],[ Sales, General and Admin. ]]-Project_Data_NYSE[[#This Row],[ Research and Development ]]-Project_Data_NYSE[[#This Row],[ Other Operating Items ]]</f>
        <v>266575000</v>
      </c>
      <c r="L627" t="s">
        <v>21</v>
      </c>
      <c r="M627" t="s">
        <v>258</v>
      </c>
      <c r="N627" s="31">
        <f>Project_Data_NYSE[[#This Row],[Gross Profit]]/Project_Data_NYSE[[#This Row],[ Total Revenue ]]</f>
        <v>0.49253126896253069</v>
      </c>
      <c r="O627" s="31">
        <f>Project_Data_NYSE[[#This Row],[Operating Profit]]/Project_Data_NYSE[[#This Row],[ Total Revenue ]]</f>
        <v>0.1781475461984052</v>
      </c>
    </row>
    <row r="628" spans="1:15" x14ac:dyDescent="0.2">
      <c r="A628">
        <v>654</v>
      </c>
      <c r="B628" t="s">
        <v>257</v>
      </c>
      <c r="C628" t="s">
        <v>15</v>
      </c>
      <c r="D628" s="48">
        <v>42004</v>
      </c>
      <c r="E628" s="3">
        <v>1530654000</v>
      </c>
      <c r="F628" s="3">
        <v>780281000</v>
      </c>
      <c r="G628" s="3">
        <f>Project_Data_NYSE[[#This Row],[ Total Revenue ]]-Project_Data_NYSE[[#This Row],[ Cost of Goods Sold ]]</f>
        <v>750373000</v>
      </c>
      <c r="H628" s="3">
        <v>331995000</v>
      </c>
      <c r="I628" s="3">
        <v>142751000</v>
      </c>
      <c r="J628" s="3">
        <v>0</v>
      </c>
      <c r="K628" s="3">
        <f>Project_Data_NYSE[[#This Row],[Gross Profit]]-Project_Data_NYSE[[#This Row],[ Sales, General and Admin. ]]-Project_Data_NYSE[[#This Row],[ Research and Development ]]-Project_Data_NYSE[[#This Row],[ Other Operating Items ]]</f>
        <v>275627000</v>
      </c>
      <c r="L628" t="s">
        <v>21</v>
      </c>
      <c r="M628" t="s">
        <v>258</v>
      </c>
      <c r="N628" s="31">
        <f>Project_Data_NYSE[[#This Row],[Gross Profit]]/Project_Data_NYSE[[#This Row],[ Total Revenue ]]</f>
        <v>0.49023031985020782</v>
      </c>
      <c r="O628" s="31">
        <f>Project_Data_NYSE[[#This Row],[Operating Profit]]/Project_Data_NYSE[[#This Row],[ Total Revenue ]]</f>
        <v>0.18007139431902963</v>
      </c>
    </row>
    <row r="629" spans="1:15" x14ac:dyDescent="0.2">
      <c r="A629">
        <v>655</v>
      </c>
      <c r="B629" t="s">
        <v>257</v>
      </c>
      <c r="C629" t="s">
        <v>16</v>
      </c>
      <c r="D629" s="48">
        <v>42369</v>
      </c>
      <c r="E629" s="3">
        <v>1557067000</v>
      </c>
      <c r="F629" s="3">
        <v>803506000</v>
      </c>
      <c r="G629" s="3">
        <f>Project_Data_NYSE[[#This Row],[ Total Revenue ]]-Project_Data_NYSE[[#This Row],[ Cost of Goods Sold ]]</f>
        <v>753561000</v>
      </c>
      <c r="H629" s="3">
        <v>313544000</v>
      </c>
      <c r="I629" s="3">
        <v>132892000</v>
      </c>
      <c r="J629" s="3">
        <v>0</v>
      </c>
      <c r="K629" s="3">
        <f>Project_Data_NYSE[[#This Row],[Gross Profit]]-Project_Data_NYSE[[#This Row],[ Sales, General and Admin. ]]-Project_Data_NYSE[[#This Row],[ Research and Development ]]-Project_Data_NYSE[[#This Row],[ Other Operating Items ]]</f>
        <v>307125000</v>
      </c>
      <c r="L629" t="s">
        <v>21</v>
      </c>
      <c r="M629" t="s">
        <v>258</v>
      </c>
      <c r="N629" s="31">
        <f>Project_Data_NYSE[[#This Row],[Gross Profit]]/Project_Data_NYSE[[#This Row],[ Total Revenue ]]</f>
        <v>0.48396183337004767</v>
      </c>
      <c r="O629" s="31">
        <f>Project_Data_NYSE[[#This Row],[Operating Profit]]/Project_Data_NYSE[[#This Row],[ Total Revenue ]]</f>
        <v>0.19724584748119381</v>
      </c>
    </row>
    <row r="630" spans="1:15" x14ac:dyDescent="0.2">
      <c r="A630">
        <v>656</v>
      </c>
      <c r="B630" t="s">
        <v>259</v>
      </c>
      <c r="C630" t="s">
        <v>11</v>
      </c>
      <c r="D630" s="48">
        <v>41639</v>
      </c>
      <c r="E630" s="3">
        <v>27351573000</v>
      </c>
      <c r="F630" s="3">
        <v>25986382000</v>
      </c>
      <c r="G630" s="3">
        <f>Project_Data_NYSE[[#This Row],[ Total Revenue ]]-Project_Data_NYSE[[#This Row],[ Cost of Goods Sold ]]</f>
        <v>1365191000</v>
      </c>
      <c r="H630" s="3">
        <v>175148000</v>
      </c>
      <c r="I630" s="3">
        <v>0</v>
      </c>
      <c r="J630" s="3">
        <v>0</v>
      </c>
      <c r="K630" s="3">
        <f>Project_Data_NYSE[[#This Row],[Gross Profit]]-Project_Data_NYSE[[#This Row],[ Sales, General and Admin. ]]-Project_Data_NYSE[[#This Row],[ Research and Development ]]-Project_Data_NYSE[[#This Row],[ Other Operating Items ]]</f>
        <v>1190043000</v>
      </c>
      <c r="L630" t="s">
        <v>12</v>
      </c>
      <c r="M630" t="s">
        <v>260</v>
      </c>
      <c r="N630" s="31">
        <f>Project_Data_NYSE[[#This Row],[Gross Profit]]/Project_Data_NYSE[[#This Row],[ Total Revenue ]]</f>
        <v>4.9912705203463067E-2</v>
      </c>
      <c r="O630" s="31">
        <f>Project_Data_NYSE[[#This Row],[Operating Profit]]/Project_Data_NYSE[[#This Row],[ Total Revenue ]]</f>
        <v>4.3509124685443136E-2</v>
      </c>
    </row>
    <row r="631" spans="1:15" x14ac:dyDescent="0.2">
      <c r="A631">
        <v>657</v>
      </c>
      <c r="B631" t="s">
        <v>259</v>
      </c>
      <c r="C631" t="s">
        <v>14</v>
      </c>
      <c r="D631" s="48">
        <v>42004</v>
      </c>
      <c r="E631" s="3">
        <v>21531577000</v>
      </c>
      <c r="F631" s="3">
        <v>20132544000</v>
      </c>
      <c r="G631" s="3">
        <f>Project_Data_NYSE[[#This Row],[ Total Revenue ]]-Project_Data_NYSE[[#This Row],[ Cost of Goods Sold ]]</f>
        <v>1399033000</v>
      </c>
      <c r="H631" s="3">
        <v>182711000</v>
      </c>
      <c r="I631" s="3">
        <v>0</v>
      </c>
      <c r="J631" s="3">
        <v>0</v>
      </c>
      <c r="K631" s="3">
        <f>Project_Data_NYSE[[#This Row],[Gross Profit]]-Project_Data_NYSE[[#This Row],[ Sales, General and Admin. ]]-Project_Data_NYSE[[#This Row],[ Research and Development ]]-Project_Data_NYSE[[#This Row],[ Other Operating Items ]]</f>
        <v>1216322000</v>
      </c>
      <c r="L631" t="s">
        <v>12</v>
      </c>
      <c r="M631" t="s">
        <v>260</v>
      </c>
      <c r="N631" s="31">
        <f>Project_Data_NYSE[[#This Row],[Gross Profit]]/Project_Data_NYSE[[#This Row],[ Total Revenue ]]</f>
        <v>6.497587241287528E-2</v>
      </c>
      <c r="O631" s="31">
        <f>Project_Data_NYSE[[#This Row],[Operating Profit]]/Project_Data_NYSE[[#This Row],[ Total Revenue ]]</f>
        <v>5.649014932812399E-2</v>
      </c>
    </row>
    <row r="632" spans="1:15" x14ac:dyDescent="0.2">
      <c r="A632">
        <v>658</v>
      </c>
      <c r="B632" t="s">
        <v>259</v>
      </c>
      <c r="C632" t="s">
        <v>15</v>
      </c>
      <c r="D632" s="48">
        <v>42369</v>
      </c>
      <c r="E632" s="3">
        <v>18114048000</v>
      </c>
      <c r="F632" s="3">
        <v>17019352000</v>
      </c>
      <c r="G632" s="3">
        <f>Project_Data_NYSE[[#This Row],[ Total Revenue ]]-Project_Data_NYSE[[#This Row],[ Cost of Goods Sold ]]</f>
        <v>1094696000</v>
      </c>
      <c r="H632" s="3">
        <v>408225000</v>
      </c>
      <c r="I632" s="3">
        <v>0</v>
      </c>
      <c r="J632" s="3">
        <v>0</v>
      </c>
      <c r="K632" s="3">
        <f>Project_Data_NYSE[[#This Row],[Gross Profit]]-Project_Data_NYSE[[#This Row],[ Sales, General and Admin. ]]-Project_Data_NYSE[[#This Row],[ Research and Development ]]-Project_Data_NYSE[[#This Row],[ Other Operating Items ]]</f>
        <v>686471000</v>
      </c>
      <c r="L632" t="s">
        <v>12</v>
      </c>
      <c r="M632" t="s">
        <v>260</v>
      </c>
      <c r="N632" s="31">
        <f>Project_Data_NYSE[[#This Row],[Gross Profit]]/Project_Data_NYSE[[#This Row],[ Total Revenue ]]</f>
        <v>6.0433537550524323E-2</v>
      </c>
      <c r="O632" s="31">
        <f>Project_Data_NYSE[[#This Row],[Operating Profit]]/Project_Data_NYSE[[#This Row],[ Total Revenue ]]</f>
        <v>3.7897161363379409E-2</v>
      </c>
    </row>
    <row r="633" spans="1:15" x14ac:dyDescent="0.2">
      <c r="A633">
        <v>659</v>
      </c>
      <c r="B633" t="s">
        <v>259</v>
      </c>
      <c r="C633" t="s">
        <v>16</v>
      </c>
      <c r="D633" s="48">
        <v>42735</v>
      </c>
      <c r="E633" s="3">
        <v>19036525000</v>
      </c>
      <c r="F633" s="3">
        <v>18246209000</v>
      </c>
      <c r="G633" s="3">
        <f>Project_Data_NYSE[[#This Row],[ Total Revenue ]]-Project_Data_NYSE[[#This Row],[ Cost of Goods Sold ]]</f>
        <v>790316000</v>
      </c>
      <c r="H633" s="3">
        <v>191073000</v>
      </c>
      <c r="I633" s="3">
        <v>0</v>
      </c>
      <c r="J633" s="3">
        <v>0</v>
      </c>
      <c r="K633" s="3">
        <f>Project_Data_NYSE[[#This Row],[Gross Profit]]-Project_Data_NYSE[[#This Row],[ Sales, General and Admin. ]]-Project_Data_NYSE[[#This Row],[ Research and Development ]]-Project_Data_NYSE[[#This Row],[ Other Operating Items ]]</f>
        <v>599243000</v>
      </c>
      <c r="L633" t="s">
        <v>12</v>
      </c>
      <c r="M633" t="s">
        <v>260</v>
      </c>
      <c r="N633" s="31">
        <f>Project_Data_NYSE[[#This Row],[Gross Profit]]/Project_Data_NYSE[[#This Row],[ Total Revenue ]]</f>
        <v>4.1515770341488269E-2</v>
      </c>
      <c r="O633" s="31">
        <f>Project_Data_NYSE[[#This Row],[Operating Profit]]/Project_Data_NYSE[[#This Row],[ Total Revenue ]]</f>
        <v>3.1478591812318685E-2</v>
      </c>
    </row>
    <row r="634" spans="1:15" x14ac:dyDescent="0.2">
      <c r="A634">
        <v>660</v>
      </c>
      <c r="B634" t="s">
        <v>261</v>
      </c>
      <c r="C634" t="s">
        <v>11</v>
      </c>
      <c r="D634" s="48">
        <v>41639</v>
      </c>
      <c r="E634" s="3">
        <v>4954619000</v>
      </c>
      <c r="F634" s="3">
        <v>3266524000</v>
      </c>
      <c r="G634" s="3">
        <f>Project_Data_NYSE[[#This Row],[ Total Revenue ]]-Project_Data_NYSE[[#This Row],[ Cost of Goods Sold ]]</f>
        <v>1688095000</v>
      </c>
      <c r="H634" s="3">
        <v>966829000</v>
      </c>
      <c r="I634" s="3">
        <v>0</v>
      </c>
      <c r="J634" s="3">
        <v>0</v>
      </c>
      <c r="K634" s="3">
        <f>Project_Data_NYSE[[#This Row],[Gross Profit]]-Project_Data_NYSE[[#This Row],[ Sales, General and Admin. ]]-Project_Data_NYSE[[#This Row],[ Research and Development ]]-Project_Data_NYSE[[#This Row],[ Other Operating Items ]]</f>
        <v>721266000</v>
      </c>
      <c r="L634" t="s">
        <v>12</v>
      </c>
      <c r="M634" t="s">
        <v>156</v>
      </c>
      <c r="N634" s="31">
        <f>Project_Data_NYSE[[#This Row],[Gross Profit]]/Project_Data_NYSE[[#This Row],[ Total Revenue ]]</f>
        <v>0.34071136448635103</v>
      </c>
      <c r="O634" s="31">
        <f>Project_Data_NYSE[[#This Row],[Operating Profit]]/Project_Data_NYSE[[#This Row],[ Total Revenue ]]</f>
        <v>0.14557446294054094</v>
      </c>
    </row>
    <row r="635" spans="1:15" x14ac:dyDescent="0.2">
      <c r="A635">
        <v>661</v>
      </c>
      <c r="B635" t="s">
        <v>261</v>
      </c>
      <c r="C635" t="s">
        <v>14</v>
      </c>
      <c r="D635" s="48">
        <v>42004</v>
      </c>
      <c r="E635" s="3">
        <v>4877885000</v>
      </c>
      <c r="F635" s="3">
        <v>3163268000</v>
      </c>
      <c r="G635" s="3">
        <f>Project_Data_NYSE[[#This Row],[ Total Revenue ]]-Project_Data_NYSE[[#This Row],[ Cost of Goods Sold ]]</f>
        <v>1714617000</v>
      </c>
      <c r="H635" s="3">
        <v>936900000</v>
      </c>
      <c r="I635" s="3">
        <v>0</v>
      </c>
      <c r="J635" s="3">
        <v>0</v>
      </c>
      <c r="K635" s="3">
        <f>Project_Data_NYSE[[#This Row],[Gross Profit]]-Project_Data_NYSE[[#This Row],[ Sales, General and Admin. ]]-Project_Data_NYSE[[#This Row],[ Research and Development ]]-Project_Data_NYSE[[#This Row],[ Other Operating Items ]]</f>
        <v>777717000</v>
      </c>
      <c r="L635" t="s">
        <v>12</v>
      </c>
      <c r="M635" t="s">
        <v>156</v>
      </c>
      <c r="N635" s="31">
        <f>Project_Data_NYSE[[#This Row],[Gross Profit]]/Project_Data_NYSE[[#This Row],[ Total Revenue ]]</f>
        <v>0.35150828689073238</v>
      </c>
      <c r="O635" s="31">
        <f>Project_Data_NYSE[[#This Row],[Operating Profit]]/Project_Data_NYSE[[#This Row],[ Total Revenue ]]</f>
        <v>0.15943733810862701</v>
      </c>
    </row>
    <row r="636" spans="1:15" x14ac:dyDescent="0.2">
      <c r="A636">
        <v>662</v>
      </c>
      <c r="B636" t="s">
        <v>261</v>
      </c>
      <c r="C636" t="s">
        <v>15</v>
      </c>
      <c r="D636" s="48">
        <v>42369</v>
      </c>
      <c r="E636" s="3">
        <v>4561030000</v>
      </c>
      <c r="F636" s="3">
        <v>3073712000</v>
      </c>
      <c r="G636" s="3">
        <f>Project_Data_NYSE[[#This Row],[ Total Revenue ]]-Project_Data_NYSE[[#This Row],[ Cost of Goods Sold ]]</f>
        <v>1487318000</v>
      </c>
      <c r="H636" s="3">
        <v>971611000</v>
      </c>
      <c r="I636" s="3">
        <v>0</v>
      </c>
      <c r="J636" s="3">
        <v>0</v>
      </c>
      <c r="K636" s="3">
        <f>Project_Data_NYSE[[#This Row],[Gross Profit]]-Project_Data_NYSE[[#This Row],[ Sales, General and Admin. ]]-Project_Data_NYSE[[#This Row],[ Research and Development ]]-Project_Data_NYSE[[#This Row],[ Other Operating Items ]]</f>
        <v>515707000</v>
      </c>
      <c r="L636" t="s">
        <v>12</v>
      </c>
      <c r="M636" t="s">
        <v>156</v>
      </c>
      <c r="N636" s="31">
        <f>Project_Data_NYSE[[#This Row],[Gross Profit]]/Project_Data_NYSE[[#This Row],[ Total Revenue ]]</f>
        <v>0.32609257119554136</v>
      </c>
      <c r="O636" s="31">
        <f>Project_Data_NYSE[[#This Row],[Operating Profit]]/Project_Data_NYSE[[#This Row],[ Total Revenue ]]</f>
        <v>0.11306810084564232</v>
      </c>
    </row>
    <row r="637" spans="1:15" x14ac:dyDescent="0.2">
      <c r="A637">
        <v>663</v>
      </c>
      <c r="B637" t="s">
        <v>261</v>
      </c>
      <c r="C637" t="s">
        <v>16</v>
      </c>
      <c r="D637" s="48">
        <v>42735</v>
      </c>
      <c r="E637" s="3">
        <v>3991462000</v>
      </c>
      <c r="F637" s="3">
        <v>2759908000</v>
      </c>
      <c r="G637" s="3">
        <f>Project_Data_NYSE[[#This Row],[ Total Revenue ]]-Project_Data_NYSE[[#This Row],[ Cost of Goods Sold ]]</f>
        <v>1231554000</v>
      </c>
      <c r="H637" s="3">
        <v>965322000</v>
      </c>
      <c r="I637" s="3">
        <v>0</v>
      </c>
      <c r="J637" s="3">
        <v>0</v>
      </c>
      <c r="K637" s="3">
        <f>Project_Data_NYSE[[#This Row],[Gross Profit]]-Project_Data_NYSE[[#This Row],[ Sales, General and Admin. ]]-Project_Data_NYSE[[#This Row],[ Research and Development ]]-Project_Data_NYSE[[#This Row],[ Other Operating Items ]]</f>
        <v>266232000</v>
      </c>
      <c r="L637" t="s">
        <v>12</v>
      </c>
      <c r="M637" t="s">
        <v>156</v>
      </c>
      <c r="N637" s="31">
        <f>Project_Data_NYSE[[#This Row],[Gross Profit]]/Project_Data_NYSE[[#This Row],[ Total Revenue ]]</f>
        <v>0.30854709377165562</v>
      </c>
      <c r="O637" s="31">
        <f>Project_Data_NYSE[[#This Row],[Operating Profit]]/Project_Data_NYSE[[#This Row],[ Total Revenue ]]</f>
        <v>6.6700371943914288E-2</v>
      </c>
    </row>
    <row r="638" spans="1:15" x14ac:dyDescent="0.2">
      <c r="A638">
        <v>664</v>
      </c>
      <c r="B638" t="s">
        <v>262</v>
      </c>
      <c r="C638" t="s">
        <v>11</v>
      </c>
      <c r="D638" s="48">
        <v>41274</v>
      </c>
      <c r="E638" s="3">
        <v>3409900000</v>
      </c>
      <c r="F638" s="3">
        <v>2141600000</v>
      </c>
      <c r="G638" s="3">
        <f>Project_Data_NYSE[[#This Row],[ Total Revenue ]]-Project_Data_NYSE[[#This Row],[ Cost of Goods Sold ]]</f>
        <v>1268300000</v>
      </c>
      <c r="H638" s="3">
        <v>489700000</v>
      </c>
      <c r="I638" s="3">
        <v>112000000</v>
      </c>
      <c r="J638" s="3">
        <v>0</v>
      </c>
      <c r="K638" s="3">
        <f>Project_Data_NYSE[[#This Row],[Gross Profit]]-Project_Data_NYSE[[#This Row],[ Sales, General and Admin. ]]-Project_Data_NYSE[[#This Row],[ Research and Development ]]-Project_Data_NYSE[[#This Row],[ Other Operating Items ]]</f>
        <v>666600000</v>
      </c>
      <c r="L638" t="s">
        <v>58</v>
      </c>
      <c r="M638" t="s">
        <v>192</v>
      </c>
      <c r="N638" s="31">
        <f>Project_Data_NYSE[[#This Row],[Gross Profit]]/Project_Data_NYSE[[#This Row],[ Total Revenue ]]</f>
        <v>0.37194639138977681</v>
      </c>
      <c r="O638" s="31">
        <f>Project_Data_NYSE[[#This Row],[Operating Profit]]/Project_Data_NYSE[[#This Row],[ Total Revenue ]]</f>
        <v>0.19548960380069796</v>
      </c>
    </row>
    <row r="639" spans="1:15" x14ac:dyDescent="0.2">
      <c r="A639">
        <v>665</v>
      </c>
      <c r="B639" t="s">
        <v>262</v>
      </c>
      <c r="C639" t="s">
        <v>14</v>
      </c>
      <c r="D639" s="48">
        <v>41639</v>
      </c>
      <c r="E639" s="3">
        <v>3130700000</v>
      </c>
      <c r="F639" s="3">
        <v>1929800000</v>
      </c>
      <c r="G639" s="3">
        <f>Project_Data_NYSE[[#This Row],[ Total Revenue ]]-Project_Data_NYSE[[#This Row],[ Cost of Goods Sold ]]</f>
        <v>1200900000</v>
      </c>
      <c r="H639" s="3">
        <v>496100000</v>
      </c>
      <c r="I639" s="3">
        <v>115600000</v>
      </c>
      <c r="J639" s="3">
        <v>0</v>
      </c>
      <c r="K639" s="3">
        <f>Project_Data_NYSE[[#This Row],[Gross Profit]]-Project_Data_NYSE[[#This Row],[ Sales, General and Admin. ]]-Project_Data_NYSE[[#This Row],[ Research and Development ]]-Project_Data_NYSE[[#This Row],[ Other Operating Items ]]</f>
        <v>589200000</v>
      </c>
      <c r="L639" t="s">
        <v>58</v>
      </c>
      <c r="M639" t="s">
        <v>192</v>
      </c>
      <c r="N639" s="31">
        <f>Project_Data_NYSE[[#This Row],[Gross Profit]]/Project_Data_NYSE[[#This Row],[ Total Revenue ]]</f>
        <v>0.38358833487718402</v>
      </c>
      <c r="O639" s="31">
        <f>Project_Data_NYSE[[#This Row],[Operating Profit]]/Project_Data_NYSE[[#This Row],[ Total Revenue ]]</f>
        <v>0.18820072188328488</v>
      </c>
    </row>
    <row r="640" spans="1:15" x14ac:dyDescent="0.2">
      <c r="A640">
        <v>666</v>
      </c>
      <c r="B640" t="s">
        <v>262</v>
      </c>
      <c r="C640" t="s">
        <v>15</v>
      </c>
      <c r="D640" s="48">
        <v>42004</v>
      </c>
      <c r="E640" s="3">
        <v>3258700000</v>
      </c>
      <c r="F640" s="3">
        <v>2047800000</v>
      </c>
      <c r="G640" s="3">
        <f>Project_Data_NYSE[[#This Row],[ Total Revenue ]]-Project_Data_NYSE[[#This Row],[ Cost of Goods Sold ]]</f>
        <v>1210900000</v>
      </c>
      <c r="H640" s="3">
        <v>589800000</v>
      </c>
      <c r="I640" s="3">
        <v>126300000</v>
      </c>
      <c r="J640" s="3">
        <v>0</v>
      </c>
      <c r="K640" s="3">
        <f>Project_Data_NYSE[[#This Row],[Gross Profit]]-Project_Data_NYSE[[#This Row],[ Sales, General and Admin. ]]-Project_Data_NYSE[[#This Row],[ Research and Development ]]-Project_Data_NYSE[[#This Row],[ Other Operating Items ]]</f>
        <v>494800000</v>
      </c>
      <c r="L640" t="s">
        <v>58</v>
      </c>
      <c r="M640" t="s">
        <v>192</v>
      </c>
      <c r="N640" s="31">
        <f>Project_Data_NYSE[[#This Row],[Gross Profit]]/Project_Data_NYSE[[#This Row],[ Total Revenue ]]</f>
        <v>0.37158989781201091</v>
      </c>
      <c r="O640" s="31">
        <f>Project_Data_NYSE[[#This Row],[Operating Profit]]/Project_Data_NYSE[[#This Row],[ Total Revenue ]]</f>
        <v>0.15183969067419523</v>
      </c>
    </row>
    <row r="641" spans="1:15" x14ac:dyDescent="0.2">
      <c r="A641">
        <v>667</v>
      </c>
      <c r="B641" t="s">
        <v>262</v>
      </c>
      <c r="C641" t="s">
        <v>16</v>
      </c>
      <c r="D641" s="48">
        <v>42369</v>
      </c>
      <c r="E641" s="3">
        <v>3276500000</v>
      </c>
      <c r="F641" s="3">
        <v>2201100000</v>
      </c>
      <c r="G641" s="3">
        <f>Project_Data_NYSE[[#This Row],[ Total Revenue ]]-Project_Data_NYSE[[#This Row],[ Cost of Goods Sold ]]</f>
        <v>1075400000</v>
      </c>
      <c r="H641" s="3">
        <v>737900000</v>
      </c>
      <c r="I641" s="3">
        <v>143700000</v>
      </c>
      <c r="J641" s="3">
        <v>0</v>
      </c>
      <c r="K641" s="3">
        <f>Project_Data_NYSE[[#This Row],[Gross Profit]]-Project_Data_NYSE[[#This Row],[ Sales, General and Admin. ]]-Project_Data_NYSE[[#This Row],[ Research and Development ]]-Project_Data_NYSE[[#This Row],[ Other Operating Items ]]</f>
        <v>193800000</v>
      </c>
      <c r="L641" t="s">
        <v>58</v>
      </c>
      <c r="M641" t="s">
        <v>192</v>
      </c>
      <c r="N641" s="31">
        <f>Project_Data_NYSE[[#This Row],[Gross Profit]]/Project_Data_NYSE[[#This Row],[ Total Revenue ]]</f>
        <v>0.32821608423622767</v>
      </c>
      <c r="O641" s="31">
        <f>Project_Data_NYSE[[#This Row],[Operating Profit]]/Project_Data_NYSE[[#This Row],[ Total Revenue ]]</f>
        <v>5.9148481611475658E-2</v>
      </c>
    </row>
    <row r="642" spans="1:15" x14ac:dyDescent="0.2">
      <c r="A642">
        <v>668</v>
      </c>
      <c r="B642" t="s">
        <v>263</v>
      </c>
      <c r="C642" t="s">
        <v>11</v>
      </c>
      <c r="D642" s="48">
        <v>41639</v>
      </c>
      <c r="E642" s="3">
        <v>637413000</v>
      </c>
      <c r="F642" s="3">
        <v>190454000</v>
      </c>
      <c r="G642" s="3">
        <f>Project_Data_NYSE[[#This Row],[ Total Revenue ]]-Project_Data_NYSE[[#This Row],[ Cost of Goods Sold ]]</f>
        <v>446959000</v>
      </c>
      <c r="H642" s="3">
        <v>31970000</v>
      </c>
      <c r="I642" s="3">
        <v>0</v>
      </c>
      <c r="J642" s="3">
        <v>160828000</v>
      </c>
      <c r="K642" s="3">
        <f>Project_Data_NYSE[[#This Row],[Gross Profit]]-Project_Data_NYSE[[#This Row],[ Sales, General and Admin. ]]-Project_Data_NYSE[[#This Row],[ Research and Development ]]-Project_Data_NYSE[[#This Row],[ Other Operating Items ]]</f>
        <v>254161000</v>
      </c>
      <c r="L642" t="s">
        <v>51</v>
      </c>
      <c r="M642" t="s">
        <v>264</v>
      </c>
      <c r="N642" s="31">
        <f>Project_Data_NYSE[[#This Row],[Gross Profit]]/Project_Data_NYSE[[#This Row],[ Total Revenue ]]</f>
        <v>0.70120785111066142</v>
      </c>
      <c r="O642" s="31">
        <f>Project_Data_NYSE[[#This Row],[Operating Profit]]/Project_Data_NYSE[[#This Row],[ Total Revenue ]]</f>
        <v>0.39873833762411498</v>
      </c>
    </row>
    <row r="643" spans="1:15" x14ac:dyDescent="0.2">
      <c r="A643">
        <v>669</v>
      </c>
      <c r="B643" t="s">
        <v>263</v>
      </c>
      <c r="C643" t="s">
        <v>14</v>
      </c>
      <c r="D643" s="48">
        <v>42004</v>
      </c>
      <c r="E643" s="3">
        <v>686090000</v>
      </c>
      <c r="F643" s="3">
        <v>211923000</v>
      </c>
      <c r="G643" s="3">
        <f>Project_Data_NYSE[[#This Row],[ Total Revenue ]]-Project_Data_NYSE[[#This Row],[ Cost of Goods Sold ]]</f>
        <v>474167000</v>
      </c>
      <c r="H643" s="3">
        <v>32316000</v>
      </c>
      <c r="I643" s="3">
        <v>0</v>
      </c>
      <c r="J643" s="3">
        <v>170814000</v>
      </c>
      <c r="K643" s="3">
        <f>Project_Data_NYSE[[#This Row],[Gross Profit]]-Project_Data_NYSE[[#This Row],[ Sales, General and Admin. ]]-Project_Data_NYSE[[#This Row],[ Research and Development ]]-Project_Data_NYSE[[#This Row],[ Other Operating Items ]]</f>
        <v>271037000</v>
      </c>
      <c r="L643" t="s">
        <v>51</v>
      </c>
      <c r="M643" t="s">
        <v>264</v>
      </c>
      <c r="N643" s="31">
        <f>Project_Data_NYSE[[#This Row],[Gross Profit]]/Project_Data_NYSE[[#This Row],[ Total Revenue ]]</f>
        <v>0.69111486831173752</v>
      </c>
      <c r="O643" s="31">
        <f>Project_Data_NYSE[[#This Row],[Operating Profit]]/Project_Data_NYSE[[#This Row],[ Total Revenue ]]</f>
        <v>0.39504583946712529</v>
      </c>
    </row>
    <row r="644" spans="1:15" x14ac:dyDescent="0.2">
      <c r="A644">
        <v>670</v>
      </c>
      <c r="B644" t="s">
        <v>263</v>
      </c>
      <c r="C644" t="s">
        <v>15</v>
      </c>
      <c r="D644" s="48">
        <v>42369</v>
      </c>
      <c r="E644" s="3">
        <v>744012000</v>
      </c>
      <c r="F644" s="3">
        <v>233417000</v>
      </c>
      <c r="G644" s="3">
        <f>Project_Data_NYSE[[#This Row],[ Total Revenue ]]-Project_Data_NYSE[[#This Row],[ Cost of Goods Sold ]]</f>
        <v>510595000</v>
      </c>
      <c r="H644" s="3">
        <v>35645000</v>
      </c>
      <c r="I644" s="3">
        <v>0</v>
      </c>
      <c r="J644" s="3">
        <v>174796000</v>
      </c>
      <c r="K644" s="3">
        <f>Project_Data_NYSE[[#This Row],[Gross Profit]]-Project_Data_NYSE[[#This Row],[ Sales, General and Admin. ]]-Project_Data_NYSE[[#This Row],[ Research and Development ]]-Project_Data_NYSE[[#This Row],[ Other Operating Items ]]</f>
        <v>300154000</v>
      </c>
      <c r="L644" t="s">
        <v>51</v>
      </c>
      <c r="M644" t="s">
        <v>264</v>
      </c>
      <c r="N644" s="31">
        <f>Project_Data_NYSE[[#This Row],[Gross Profit]]/Project_Data_NYSE[[#This Row],[ Total Revenue ]]</f>
        <v>0.68627253323871118</v>
      </c>
      <c r="O644" s="31">
        <f>Project_Data_NYSE[[#This Row],[Operating Profit]]/Project_Data_NYSE[[#This Row],[ Total Revenue ]]</f>
        <v>0.40342628882329856</v>
      </c>
    </row>
    <row r="645" spans="1:15" x14ac:dyDescent="0.2">
      <c r="A645">
        <v>671</v>
      </c>
      <c r="B645" t="s">
        <v>263</v>
      </c>
      <c r="C645" t="s">
        <v>16</v>
      </c>
      <c r="D645" s="48">
        <v>42735</v>
      </c>
      <c r="E645" s="3">
        <v>801591000</v>
      </c>
      <c r="F645" s="3">
        <v>253612000</v>
      </c>
      <c r="G645" s="3">
        <f>Project_Data_NYSE[[#This Row],[ Total Revenue ]]-Project_Data_NYSE[[#This Row],[ Cost of Goods Sold ]]</f>
        <v>547979000</v>
      </c>
      <c r="H645" s="3">
        <v>33399000</v>
      </c>
      <c r="I645" s="3">
        <v>0</v>
      </c>
      <c r="J645" s="3">
        <v>193585000</v>
      </c>
      <c r="K645" s="3">
        <f>Project_Data_NYSE[[#This Row],[Gross Profit]]-Project_Data_NYSE[[#This Row],[ Sales, General and Admin. ]]-Project_Data_NYSE[[#This Row],[ Research and Development ]]-Project_Data_NYSE[[#This Row],[ Other Operating Items ]]</f>
        <v>320995000</v>
      </c>
      <c r="L645" t="s">
        <v>51</v>
      </c>
      <c r="M645" t="s">
        <v>264</v>
      </c>
      <c r="N645" s="31">
        <f>Project_Data_NYSE[[#This Row],[Gross Profit]]/Project_Data_NYSE[[#This Row],[ Total Revenue ]]</f>
        <v>0.68361421223541685</v>
      </c>
      <c r="O645" s="31">
        <f>Project_Data_NYSE[[#This Row],[Operating Profit]]/Project_Data_NYSE[[#This Row],[ Total Revenue ]]</f>
        <v>0.40044736031217915</v>
      </c>
    </row>
    <row r="646" spans="1:15" x14ac:dyDescent="0.2">
      <c r="A646">
        <v>672</v>
      </c>
      <c r="B646" t="s">
        <v>265</v>
      </c>
      <c r="C646" t="s">
        <v>11</v>
      </c>
      <c r="D646" s="48">
        <v>41274</v>
      </c>
      <c r="E646" s="3">
        <v>3368545000</v>
      </c>
      <c r="F646" s="3">
        <v>2515796000</v>
      </c>
      <c r="G646" s="3">
        <f>Project_Data_NYSE[[#This Row],[ Total Revenue ]]-Project_Data_NYSE[[#This Row],[ Cost of Goods Sold ]]</f>
        <v>852749000</v>
      </c>
      <c r="H646" s="3">
        <v>280928000</v>
      </c>
      <c r="I646" s="3">
        <v>132460000</v>
      </c>
      <c r="J646" s="3">
        <v>0</v>
      </c>
      <c r="K646" s="3">
        <f>Project_Data_NYSE[[#This Row],[Gross Profit]]-Project_Data_NYSE[[#This Row],[ Sales, General and Admin. ]]-Project_Data_NYSE[[#This Row],[ Research and Development ]]-Project_Data_NYSE[[#This Row],[ Other Operating Items ]]</f>
        <v>439361000</v>
      </c>
      <c r="L646" t="s">
        <v>21</v>
      </c>
      <c r="M646" t="s">
        <v>33</v>
      </c>
      <c r="N646" s="31">
        <f>Project_Data_NYSE[[#This Row],[Gross Profit]]/Project_Data_NYSE[[#This Row],[ Total Revenue ]]</f>
        <v>0.25315054422606792</v>
      </c>
      <c r="O646" s="31">
        <f>Project_Data_NYSE[[#This Row],[Operating Profit]]/Project_Data_NYSE[[#This Row],[ Total Revenue ]]</f>
        <v>0.13043049744028951</v>
      </c>
    </row>
    <row r="647" spans="1:15" x14ac:dyDescent="0.2">
      <c r="A647">
        <v>673</v>
      </c>
      <c r="B647" t="s">
        <v>265</v>
      </c>
      <c r="C647" t="s">
        <v>14</v>
      </c>
      <c r="D647" s="48">
        <v>41639</v>
      </c>
      <c r="E647" s="3">
        <v>3309616000</v>
      </c>
      <c r="F647" s="3">
        <v>2444984000</v>
      </c>
      <c r="G647" s="3">
        <f>Project_Data_NYSE[[#This Row],[ Total Revenue ]]-Project_Data_NYSE[[#This Row],[ Cost of Goods Sold ]]</f>
        <v>864632000</v>
      </c>
      <c r="H647" s="3">
        <v>270261000</v>
      </c>
      <c r="I647" s="3">
        <v>134300000</v>
      </c>
      <c r="J647" s="3">
        <v>0</v>
      </c>
      <c r="K647" s="3">
        <f>Project_Data_NYSE[[#This Row],[Gross Profit]]-Project_Data_NYSE[[#This Row],[ Sales, General and Admin. ]]-Project_Data_NYSE[[#This Row],[ Research and Development ]]-Project_Data_NYSE[[#This Row],[ Other Operating Items ]]</f>
        <v>460071000</v>
      </c>
      <c r="L647" t="s">
        <v>21</v>
      </c>
      <c r="M647" t="s">
        <v>33</v>
      </c>
      <c r="N647" s="31">
        <f>Project_Data_NYSE[[#This Row],[Gross Profit]]/Project_Data_NYSE[[#This Row],[ Total Revenue ]]</f>
        <v>0.2612484348637425</v>
      </c>
      <c r="O647" s="31">
        <f>Project_Data_NYSE[[#This Row],[Operating Profit]]/Project_Data_NYSE[[#This Row],[ Total Revenue ]]</f>
        <v>0.13901038670347254</v>
      </c>
    </row>
    <row r="648" spans="1:15" x14ac:dyDescent="0.2">
      <c r="A648">
        <v>674</v>
      </c>
      <c r="B648" t="s">
        <v>265</v>
      </c>
      <c r="C648" t="s">
        <v>15</v>
      </c>
      <c r="D648" s="48">
        <v>42004</v>
      </c>
      <c r="E648" s="3">
        <v>3391187000</v>
      </c>
      <c r="F648" s="3">
        <v>2566246000</v>
      </c>
      <c r="G648" s="3">
        <f>Project_Data_NYSE[[#This Row],[ Total Revenue ]]-Project_Data_NYSE[[#This Row],[ Cost of Goods Sold ]]</f>
        <v>824941000</v>
      </c>
      <c r="H648" s="3">
        <v>253827000</v>
      </c>
      <c r="I648" s="3">
        <v>143969000</v>
      </c>
      <c r="J648" s="3">
        <v>0</v>
      </c>
      <c r="K648" s="3">
        <f>Project_Data_NYSE[[#This Row],[Gross Profit]]-Project_Data_NYSE[[#This Row],[ Sales, General and Admin. ]]-Project_Data_NYSE[[#This Row],[ Research and Development ]]-Project_Data_NYSE[[#This Row],[ Other Operating Items ]]</f>
        <v>427145000</v>
      </c>
      <c r="L648" t="s">
        <v>21</v>
      </c>
      <c r="M648" t="s">
        <v>33</v>
      </c>
      <c r="N648" s="31">
        <f>Project_Data_NYSE[[#This Row],[Gross Profit]]/Project_Data_NYSE[[#This Row],[ Total Revenue ]]</f>
        <v>0.24326025076175392</v>
      </c>
      <c r="O648" s="31">
        <f>Project_Data_NYSE[[#This Row],[Operating Profit]]/Project_Data_NYSE[[#This Row],[ Total Revenue ]]</f>
        <v>0.12595737126852632</v>
      </c>
    </row>
    <row r="649" spans="1:15" x14ac:dyDescent="0.2">
      <c r="A649">
        <v>675</v>
      </c>
      <c r="B649" t="s">
        <v>265</v>
      </c>
      <c r="C649" t="s">
        <v>16</v>
      </c>
      <c r="D649" s="48">
        <v>42369</v>
      </c>
      <c r="E649" s="3">
        <v>3578995000</v>
      </c>
      <c r="F649" s="3">
        <v>2659728000</v>
      </c>
      <c r="G649" s="3">
        <f>Project_Data_NYSE[[#This Row],[ Total Revenue ]]-Project_Data_NYSE[[#This Row],[ Cost of Goods Sold ]]</f>
        <v>919267000</v>
      </c>
      <c r="H649" s="3">
        <v>255192000</v>
      </c>
      <c r="I649" s="3">
        <v>130593000</v>
      </c>
      <c r="J649" s="3">
        <v>0</v>
      </c>
      <c r="K649" s="3">
        <f>Project_Data_NYSE[[#This Row],[Gross Profit]]-Project_Data_NYSE[[#This Row],[ Sales, General and Admin. ]]-Project_Data_NYSE[[#This Row],[ Research and Development ]]-Project_Data_NYSE[[#This Row],[ Other Operating Items ]]</f>
        <v>533482000</v>
      </c>
      <c r="L649" t="s">
        <v>21</v>
      </c>
      <c r="M649" t="s">
        <v>33</v>
      </c>
      <c r="N649" s="31">
        <f>Project_Data_NYSE[[#This Row],[Gross Profit]]/Project_Data_NYSE[[#This Row],[ Total Revenue ]]</f>
        <v>0.25685059632662244</v>
      </c>
      <c r="O649" s="31">
        <f>Project_Data_NYSE[[#This Row],[Operating Profit]]/Project_Data_NYSE[[#This Row],[ Total Revenue ]]</f>
        <v>0.1490591632567243</v>
      </c>
    </row>
    <row r="650" spans="1:15" x14ac:dyDescent="0.2">
      <c r="A650">
        <v>676</v>
      </c>
      <c r="B650" t="s">
        <v>266</v>
      </c>
      <c r="C650" t="s">
        <v>11</v>
      </c>
      <c r="D650" s="48">
        <v>41274</v>
      </c>
      <c r="E650" s="3">
        <v>5011853000</v>
      </c>
      <c r="F650" s="3">
        <v>0</v>
      </c>
      <c r="G650" s="3">
        <f>Project_Data_NYSE[[#This Row],[ Total Revenue ]]-Project_Data_NYSE[[#This Row],[ Cost of Goods Sold ]]</f>
        <v>5011853000</v>
      </c>
      <c r="H650" s="3">
        <v>2676141000</v>
      </c>
      <c r="I650" s="3">
        <v>0</v>
      </c>
      <c r="J650" s="3">
        <v>1266807000</v>
      </c>
      <c r="K650" s="3">
        <f>Project_Data_NYSE[[#This Row],[Gross Profit]]-Project_Data_NYSE[[#This Row],[ Sales, General and Admin. ]]-Project_Data_NYSE[[#This Row],[ Research and Development ]]-Project_Data_NYSE[[#This Row],[ Other Operating Items ]]</f>
        <v>1068905000</v>
      </c>
      <c r="L650" t="s">
        <v>181</v>
      </c>
      <c r="M650" t="s">
        <v>182</v>
      </c>
      <c r="N650" s="31">
        <f>Project_Data_NYSE[[#This Row],[Gross Profit]]/Project_Data_NYSE[[#This Row],[ Total Revenue ]]</f>
        <v>1</v>
      </c>
      <c r="O650" s="31">
        <f>Project_Data_NYSE[[#This Row],[Operating Profit]]/Project_Data_NYSE[[#This Row],[ Total Revenue ]]</f>
        <v>0.21327540931467862</v>
      </c>
    </row>
    <row r="651" spans="1:15" x14ac:dyDescent="0.2">
      <c r="A651">
        <v>677</v>
      </c>
      <c r="B651" t="s">
        <v>266</v>
      </c>
      <c r="C651" t="s">
        <v>14</v>
      </c>
      <c r="D651" s="48">
        <v>41639</v>
      </c>
      <c r="E651" s="3">
        <v>4762000000</v>
      </c>
      <c r="F651" s="3">
        <v>0</v>
      </c>
      <c r="G651" s="3">
        <f>Project_Data_NYSE[[#This Row],[ Total Revenue ]]-Project_Data_NYSE[[#This Row],[ Cost of Goods Sold ]]</f>
        <v>4762000000</v>
      </c>
      <c r="H651" s="3">
        <v>2616000000</v>
      </c>
      <c r="I651" s="3">
        <v>0</v>
      </c>
      <c r="J651" s="3">
        <v>1170000000</v>
      </c>
      <c r="K651" s="3">
        <f>Project_Data_NYSE[[#This Row],[Gross Profit]]-Project_Data_NYSE[[#This Row],[ Sales, General and Admin. ]]-Project_Data_NYSE[[#This Row],[ Research and Development ]]-Project_Data_NYSE[[#This Row],[ Other Operating Items ]]</f>
        <v>976000000</v>
      </c>
      <c r="L651" t="s">
        <v>181</v>
      </c>
      <c r="M651" t="s">
        <v>182</v>
      </c>
      <c r="N651" s="31">
        <f>Project_Data_NYSE[[#This Row],[Gross Profit]]/Project_Data_NYSE[[#This Row],[ Total Revenue ]]</f>
        <v>1</v>
      </c>
      <c r="O651" s="31">
        <f>Project_Data_NYSE[[#This Row],[Operating Profit]]/Project_Data_NYSE[[#This Row],[ Total Revenue ]]</f>
        <v>0.20495590088198237</v>
      </c>
    </row>
    <row r="652" spans="1:15" x14ac:dyDescent="0.2">
      <c r="A652">
        <v>678</v>
      </c>
      <c r="B652" t="s">
        <v>266</v>
      </c>
      <c r="C652" t="s">
        <v>15</v>
      </c>
      <c r="D652" s="48">
        <v>42004</v>
      </c>
      <c r="E652" s="3">
        <v>4772000000</v>
      </c>
      <c r="F652" s="3">
        <v>0</v>
      </c>
      <c r="G652" s="3">
        <f>Project_Data_NYSE[[#This Row],[ Total Revenue ]]-Project_Data_NYSE[[#This Row],[ Cost of Goods Sold ]]</f>
        <v>4772000000</v>
      </c>
      <c r="H652" s="3">
        <v>2671000000</v>
      </c>
      <c r="I652" s="3">
        <v>0</v>
      </c>
      <c r="J652" s="3">
        <v>1139000000</v>
      </c>
      <c r="K652" s="3">
        <f>Project_Data_NYSE[[#This Row],[Gross Profit]]-Project_Data_NYSE[[#This Row],[ Sales, General and Admin. ]]-Project_Data_NYSE[[#This Row],[ Research and Development ]]-Project_Data_NYSE[[#This Row],[ Other Operating Items ]]</f>
        <v>962000000</v>
      </c>
      <c r="L652" t="s">
        <v>181</v>
      </c>
      <c r="M652" t="s">
        <v>182</v>
      </c>
      <c r="N652" s="31">
        <f>Project_Data_NYSE[[#This Row],[Gross Profit]]/Project_Data_NYSE[[#This Row],[ Total Revenue ]]</f>
        <v>1</v>
      </c>
      <c r="O652" s="31">
        <f>Project_Data_NYSE[[#This Row],[Operating Profit]]/Project_Data_NYSE[[#This Row],[ Total Revenue ]]</f>
        <v>0.20159262363788769</v>
      </c>
    </row>
    <row r="653" spans="1:15" x14ac:dyDescent="0.2">
      <c r="A653">
        <v>679</v>
      </c>
      <c r="B653" t="s">
        <v>266</v>
      </c>
      <c r="C653" t="s">
        <v>16</v>
      </c>
      <c r="D653" s="48">
        <v>42369</v>
      </c>
      <c r="E653" s="3">
        <v>5576000000</v>
      </c>
      <c r="F653" s="3">
        <v>0</v>
      </c>
      <c r="G653" s="3">
        <f>Project_Data_NYSE[[#This Row],[ Total Revenue ]]-Project_Data_NYSE[[#This Row],[ Cost of Goods Sold ]]</f>
        <v>5576000000</v>
      </c>
      <c r="H653" s="3">
        <v>3275000000</v>
      </c>
      <c r="I653" s="3">
        <v>0</v>
      </c>
      <c r="J653" s="3">
        <v>1320000000</v>
      </c>
      <c r="K653" s="3">
        <f>Project_Data_NYSE[[#This Row],[Gross Profit]]-Project_Data_NYSE[[#This Row],[ Sales, General and Admin. ]]-Project_Data_NYSE[[#This Row],[ Research and Development ]]-Project_Data_NYSE[[#This Row],[ Other Operating Items ]]</f>
        <v>981000000</v>
      </c>
      <c r="L653" t="s">
        <v>181</v>
      </c>
      <c r="M653" t="s">
        <v>182</v>
      </c>
      <c r="N653" s="31">
        <f>Project_Data_NYSE[[#This Row],[Gross Profit]]/Project_Data_NYSE[[#This Row],[ Total Revenue ]]</f>
        <v>1</v>
      </c>
      <c r="O653" s="31">
        <f>Project_Data_NYSE[[#This Row],[Operating Profit]]/Project_Data_NYSE[[#This Row],[ Total Revenue ]]</f>
        <v>0.17593256814921091</v>
      </c>
    </row>
    <row r="654" spans="1:15" x14ac:dyDescent="0.2">
      <c r="A654">
        <v>680</v>
      </c>
      <c r="B654" t="s">
        <v>267</v>
      </c>
      <c r="C654" t="s">
        <v>11</v>
      </c>
      <c r="D654" s="48">
        <v>41639</v>
      </c>
      <c r="E654" s="3">
        <v>30930000000</v>
      </c>
      <c r="F654" s="3">
        <v>25202000000</v>
      </c>
      <c r="G654" s="3">
        <f>Project_Data_NYSE[[#This Row],[ Total Revenue ]]-Project_Data_NYSE[[#This Row],[ Cost of Goods Sold ]]</f>
        <v>5728000000</v>
      </c>
      <c r="H654" s="3">
        <v>2039000000</v>
      </c>
      <c r="I654" s="3">
        <v>0</v>
      </c>
      <c r="J654" s="3">
        <v>0</v>
      </c>
      <c r="K654" s="3">
        <f>Project_Data_NYSE[[#This Row],[Gross Profit]]-Project_Data_NYSE[[#This Row],[ Sales, General and Admin. ]]-Project_Data_NYSE[[#This Row],[ Research and Development ]]-Project_Data_NYSE[[#This Row],[ Other Operating Items ]]</f>
        <v>3689000000</v>
      </c>
      <c r="L654" t="s">
        <v>12</v>
      </c>
      <c r="M654" t="s">
        <v>90</v>
      </c>
      <c r="N654" s="31">
        <f>Project_Data_NYSE[[#This Row],[Gross Profit]]/Project_Data_NYSE[[#This Row],[ Total Revenue ]]</f>
        <v>0.18519236986744261</v>
      </c>
      <c r="O654" s="31">
        <f>Project_Data_NYSE[[#This Row],[Operating Profit]]/Project_Data_NYSE[[#This Row],[ Total Revenue ]]</f>
        <v>0.11926931781441966</v>
      </c>
    </row>
    <row r="655" spans="1:15" x14ac:dyDescent="0.2">
      <c r="A655">
        <v>681</v>
      </c>
      <c r="B655" t="s">
        <v>267</v>
      </c>
      <c r="C655" t="s">
        <v>14</v>
      </c>
      <c r="D655" s="48">
        <v>42004</v>
      </c>
      <c r="E655" s="3">
        <v>30852000000</v>
      </c>
      <c r="F655" s="3">
        <v>24979000000</v>
      </c>
      <c r="G655" s="3">
        <f>Project_Data_NYSE[[#This Row],[ Total Revenue ]]-Project_Data_NYSE[[#This Row],[ Cost of Goods Sold ]]</f>
        <v>5873000000</v>
      </c>
      <c r="H655" s="3">
        <v>1984000000</v>
      </c>
      <c r="I655" s="3">
        <v>0</v>
      </c>
      <c r="J655" s="3">
        <v>0</v>
      </c>
      <c r="K655" s="3">
        <f>Project_Data_NYSE[[#This Row],[Gross Profit]]-Project_Data_NYSE[[#This Row],[ Sales, General and Admin. ]]-Project_Data_NYSE[[#This Row],[ Research and Development ]]-Project_Data_NYSE[[#This Row],[ Other Operating Items ]]</f>
        <v>3889000000</v>
      </c>
      <c r="L655" t="s">
        <v>12</v>
      </c>
      <c r="M655" t="s">
        <v>90</v>
      </c>
      <c r="N655" s="31">
        <f>Project_Data_NYSE[[#This Row],[Gross Profit]]/Project_Data_NYSE[[#This Row],[ Total Revenue ]]</f>
        <v>0.19036043044211073</v>
      </c>
      <c r="O655" s="31">
        <f>Project_Data_NYSE[[#This Row],[Operating Profit]]/Project_Data_NYSE[[#This Row],[ Total Revenue ]]</f>
        <v>0.12605341631012576</v>
      </c>
    </row>
    <row r="656" spans="1:15" x14ac:dyDescent="0.2">
      <c r="A656">
        <v>682</v>
      </c>
      <c r="B656" t="s">
        <v>267</v>
      </c>
      <c r="C656" t="s">
        <v>15</v>
      </c>
      <c r="D656" s="48">
        <v>42369</v>
      </c>
      <c r="E656" s="3">
        <v>31469000000</v>
      </c>
      <c r="F656" s="3">
        <v>25339000000</v>
      </c>
      <c r="G656" s="3">
        <f>Project_Data_NYSE[[#This Row],[ Total Revenue ]]-Project_Data_NYSE[[#This Row],[ Cost of Goods Sold ]]</f>
        <v>6130000000</v>
      </c>
      <c r="H656" s="3">
        <v>1952000000</v>
      </c>
      <c r="I656" s="3">
        <v>0</v>
      </c>
      <c r="J656" s="3">
        <v>0</v>
      </c>
      <c r="K656" s="3">
        <f>Project_Data_NYSE[[#This Row],[Gross Profit]]-Project_Data_NYSE[[#This Row],[ Sales, General and Admin. ]]-Project_Data_NYSE[[#This Row],[ Research and Development ]]-Project_Data_NYSE[[#This Row],[ Other Operating Items ]]</f>
        <v>4178000000</v>
      </c>
      <c r="L656" t="s">
        <v>12</v>
      </c>
      <c r="M656" t="s">
        <v>90</v>
      </c>
      <c r="N656" s="31">
        <f>Project_Data_NYSE[[#This Row],[Gross Profit]]/Project_Data_NYSE[[#This Row],[ Total Revenue ]]</f>
        <v>0.19479487749849059</v>
      </c>
      <c r="O656" s="31">
        <f>Project_Data_NYSE[[#This Row],[Operating Profit]]/Project_Data_NYSE[[#This Row],[ Total Revenue ]]</f>
        <v>0.13276557882360418</v>
      </c>
    </row>
    <row r="657" spans="1:15" x14ac:dyDescent="0.2">
      <c r="A657">
        <v>683</v>
      </c>
      <c r="B657" t="s">
        <v>267</v>
      </c>
      <c r="C657" t="s">
        <v>16</v>
      </c>
      <c r="D657" s="48">
        <v>42735</v>
      </c>
      <c r="E657" s="3">
        <v>31353000000</v>
      </c>
      <c r="F657" s="3">
        <v>25104000000</v>
      </c>
      <c r="G657" s="3">
        <f>Project_Data_NYSE[[#This Row],[ Total Revenue ]]-Project_Data_NYSE[[#This Row],[ Cost of Goods Sold ]]</f>
        <v>6249000000</v>
      </c>
      <c r="H657" s="3">
        <v>1940000000</v>
      </c>
      <c r="I657" s="3">
        <v>0</v>
      </c>
      <c r="J657" s="3">
        <v>0</v>
      </c>
      <c r="K657" s="3">
        <f>Project_Data_NYSE[[#This Row],[Gross Profit]]-Project_Data_NYSE[[#This Row],[ Sales, General and Admin. ]]-Project_Data_NYSE[[#This Row],[ Research and Development ]]-Project_Data_NYSE[[#This Row],[ Other Operating Items ]]</f>
        <v>4309000000</v>
      </c>
      <c r="L657" t="s">
        <v>12</v>
      </c>
      <c r="M657" t="s">
        <v>90</v>
      </c>
      <c r="N657" s="31">
        <f>Project_Data_NYSE[[#This Row],[Gross Profit]]/Project_Data_NYSE[[#This Row],[ Total Revenue ]]</f>
        <v>0.19931107071093676</v>
      </c>
      <c r="O657" s="31">
        <f>Project_Data_NYSE[[#This Row],[Operating Profit]]/Project_Data_NYSE[[#This Row],[ Total Revenue ]]</f>
        <v>0.13743501419321916</v>
      </c>
    </row>
    <row r="658" spans="1:15" x14ac:dyDescent="0.2">
      <c r="A658">
        <v>684</v>
      </c>
      <c r="B658" t="s">
        <v>268</v>
      </c>
      <c r="C658" t="s">
        <v>11</v>
      </c>
      <c r="D658" s="48">
        <v>41274</v>
      </c>
      <c r="E658" s="3">
        <v>2426301000</v>
      </c>
      <c r="F658" s="3">
        <v>800336000</v>
      </c>
      <c r="G658" s="3">
        <f>Project_Data_NYSE[[#This Row],[ Total Revenue ]]-Project_Data_NYSE[[#This Row],[ Cost of Goods Sold ]]</f>
        <v>1625965000</v>
      </c>
      <c r="H658" s="3">
        <v>72163000</v>
      </c>
      <c r="I658" s="3">
        <v>0</v>
      </c>
      <c r="J658" s="3">
        <v>768820000</v>
      </c>
      <c r="K658" s="3">
        <f>Project_Data_NYSE[[#This Row],[Gross Profit]]-Project_Data_NYSE[[#This Row],[ Sales, General and Admin. ]]-Project_Data_NYSE[[#This Row],[ Research and Development ]]-Project_Data_NYSE[[#This Row],[ Other Operating Items ]]</f>
        <v>784982000</v>
      </c>
      <c r="L658" t="s">
        <v>51</v>
      </c>
      <c r="M658" t="s">
        <v>264</v>
      </c>
      <c r="N658" s="31">
        <f>Project_Data_NYSE[[#This Row],[Gross Profit]]/Project_Data_NYSE[[#This Row],[ Total Revenue ]]</f>
        <v>0.67014150346556345</v>
      </c>
      <c r="O658" s="31">
        <f>Project_Data_NYSE[[#This Row],[Operating Profit]]/Project_Data_NYSE[[#This Row],[ Total Revenue ]]</f>
        <v>0.32353034516327528</v>
      </c>
    </row>
    <row r="659" spans="1:15" x14ac:dyDescent="0.2">
      <c r="A659">
        <v>685</v>
      </c>
      <c r="B659" t="s">
        <v>268</v>
      </c>
      <c r="C659" t="s">
        <v>14</v>
      </c>
      <c r="D659" s="48">
        <v>41639</v>
      </c>
      <c r="E659" s="3">
        <v>2486017000</v>
      </c>
      <c r="F659" s="3">
        <v>815095000</v>
      </c>
      <c r="G659" s="3">
        <f>Project_Data_NYSE[[#This Row],[ Total Revenue ]]-Project_Data_NYSE[[#This Row],[ Cost of Goods Sold ]]</f>
        <v>1670922000</v>
      </c>
      <c r="H659" s="3">
        <v>76864000</v>
      </c>
      <c r="I659" s="3">
        <v>0</v>
      </c>
      <c r="J659" s="3">
        <v>749722000</v>
      </c>
      <c r="K659" s="3">
        <f>Project_Data_NYSE[[#This Row],[Gross Profit]]-Project_Data_NYSE[[#This Row],[ Sales, General and Admin. ]]-Project_Data_NYSE[[#This Row],[ Research and Development ]]-Project_Data_NYSE[[#This Row],[ Other Operating Items ]]</f>
        <v>844336000</v>
      </c>
      <c r="L659" t="s">
        <v>51</v>
      </c>
      <c r="M659" t="s">
        <v>264</v>
      </c>
      <c r="N659" s="31">
        <f>Project_Data_NYSE[[#This Row],[Gross Profit]]/Project_Data_NYSE[[#This Row],[ Total Revenue ]]</f>
        <v>0.67212814715265423</v>
      </c>
      <c r="O659" s="31">
        <f>Project_Data_NYSE[[#This Row],[Operating Profit]]/Project_Data_NYSE[[#This Row],[ Total Revenue ]]</f>
        <v>0.33963404111878559</v>
      </c>
    </row>
    <row r="660" spans="1:15" x14ac:dyDescent="0.2">
      <c r="A660">
        <v>686</v>
      </c>
      <c r="B660" t="s">
        <v>268</v>
      </c>
      <c r="C660" t="s">
        <v>15</v>
      </c>
      <c r="D660" s="48">
        <v>42004</v>
      </c>
      <c r="E660" s="3">
        <v>2535559000</v>
      </c>
      <c r="F660" s="3">
        <v>783602000</v>
      </c>
      <c r="G660" s="3">
        <f>Project_Data_NYSE[[#This Row],[ Total Revenue ]]-Project_Data_NYSE[[#This Row],[ Cost of Goods Sold ]]</f>
        <v>1751957000</v>
      </c>
      <c r="H660" s="3">
        <v>88705000</v>
      </c>
      <c r="I660" s="3">
        <v>0</v>
      </c>
      <c r="J660" s="3">
        <v>708406000</v>
      </c>
      <c r="K660" s="3">
        <f>Project_Data_NYSE[[#This Row],[Gross Profit]]-Project_Data_NYSE[[#This Row],[ Sales, General and Admin. ]]-Project_Data_NYSE[[#This Row],[ Research and Development ]]-Project_Data_NYSE[[#This Row],[ Other Operating Items ]]</f>
        <v>954846000</v>
      </c>
      <c r="L660" t="s">
        <v>51</v>
      </c>
      <c r="M660" t="s">
        <v>264</v>
      </c>
      <c r="N660" s="31">
        <f>Project_Data_NYSE[[#This Row],[Gross Profit]]/Project_Data_NYSE[[#This Row],[ Total Revenue ]]</f>
        <v>0.69095493340916148</v>
      </c>
      <c r="O660" s="31">
        <f>Project_Data_NYSE[[#This Row],[Operating Profit]]/Project_Data_NYSE[[#This Row],[ Total Revenue ]]</f>
        <v>0.37658204758792835</v>
      </c>
    </row>
    <row r="661" spans="1:15" x14ac:dyDescent="0.2">
      <c r="A661">
        <v>687</v>
      </c>
      <c r="B661" t="s">
        <v>268</v>
      </c>
      <c r="C661" t="s">
        <v>16</v>
      </c>
      <c r="D661" s="48">
        <v>42369</v>
      </c>
      <c r="E661" s="3">
        <v>2403906000</v>
      </c>
      <c r="F661" s="3">
        <v>747276000</v>
      </c>
      <c r="G661" s="3">
        <f>Project_Data_NYSE[[#This Row],[ Total Revenue ]]-Project_Data_NYSE[[#This Row],[ Cost of Goods Sold ]]</f>
        <v>1656630000</v>
      </c>
      <c r="H661" s="3">
        <v>72363000</v>
      </c>
      <c r="I661" s="3">
        <v>0</v>
      </c>
      <c r="J661" s="3">
        <v>643689000</v>
      </c>
      <c r="K661" s="3">
        <f>Project_Data_NYSE[[#This Row],[Gross Profit]]-Project_Data_NYSE[[#This Row],[ Sales, General and Admin. ]]-Project_Data_NYSE[[#This Row],[ Research and Development ]]-Project_Data_NYSE[[#This Row],[ Other Operating Items ]]</f>
        <v>940578000</v>
      </c>
      <c r="L661" t="s">
        <v>51</v>
      </c>
      <c r="M661" t="s">
        <v>264</v>
      </c>
      <c r="N661" s="31">
        <f>Project_Data_NYSE[[#This Row],[Gross Profit]]/Project_Data_NYSE[[#This Row],[ Total Revenue ]]</f>
        <v>0.68914092314757736</v>
      </c>
      <c r="O661" s="31">
        <f>Project_Data_NYSE[[#This Row],[Operating Profit]]/Project_Data_NYSE[[#This Row],[ Total Revenue ]]</f>
        <v>0.3912707069244804</v>
      </c>
    </row>
    <row r="662" spans="1:15" x14ac:dyDescent="0.2">
      <c r="A662">
        <v>236</v>
      </c>
      <c r="B662" t="s">
        <v>117</v>
      </c>
      <c r="C662" t="s">
        <v>15</v>
      </c>
      <c r="D662" s="48">
        <v>42004</v>
      </c>
      <c r="E662" s="3">
        <v>15879000000</v>
      </c>
      <c r="F662" s="3">
        <v>3932000000</v>
      </c>
      <c r="G662" s="3">
        <f>Project_Data_NYSE[[#This Row],[ Total Revenue ]]-Project_Data_NYSE[[#This Row],[ Cost of Goods Sold ]]</f>
        <v>11947000000</v>
      </c>
      <c r="H662" s="3">
        <v>4822000000</v>
      </c>
      <c r="I662" s="3">
        <v>4534000000</v>
      </c>
      <c r="J662" s="3">
        <v>0</v>
      </c>
      <c r="K662" s="3">
        <f>Project_Data_NYSE[[#This Row],[Gross Profit]]-Project_Data_NYSE[[#This Row],[ Sales, General and Admin. ]]-Project_Data_NYSE[[#This Row],[ Research and Development ]]-Project_Data_NYSE[[#This Row],[ Other Operating Items ]]</f>
        <v>2591000000</v>
      </c>
      <c r="L662" t="s">
        <v>24</v>
      </c>
      <c r="M662" t="s">
        <v>27</v>
      </c>
      <c r="N662" s="31">
        <f>Project_Data_NYSE[[#This Row],[Gross Profit]]/Project_Data_NYSE[[#This Row],[ Total Revenue ]]</f>
        <v>0.75237735373764092</v>
      </c>
      <c r="O662" s="31">
        <f>Project_Data_NYSE[[#This Row],[Operating Profit]]/Project_Data_NYSE[[#This Row],[ Total Revenue ]]</f>
        <v>0.16317148435039991</v>
      </c>
    </row>
    <row r="663" spans="1:15" x14ac:dyDescent="0.2">
      <c r="A663">
        <v>1752</v>
      </c>
      <c r="B663" t="s">
        <v>567</v>
      </c>
      <c r="C663" t="s">
        <v>16</v>
      </c>
      <c r="D663" s="48">
        <v>42369</v>
      </c>
      <c r="E663" s="3">
        <v>2674300000</v>
      </c>
      <c r="F663" s="3">
        <v>1157100000</v>
      </c>
      <c r="G663" s="3">
        <f>Project_Data_NYSE[[#This Row],[ Total Revenue ]]-Project_Data_NYSE[[#This Row],[ Cost of Goods Sold ]]</f>
        <v>1517200000</v>
      </c>
      <c r="H663" s="3">
        <v>1077300000</v>
      </c>
      <c r="I663" s="3">
        <v>0</v>
      </c>
      <c r="J663" s="3">
        <v>0</v>
      </c>
      <c r="K663" s="3">
        <f>Project_Data_NYSE[[#This Row],[Gross Profit]]-Project_Data_NYSE[[#This Row],[ Sales, General and Admin. ]]-Project_Data_NYSE[[#This Row],[ Research and Development ]]-Project_Data_NYSE[[#This Row],[ Other Operating Items ]]</f>
        <v>439900000</v>
      </c>
      <c r="L663" t="s">
        <v>24</v>
      </c>
      <c r="M663" t="s">
        <v>165</v>
      </c>
      <c r="N663" s="31">
        <f>Project_Data_NYSE[[#This Row],[Gross Profit]]/Project_Data_NYSE[[#This Row],[ Total Revenue ]]</f>
        <v>0.56732602924129683</v>
      </c>
      <c r="O663" s="31">
        <f>Project_Data_NYSE[[#This Row],[Operating Profit]]/Project_Data_NYSE[[#This Row],[ Total Revenue ]]</f>
        <v>0.16449164267284896</v>
      </c>
    </row>
    <row r="664" spans="1:15" x14ac:dyDescent="0.2">
      <c r="A664">
        <v>373</v>
      </c>
      <c r="B664" t="s">
        <v>164</v>
      </c>
      <c r="C664" t="s">
        <v>16</v>
      </c>
      <c r="D664" s="48">
        <v>42674</v>
      </c>
      <c r="E664" s="3">
        <v>1966814000</v>
      </c>
      <c r="F664" s="3">
        <v>793735000</v>
      </c>
      <c r="G664" s="3">
        <f>Project_Data_NYSE[[#This Row],[ Total Revenue ]]-Project_Data_NYSE[[#This Row],[ Cost of Goods Sold ]]</f>
        <v>1173079000</v>
      </c>
      <c r="H664" s="3">
        <v>722798000</v>
      </c>
      <c r="I664" s="3">
        <v>65411000</v>
      </c>
      <c r="J664" s="3">
        <v>60790000</v>
      </c>
      <c r="K664" s="3">
        <f>Project_Data_NYSE[[#This Row],[Gross Profit]]-Project_Data_NYSE[[#This Row],[ Sales, General and Admin. ]]-Project_Data_NYSE[[#This Row],[ Research and Development ]]-Project_Data_NYSE[[#This Row],[ Other Operating Items ]]</f>
        <v>324080000</v>
      </c>
      <c r="L664" t="s">
        <v>24</v>
      </c>
      <c r="M664" t="s">
        <v>165</v>
      </c>
      <c r="N664" s="31">
        <f>Project_Data_NYSE[[#This Row],[Gross Profit]]/Project_Data_NYSE[[#This Row],[ Total Revenue ]]</f>
        <v>0.59643616529066801</v>
      </c>
      <c r="O664" s="31">
        <f>Project_Data_NYSE[[#This Row],[Operating Profit]]/Project_Data_NYSE[[#This Row],[ Total Revenue ]]</f>
        <v>0.16477409658462874</v>
      </c>
    </row>
    <row r="665" spans="1:15" x14ac:dyDescent="0.2">
      <c r="A665">
        <v>835</v>
      </c>
      <c r="B665" t="s">
        <v>316</v>
      </c>
      <c r="C665" t="s">
        <v>11</v>
      </c>
      <c r="D665" s="48">
        <v>41637</v>
      </c>
      <c r="E665" s="3">
        <v>1421178000</v>
      </c>
      <c r="F665" s="3">
        <v>509291000</v>
      </c>
      <c r="G665" s="3">
        <f>Project_Data_NYSE[[#This Row],[ Total Revenue ]]-Project_Data_NYSE[[#This Row],[ Cost of Goods Sold ]]</f>
        <v>911887000</v>
      </c>
      <c r="H665" s="3">
        <v>397285000</v>
      </c>
      <c r="I665" s="3">
        <v>276743000</v>
      </c>
      <c r="J665" s="3">
        <v>0</v>
      </c>
      <c r="K665" s="3">
        <f>Project_Data_NYSE[[#This Row],[Gross Profit]]-Project_Data_NYSE[[#This Row],[ Sales, General and Admin. ]]-Project_Data_NYSE[[#This Row],[ Research and Development ]]-Project_Data_NYSE[[#This Row],[ Other Operating Items ]]</f>
        <v>237859000</v>
      </c>
      <c r="L665" t="s">
        <v>24</v>
      </c>
      <c r="M665" t="s">
        <v>317</v>
      </c>
      <c r="N665" s="31">
        <f>Project_Data_NYSE[[#This Row],[Gross Profit]]/Project_Data_NYSE[[#This Row],[ Total Revenue ]]</f>
        <v>0.64164165220683123</v>
      </c>
      <c r="O665" s="31">
        <f>Project_Data_NYSE[[#This Row],[Operating Profit]]/Project_Data_NYSE[[#This Row],[ Total Revenue ]]</f>
        <v>0.16736749372703488</v>
      </c>
    </row>
    <row r="666" spans="1:15" x14ac:dyDescent="0.2">
      <c r="A666">
        <v>692</v>
      </c>
      <c r="B666" t="s">
        <v>270</v>
      </c>
      <c r="C666" t="s">
        <v>11</v>
      </c>
      <c r="D666" s="48">
        <v>41420</v>
      </c>
      <c r="E666" s="3">
        <v>17774100000</v>
      </c>
      <c r="F666" s="3">
        <v>11350200000</v>
      </c>
      <c r="G666" s="3">
        <f>Project_Data_NYSE[[#This Row],[ Total Revenue ]]-Project_Data_NYSE[[#This Row],[ Cost of Goods Sold ]]</f>
        <v>6423900000</v>
      </c>
      <c r="H666" s="3">
        <v>3552300000</v>
      </c>
      <c r="I666" s="3">
        <v>0</v>
      </c>
      <c r="J666" s="3">
        <v>0</v>
      </c>
      <c r="K666" s="3">
        <f>Project_Data_NYSE[[#This Row],[Gross Profit]]-Project_Data_NYSE[[#This Row],[ Sales, General and Admin. ]]-Project_Data_NYSE[[#This Row],[ Research and Development ]]-Project_Data_NYSE[[#This Row],[ Other Operating Items ]]</f>
        <v>2871600000</v>
      </c>
      <c r="L666" t="s">
        <v>35</v>
      </c>
      <c r="M666" t="s">
        <v>123</v>
      </c>
      <c r="N666" s="31">
        <f>Project_Data_NYSE[[#This Row],[Gross Profit]]/Project_Data_NYSE[[#This Row],[ Total Revenue ]]</f>
        <v>0.36141914358532923</v>
      </c>
      <c r="O666" s="31">
        <f>Project_Data_NYSE[[#This Row],[Operating Profit]]/Project_Data_NYSE[[#This Row],[ Total Revenue ]]</f>
        <v>0.16156092291592825</v>
      </c>
    </row>
    <row r="667" spans="1:15" x14ac:dyDescent="0.2">
      <c r="A667">
        <v>693</v>
      </c>
      <c r="B667" t="s">
        <v>270</v>
      </c>
      <c r="C667" t="s">
        <v>14</v>
      </c>
      <c r="D667" s="48">
        <v>41784</v>
      </c>
      <c r="E667" s="3">
        <v>17909600000</v>
      </c>
      <c r="F667" s="3">
        <v>11539800000</v>
      </c>
      <c r="G667" s="3">
        <f>Project_Data_NYSE[[#This Row],[ Total Revenue ]]-Project_Data_NYSE[[#This Row],[ Cost of Goods Sold ]]</f>
        <v>6369800000</v>
      </c>
      <c r="H667" s="3">
        <v>3474300000</v>
      </c>
      <c r="I667" s="3">
        <v>0</v>
      </c>
      <c r="J667" s="3">
        <v>0</v>
      </c>
      <c r="K667" s="3">
        <f>Project_Data_NYSE[[#This Row],[Gross Profit]]-Project_Data_NYSE[[#This Row],[ Sales, General and Admin. ]]-Project_Data_NYSE[[#This Row],[ Research and Development ]]-Project_Data_NYSE[[#This Row],[ Other Operating Items ]]</f>
        <v>2895500000</v>
      </c>
      <c r="L667" t="s">
        <v>35</v>
      </c>
      <c r="M667" t="s">
        <v>123</v>
      </c>
      <c r="N667" s="31">
        <f>Project_Data_NYSE[[#This Row],[Gross Profit]]/Project_Data_NYSE[[#This Row],[ Total Revenue ]]</f>
        <v>0.35566400142940097</v>
      </c>
      <c r="O667" s="31">
        <f>Project_Data_NYSE[[#This Row],[Operating Profit]]/Project_Data_NYSE[[#This Row],[ Total Revenue ]]</f>
        <v>0.16167306919194174</v>
      </c>
    </row>
    <row r="668" spans="1:15" x14ac:dyDescent="0.2">
      <c r="A668">
        <v>694</v>
      </c>
      <c r="B668" t="s">
        <v>270</v>
      </c>
      <c r="C668" t="s">
        <v>15</v>
      </c>
      <c r="D668" s="48">
        <v>42155</v>
      </c>
      <c r="E668" s="3">
        <v>17630300000</v>
      </c>
      <c r="F668" s="3">
        <v>11681100000</v>
      </c>
      <c r="G668" s="3">
        <f>Project_Data_NYSE[[#This Row],[ Total Revenue ]]-Project_Data_NYSE[[#This Row],[ Cost of Goods Sold ]]</f>
        <v>5949200000</v>
      </c>
      <c r="H668" s="3">
        <v>3328000000</v>
      </c>
      <c r="I668" s="3">
        <v>0</v>
      </c>
      <c r="J668" s="3">
        <v>0</v>
      </c>
      <c r="K668" s="3">
        <f>Project_Data_NYSE[[#This Row],[Gross Profit]]-Project_Data_NYSE[[#This Row],[ Sales, General and Admin. ]]-Project_Data_NYSE[[#This Row],[ Research and Development ]]-Project_Data_NYSE[[#This Row],[ Other Operating Items ]]</f>
        <v>2621200000</v>
      </c>
      <c r="L668" t="s">
        <v>35</v>
      </c>
      <c r="M668" t="s">
        <v>123</v>
      </c>
      <c r="N668" s="31">
        <f>Project_Data_NYSE[[#This Row],[Gross Profit]]/Project_Data_NYSE[[#This Row],[ Total Revenue ]]</f>
        <v>0.33744179055376256</v>
      </c>
      <c r="O668" s="31">
        <f>Project_Data_NYSE[[#This Row],[Operating Profit]]/Project_Data_NYSE[[#This Row],[ Total Revenue ]]</f>
        <v>0.14867585917426249</v>
      </c>
    </row>
    <row r="669" spans="1:15" x14ac:dyDescent="0.2">
      <c r="A669">
        <v>695</v>
      </c>
      <c r="B669" t="s">
        <v>270</v>
      </c>
      <c r="C669" t="s">
        <v>16</v>
      </c>
      <c r="D669" s="48">
        <v>42519</v>
      </c>
      <c r="E669" s="3">
        <v>16563100000</v>
      </c>
      <c r="F669" s="3">
        <v>10733600000</v>
      </c>
      <c r="G669" s="3">
        <f>Project_Data_NYSE[[#This Row],[ Total Revenue ]]-Project_Data_NYSE[[#This Row],[ Cost of Goods Sold ]]</f>
        <v>5829500000</v>
      </c>
      <c r="H669" s="3">
        <v>3118900000</v>
      </c>
      <c r="I669" s="3">
        <v>0</v>
      </c>
      <c r="J669" s="3">
        <v>0</v>
      </c>
      <c r="K669" s="3">
        <f>Project_Data_NYSE[[#This Row],[Gross Profit]]-Project_Data_NYSE[[#This Row],[ Sales, General and Admin. ]]-Project_Data_NYSE[[#This Row],[ Research and Development ]]-Project_Data_NYSE[[#This Row],[ Other Operating Items ]]</f>
        <v>2710600000</v>
      </c>
      <c r="L669" t="s">
        <v>35</v>
      </c>
      <c r="M669" t="s">
        <v>123</v>
      </c>
      <c r="N669" s="31">
        <f>Project_Data_NYSE[[#This Row],[Gross Profit]]/Project_Data_NYSE[[#This Row],[ Total Revenue ]]</f>
        <v>0.35195706117816111</v>
      </c>
      <c r="O669" s="31">
        <f>Project_Data_NYSE[[#This Row],[Operating Profit]]/Project_Data_NYSE[[#This Row],[ Total Revenue ]]</f>
        <v>0.16365293936521544</v>
      </c>
    </row>
    <row r="670" spans="1:15" x14ac:dyDescent="0.2">
      <c r="A670">
        <v>696</v>
      </c>
      <c r="B670" t="s">
        <v>271</v>
      </c>
      <c r="C670" t="s">
        <v>11</v>
      </c>
      <c r="D670" s="48">
        <v>41639</v>
      </c>
      <c r="E670" s="3">
        <v>7819000000</v>
      </c>
      <c r="F670" s="3">
        <v>4495000000</v>
      </c>
      <c r="G670" s="3">
        <f>Project_Data_NYSE[[#This Row],[ Total Revenue ]]-Project_Data_NYSE[[#This Row],[ Cost of Goods Sold ]]</f>
        <v>3324000000</v>
      </c>
      <c r="H670" s="3">
        <v>1126000000</v>
      </c>
      <c r="I670" s="3">
        <v>710000000</v>
      </c>
      <c r="J670" s="3">
        <v>31000000</v>
      </c>
      <c r="K670" s="3">
        <f>Project_Data_NYSE[[#This Row],[Gross Profit]]-Project_Data_NYSE[[#This Row],[ Sales, General and Admin. ]]-Project_Data_NYSE[[#This Row],[ Research and Development ]]-Project_Data_NYSE[[#This Row],[ Other Operating Items ]]</f>
        <v>1457000000</v>
      </c>
      <c r="L670" t="s">
        <v>21</v>
      </c>
      <c r="M670" t="s">
        <v>88</v>
      </c>
      <c r="N670" s="31">
        <f>Project_Data_NYSE[[#This Row],[Gross Profit]]/Project_Data_NYSE[[#This Row],[ Total Revenue ]]</f>
        <v>0.42511830157309116</v>
      </c>
      <c r="O670" s="31">
        <f>Project_Data_NYSE[[#This Row],[Operating Profit]]/Project_Data_NYSE[[#This Row],[ Total Revenue ]]</f>
        <v>0.18634096431768768</v>
      </c>
    </row>
    <row r="671" spans="1:15" x14ac:dyDescent="0.2">
      <c r="A671">
        <v>697</v>
      </c>
      <c r="B671" t="s">
        <v>271</v>
      </c>
      <c r="C671" t="s">
        <v>14</v>
      </c>
      <c r="D671" s="48">
        <v>42004</v>
      </c>
      <c r="E671" s="3">
        <v>9715000000</v>
      </c>
      <c r="F671" s="3">
        <v>5663000000</v>
      </c>
      <c r="G671" s="3">
        <f>Project_Data_NYSE[[#This Row],[ Total Revenue ]]-Project_Data_NYSE[[#This Row],[ Cost of Goods Sold ]]</f>
        <v>4052000000</v>
      </c>
      <c r="H671" s="3">
        <v>1202000000</v>
      </c>
      <c r="I671" s="3">
        <v>815000000</v>
      </c>
      <c r="J671" s="3">
        <v>33000000</v>
      </c>
      <c r="K671" s="3">
        <f>Project_Data_NYSE[[#This Row],[Gross Profit]]-Project_Data_NYSE[[#This Row],[ Sales, General and Admin. ]]-Project_Data_NYSE[[#This Row],[ Research and Development ]]-Project_Data_NYSE[[#This Row],[ Other Operating Items ]]</f>
        <v>2002000000</v>
      </c>
      <c r="L671" t="s">
        <v>21</v>
      </c>
      <c r="M671" t="s">
        <v>88</v>
      </c>
      <c r="N671" s="31">
        <f>Project_Data_NYSE[[#This Row],[Gross Profit]]/Project_Data_NYSE[[#This Row],[ Total Revenue ]]</f>
        <v>0.41708697889861041</v>
      </c>
      <c r="O671" s="31">
        <f>Project_Data_NYSE[[#This Row],[Operating Profit]]/Project_Data_NYSE[[#This Row],[ Total Revenue ]]</f>
        <v>0.20607308286155429</v>
      </c>
    </row>
    <row r="672" spans="1:15" x14ac:dyDescent="0.2">
      <c r="A672">
        <v>698</v>
      </c>
      <c r="B672" t="s">
        <v>271</v>
      </c>
      <c r="C672" t="s">
        <v>15</v>
      </c>
      <c r="D672" s="48">
        <v>42369</v>
      </c>
      <c r="E672" s="3">
        <v>9111000000</v>
      </c>
      <c r="F672" s="3">
        <v>5458000000</v>
      </c>
      <c r="G672" s="3">
        <f>Project_Data_NYSE[[#This Row],[ Total Revenue ]]-Project_Data_NYSE[[#This Row],[ Cost of Goods Sold ]]</f>
        <v>3653000000</v>
      </c>
      <c r="H672" s="3">
        <v>1508000000</v>
      </c>
      <c r="I672" s="3">
        <v>769000000</v>
      </c>
      <c r="J672" s="3">
        <v>54000000</v>
      </c>
      <c r="K672" s="3">
        <f>Project_Data_NYSE[[#This Row],[Gross Profit]]-Project_Data_NYSE[[#This Row],[ Sales, General and Admin. ]]-Project_Data_NYSE[[#This Row],[ Research and Development ]]-Project_Data_NYSE[[#This Row],[ Other Operating Items ]]</f>
        <v>1322000000</v>
      </c>
      <c r="L672" t="s">
        <v>21</v>
      </c>
      <c r="M672" t="s">
        <v>88</v>
      </c>
      <c r="N672" s="31">
        <f>Project_Data_NYSE[[#This Row],[Gross Profit]]/Project_Data_NYSE[[#This Row],[ Total Revenue ]]</f>
        <v>0.40094391395017015</v>
      </c>
      <c r="O672" s="31">
        <f>Project_Data_NYSE[[#This Row],[Operating Profit]]/Project_Data_NYSE[[#This Row],[ Total Revenue ]]</f>
        <v>0.14509933047963999</v>
      </c>
    </row>
    <row r="673" spans="1:15" x14ac:dyDescent="0.2">
      <c r="A673">
        <v>699</v>
      </c>
      <c r="B673" t="s">
        <v>271</v>
      </c>
      <c r="C673" t="s">
        <v>16</v>
      </c>
      <c r="D673" s="48">
        <v>42735</v>
      </c>
      <c r="E673" s="3">
        <v>9390000000</v>
      </c>
      <c r="F673" s="3">
        <v>5644000000</v>
      </c>
      <c r="G673" s="3">
        <f>Project_Data_NYSE[[#This Row],[ Total Revenue ]]-Project_Data_NYSE[[#This Row],[ Cost of Goods Sold ]]</f>
        <v>3746000000</v>
      </c>
      <c r="H673" s="3">
        <v>1472000000</v>
      </c>
      <c r="I673" s="3">
        <v>742000000</v>
      </c>
      <c r="J673" s="3">
        <v>64000000</v>
      </c>
      <c r="K673" s="3">
        <f>Project_Data_NYSE[[#This Row],[Gross Profit]]-Project_Data_NYSE[[#This Row],[ Sales, General and Admin. ]]-Project_Data_NYSE[[#This Row],[ Research and Development ]]-Project_Data_NYSE[[#This Row],[ Other Operating Items ]]</f>
        <v>1468000000</v>
      </c>
      <c r="L673" t="s">
        <v>21</v>
      </c>
      <c r="M673" t="s">
        <v>88</v>
      </c>
      <c r="N673" s="31">
        <f>Project_Data_NYSE[[#This Row],[Gross Profit]]/Project_Data_NYSE[[#This Row],[ Total Revenue ]]</f>
        <v>0.39893503727369545</v>
      </c>
      <c r="O673" s="31">
        <f>Project_Data_NYSE[[#This Row],[Operating Profit]]/Project_Data_NYSE[[#This Row],[ Total Revenue ]]</f>
        <v>0.15633652822151226</v>
      </c>
    </row>
    <row r="674" spans="1:15" x14ac:dyDescent="0.2">
      <c r="A674">
        <v>700</v>
      </c>
      <c r="B674" t="s">
        <v>272</v>
      </c>
      <c r="C674" t="s">
        <v>11</v>
      </c>
      <c r="D674" s="48">
        <v>41639</v>
      </c>
      <c r="E674" s="3">
        <v>155427000000</v>
      </c>
      <c r="F674" s="3">
        <v>137373000000</v>
      </c>
      <c r="G674" s="3">
        <f>Project_Data_NYSE[[#This Row],[ Total Revenue ]]-Project_Data_NYSE[[#This Row],[ Cost of Goods Sold ]]</f>
        <v>18054000000</v>
      </c>
      <c r="H674" s="3">
        <v>12382000000</v>
      </c>
      <c r="I674" s="3">
        <v>0</v>
      </c>
      <c r="J674" s="3">
        <v>0</v>
      </c>
      <c r="K674" s="3">
        <f>Project_Data_NYSE[[#This Row],[Gross Profit]]-Project_Data_NYSE[[#This Row],[ Sales, General and Admin. ]]-Project_Data_NYSE[[#This Row],[ Research and Development ]]-Project_Data_NYSE[[#This Row],[ Other Operating Items ]]</f>
        <v>5672000000</v>
      </c>
      <c r="L674" t="s">
        <v>18</v>
      </c>
      <c r="M674" t="s">
        <v>244</v>
      </c>
      <c r="N674" s="31">
        <f>Project_Data_NYSE[[#This Row],[Gross Profit]]/Project_Data_NYSE[[#This Row],[ Total Revenue ]]</f>
        <v>0.11615742438572449</v>
      </c>
      <c r="O674" s="31">
        <f>Project_Data_NYSE[[#This Row],[Operating Profit]]/Project_Data_NYSE[[#This Row],[ Total Revenue ]]</f>
        <v>3.6493016013948672E-2</v>
      </c>
    </row>
    <row r="675" spans="1:15" x14ac:dyDescent="0.2">
      <c r="A675">
        <v>701</v>
      </c>
      <c r="B675" t="s">
        <v>272</v>
      </c>
      <c r="C675" t="s">
        <v>14</v>
      </c>
      <c r="D675" s="48">
        <v>42004</v>
      </c>
      <c r="E675" s="3">
        <v>155929000000</v>
      </c>
      <c r="F675" s="3">
        <v>142121000000</v>
      </c>
      <c r="G675" s="3">
        <f>Project_Data_NYSE[[#This Row],[ Total Revenue ]]-Project_Data_NYSE[[#This Row],[ Cost of Goods Sold ]]</f>
        <v>13808000000</v>
      </c>
      <c r="H675" s="3">
        <v>12158000000</v>
      </c>
      <c r="I675" s="3">
        <v>0</v>
      </c>
      <c r="J675" s="3">
        <v>0</v>
      </c>
      <c r="K675" s="3">
        <f>Project_Data_NYSE[[#This Row],[Gross Profit]]-Project_Data_NYSE[[#This Row],[ Sales, General and Admin. ]]-Project_Data_NYSE[[#This Row],[ Research and Development ]]-Project_Data_NYSE[[#This Row],[ Other Operating Items ]]</f>
        <v>1650000000</v>
      </c>
      <c r="L675" t="s">
        <v>18</v>
      </c>
      <c r="M675" t="s">
        <v>244</v>
      </c>
      <c r="N675" s="31">
        <f>Project_Data_NYSE[[#This Row],[Gross Profit]]/Project_Data_NYSE[[#This Row],[ Total Revenue ]]</f>
        <v>8.8553123536994405E-2</v>
      </c>
      <c r="O675" s="31">
        <f>Project_Data_NYSE[[#This Row],[Operating Profit]]/Project_Data_NYSE[[#This Row],[ Total Revenue ]]</f>
        <v>1.0581739124858108E-2</v>
      </c>
    </row>
    <row r="676" spans="1:15" x14ac:dyDescent="0.2">
      <c r="A676">
        <v>702</v>
      </c>
      <c r="B676" t="s">
        <v>272</v>
      </c>
      <c r="C676" t="s">
        <v>15</v>
      </c>
      <c r="D676" s="48">
        <v>42369</v>
      </c>
      <c r="E676" s="3">
        <v>152356000000</v>
      </c>
      <c r="F676" s="3">
        <v>134054000000</v>
      </c>
      <c r="G676" s="3">
        <f>Project_Data_NYSE[[#This Row],[ Total Revenue ]]-Project_Data_NYSE[[#This Row],[ Cost of Goods Sold ]]</f>
        <v>18302000000</v>
      </c>
      <c r="H676" s="3">
        <v>13405000000</v>
      </c>
      <c r="I676" s="3">
        <v>0</v>
      </c>
      <c r="J676" s="3">
        <v>0</v>
      </c>
      <c r="K676" s="3">
        <f>Project_Data_NYSE[[#This Row],[Gross Profit]]-Project_Data_NYSE[[#This Row],[ Sales, General and Admin. ]]-Project_Data_NYSE[[#This Row],[ Research and Development ]]-Project_Data_NYSE[[#This Row],[ Other Operating Items ]]</f>
        <v>4897000000</v>
      </c>
      <c r="L676" t="s">
        <v>18</v>
      </c>
      <c r="M676" t="s">
        <v>244</v>
      </c>
      <c r="N676" s="31">
        <f>Project_Data_NYSE[[#This Row],[Gross Profit]]/Project_Data_NYSE[[#This Row],[ Total Revenue ]]</f>
        <v>0.12012654572186196</v>
      </c>
      <c r="O676" s="31">
        <f>Project_Data_NYSE[[#This Row],[Operating Profit]]/Project_Data_NYSE[[#This Row],[ Total Revenue ]]</f>
        <v>3.2141825723962299E-2</v>
      </c>
    </row>
    <row r="677" spans="1:15" x14ac:dyDescent="0.2">
      <c r="A677">
        <v>703</v>
      </c>
      <c r="B677" t="s">
        <v>272</v>
      </c>
      <c r="C677" t="s">
        <v>16</v>
      </c>
      <c r="D677" s="48">
        <v>42735</v>
      </c>
      <c r="E677" s="3">
        <v>166380000000</v>
      </c>
      <c r="F677" s="3">
        <v>145125000000</v>
      </c>
      <c r="G677" s="3">
        <f>Project_Data_NYSE[[#This Row],[ Total Revenue ]]-Project_Data_NYSE[[#This Row],[ Cost of Goods Sold ]]</f>
        <v>21255000000</v>
      </c>
      <c r="H677" s="3">
        <v>11710000000</v>
      </c>
      <c r="I677" s="3">
        <v>0</v>
      </c>
      <c r="J677" s="3">
        <v>0</v>
      </c>
      <c r="K677" s="3">
        <f>Project_Data_NYSE[[#This Row],[Gross Profit]]-Project_Data_NYSE[[#This Row],[ Sales, General and Admin. ]]-Project_Data_NYSE[[#This Row],[ Research and Development ]]-Project_Data_NYSE[[#This Row],[ Other Operating Items ]]</f>
        <v>9545000000</v>
      </c>
      <c r="L677" t="s">
        <v>18</v>
      </c>
      <c r="M677" t="s">
        <v>244</v>
      </c>
      <c r="N677" s="31">
        <f>Project_Data_NYSE[[#This Row],[Gross Profit]]/Project_Data_NYSE[[#This Row],[ Total Revenue ]]</f>
        <v>0.12774972953479985</v>
      </c>
      <c r="O677" s="31">
        <f>Project_Data_NYSE[[#This Row],[Operating Profit]]/Project_Data_NYSE[[#This Row],[ Total Revenue ]]</f>
        <v>5.7368674119485513E-2</v>
      </c>
    </row>
    <row r="678" spans="1:15" x14ac:dyDescent="0.2">
      <c r="A678">
        <v>704</v>
      </c>
      <c r="B678" t="s">
        <v>273</v>
      </c>
      <c r="C678" t="s">
        <v>11</v>
      </c>
      <c r="D678" s="48">
        <v>41274</v>
      </c>
      <c r="E678" s="3">
        <v>13013868000</v>
      </c>
      <c r="F678" s="3">
        <v>9235777000</v>
      </c>
      <c r="G678" s="3">
        <f>Project_Data_NYSE[[#This Row],[ Total Revenue ]]-Project_Data_NYSE[[#This Row],[ Cost of Goods Sold ]]</f>
        <v>3778091000</v>
      </c>
      <c r="H678" s="3">
        <v>2656530000</v>
      </c>
      <c r="I678" s="3">
        <v>0</v>
      </c>
      <c r="J678" s="3">
        <v>98383000</v>
      </c>
      <c r="K678" s="3">
        <f>Project_Data_NYSE[[#This Row],[Gross Profit]]-Project_Data_NYSE[[#This Row],[ Sales, General and Admin. ]]-Project_Data_NYSE[[#This Row],[ Research and Development ]]-Project_Data_NYSE[[#This Row],[ Other Operating Items ]]</f>
        <v>1023178000</v>
      </c>
      <c r="L678" t="s">
        <v>18</v>
      </c>
      <c r="M678" t="s">
        <v>78</v>
      </c>
      <c r="N678" s="31">
        <f>Project_Data_NYSE[[#This Row],[Gross Profit]]/Project_Data_NYSE[[#This Row],[ Total Revenue ]]</f>
        <v>0.29031268797255361</v>
      </c>
      <c r="O678" s="31">
        <f>Project_Data_NYSE[[#This Row],[Operating Profit]]/Project_Data_NYSE[[#This Row],[ Total Revenue ]]</f>
        <v>7.8622128332637153E-2</v>
      </c>
    </row>
    <row r="679" spans="1:15" x14ac:dyDescent="0.2">
      <c r="A679">
        <v>705</v>
      </c>
      <c r="B679" t="s">
        <v>273</v>
      </c>
      <c r="C679" t="s">
        <v>14</v>
      </c>
      <c r="D679" s="48">
        <v>41639</v>
      </c>
      <c r="E679" s="3">
        <v>14077843000</v>
      </c>
      <c r="F679" s="3">
        <v>9857923000</v>
      </c>
      <c r="G679" s="3">
        <f>Project_Data_NYSE[[#This Row],[ Total Revenue ]]-Project_Data_NYSE[[#This Row],[ Cost of Goods Sold ]]</f>
        <v>4219920000</v>
      </c>
      <c r="H679" s="3">
        <v>3028028000</v>
      </c>
      <c r="I679" s="3">
        <v>0</v>
      </c>
      <c r="J679" s="3">
        <v>133957000</v>
      </c>
      <c r="K679" s="3">
        <f>Project_Data_NYSE[[#This Row],[Gross Profit]]-Project_Data_NYSE[[#This Row],[ Sales, General and Admin. ]]-Project_Data_NYSE[[#This Row],[ Research and Development ]]-Project_Data_NYSE[[#This Row],[ Other Operating Items ]]</f>
        <v>1057935000</v>
      </c>
      <c r="L679" t="s">
        <v>18</v>
      </c>
      <c r="M679" t="s">
        <v>78</v>
      </c>
      <c r="N679" s="31">
        <f>Project_Data_NYSE[[#This Row],[Gross Profit]]/Project_Data_NYSE[[#This Row],[ Total Revenue ]]</f>
        <v>0.29975614872249962</v>
      </c>
      <c r="O679" s="31">
        <f>Project_Data_NYSE[[#This Row],[Operating Profit]]/Project_Data_NYSE[[#This Row],[ Total Revenue ]]</f>
        <v>7.5148941496222116E-2</v>
      </c>
    </row>
    <row r="680" spans="1:15" x14ac:dyDescent="0.2">
      <c r="A680">
        <v>706</v>
      </c>
      <c r="B680" t="s">
        <v>273</v>
      </c>
      <c r="C680" t="s">
        <v>15</v>
      </c>
      <c r="D680" s="48">
        <v>42004</v>
      </c>
      <c r="E680" s="3">
        <v>15341647000</v>
      </c>
      <c r="F680" s="3">
        <v>10747886000</v>
      </c>
      <c r="G680" s="3">
        <f>Project_Data_NYSE[[#This Row],[ Total Revenue ]]-Project_Data_NYSE[[#This Row],[ Cost of Goods Sold ]]</f>
        <v>4593761000</v>
      </c>
      <c r="H680" s="3">
        <v>3314030000</v>
      </c>
      <c r="I680" s="3">
        <v>0</v>
      </c>
      <c r="J680" s="3">
        <v>148313000</v>
      </c>
      <c r="K680" s="3">
        <f>Project_Data_NYSE[[#This Row],[Gross Profit]]-Project_Data_NYSE[[#This Row],[ Sales, General and Admin. ]]-Project_Data_NYSE[[#This Row],[ Research and Development ]]-Project_Data_NYSE[[#This Row],[ Other Operating Items ]]</f>
        <v>1131418000</v>
      </c>
      <c r="L680" t="s">
        <v>18</v>
      </c>
      <c r="M680" t="s">
        <v>78</v>
      </c>
      <c r="N680" s="31">
        <f>Project_Data_NYSE[[#This Row],[Gross Profit]]/Project_Data_NYSE[[#This Row],[ Total Revenue ]]</f>
        <v>0.29943075864019031</v>
      </c>
      <c r="O680" s="31">
        <f>Project_Data_NYSE[[#This Row],[Operating Profit]]/Project_Data_NYSE[[#This Row],[ Total Revenue ]]</f>
        <v>7.3748144511472588E-2</v>
      </c>
    </row>
    <row r="681" spans="1:15" x14ac:dyDescent="0.2">
      <c r="A681">
        <v>707</v>
      </c>
      <c r="B681" t="s">
        <v>273</v>
      </c>
      <c r="C681" t="s">
        <v>16</v>
      </c>
      <c r="D681" s="48">
        <v>42369</v>
      </c>
      <c r="E681" s="3">
        <v>15280044000</v>
      </c>
      <c r="F681" s="3">
        <v>10724192000</v>
      </c>
      <c r="G681" s="3">
        <f>Project_Data_NYSE[[#This Row],[ Total Revenue ]]-Project_Data_NYSE[[#This Row],[ Cost of Goods Sold ]]</f>
        <v>4555852000</v>
      </c>
      <c r="H681" s="3">
        <v>3277390000</v>
      </c>
      <c r="I681" s="3">
        <v>0</v>
      </c>
      <c r="J681" s="3">
        <v>141675000</v>
      </c>
      <c r="K681" s="3">
        <f>Project_Data_NYSE[[#This Row],[Gross Profit]]-Project_Data_NYSE[[#This Row],[ Sales, General and Admin. ]]-Project_Data_NYSE[[#This Row],[ Research and Development ]]-Project_Data_NYSE[[#This Row],[ Other Operating Items ]]</f>
        <v>1136787000</v>
      </c>
      <c r="L681" t="s">
        <v>18</v>
      </c>
      <c r="M681" t="s">
        <v>78</v>
      </c>
      <c r="N681" s="31">
        <f>Project_Data_NYSE[[#This Row],[Gross Profit]]/Project_Data_NYSE[[#This Row],[ Total Revenue ]]</f>
        <v>0.29815699483587876</v>
      </c>
      <c r="O681" s="31">
        <f>Project_Data_NYSE[[#This Row],[Operating Profit]]/Project_Data_NYSE[[#This Row],[ Total Revenue ]]</f>
        <v>7.4396840742081638E-2</v>
      </c>
    </row>
    <row r="682" spans="1:15" x14ac:dyDescent="0.2">
      <c r="A682">
        <v>708</v>
      </c>
      <c r="B682" t="s">
        <v>274</v>
      </c>
      <c r="C682" t="s">
        <v>11</v>
      </c>
      <c r="D682" s="48">
        <v>41425</v>
      </c>
      <c r="E682" s="3">
        <v>2375923000</v>
      </c>
      <c r="F682" s="3">
        <v>862075000</v>
      </c>
      <c r="G682" s="3">
        <f>Project_Data_NYSE[[#This Row],[ Total Revenue ]]-Project_Data_NYSE[[#This Row],[ Cost of Goods Sold ]]</f>
        <v>1513848000</v>
      </c>
      <c r="H682" s="3">
        <v>1156635000</v>
      </c>
      <c r="I682" s="3">
        <v>0</v>
      </c>
      <c r="J682" s="3">
        <v>0</v>
      </c>
      <c r="K682" s="3">
        <f>Project_Data_NYSE[[#This Row],[Gross Profit]]-Project_Data_NYSE[[#This Row],[ Sales, General and Admin. ]]-Project_Data_NYSE[[#This Row],[ Research and Development ]]-Project_Data_NYSE[[#This Row],[ Other Operating Items ]]</f>
        <v>357213000</v>
      </c>
      <c r="L682" t="s">
        <v>21</v>
      </c>
      <c r="M682" t="s">
        <v>38</v>
      </c>
      <c r="N682" s="31">
        <f>Project_Data_NYSE[[#This Row],[Gross Profit]]/Project_Data_NYSE[[#This Row],[ Total Revenue ]]</f>
        <v>0.63716206291197153</v>
      </c>
      <c r="O682" s="31">
        <f>Project_Data_NYSE[[#This Row],[Operating Profit]]/Project_Data_NYSE[[#This Row],[ Total Revenue ]]</f>
        <v>0.15034704407508157</v>
      </c>
    </row>
    <row r="683" spans="1:15" x14ac:dyDescent="0.2">
      <c r="A683">
        <v>709</v>
      </c>
      <c r="B683" t="s">
        <v>274</v>
      </c>
      <c r="C683" t="s">
        <v>14</v>
      </c>
      <c r="D683" s="48">
        <v>41790</v>
      </c>
      <c r="E683" s="3">
        <v>2554236000</v>
      </c>
      <c r="F683" s="3">
        <v>952225000</v>
      </c>
      <c r="G683" s="3">
        <f>Project_Data_NYSE[[#This Row],[ Total Revenue ]]-Project_Data_NYSE[[#This Row],[ Cost of Goods Sold ]]</f>
        <v>1602011000</v>
      </c>
      <c r="H683" s="3">
        <v>1196512000</v>
      </c>
      <c r="I683" s="3">
        <v>0</v>
      </c>
      <c r="J683" s="3">
        <v>0</v>
      </c>
      <c r="K683" s="3">
        <f>Project_Data_NYSE[[#This Row],[Gross Profit]]-Project_Data_NYSE[[#This Row],[ Sales, General and Admin. ]]-Project_Data_NYSE[[#This Row],[ Research and Development ]]-Project_Data_NYSE[[#This Row],[ Other Operating Items ]]</f>
        <v>405499000</v>
      </c>
      <c r="L683" t="s">
        <v>21</v>
      </c>
      <c r="M683" t="s">
        <v>38</v>
      </c>
      <c r="N683" s="31">
        <f>Project_Data_NYSE[[#This Row],[Gross Profit]]/Project_Data_NYSE[[#This Row],[ Total Revenue ]]</f>
        <v>0.62719772174536725</v>
      </c>
      <c r="O683" s="31">
        <f>Project_Data_NYSE[[#This Row],[Operating Profit]]/Project_Data_NYSE[[#This Row],[ Total Revenue ]]</f>
        <v>0.15875549479374654</v>
      </c>
    </row>
    <row r="684" spans="1:15" x14ac:dyDescent="0.2">
      <c r="A684">
        <v>710</v>
      </c>
      <c r="B684" t="s">
        <v>274</v>
      </c>
      <c r="C684" t="s">
        <v>15</v>
      </c>
      <c r="D684" s="48">
        <v>42155</v>
      </c>
      <c r="E684" s="3">
        <v>2773718000</v>
      </c>
      <c r="F684" s="3">
        <v>1022107000</v>
      </c>
      <c r="G684" s="3">
        <f>Project_Data_NYSE[[#This Row],[ Total Revenue ]]-Project_Data_NYSE[[#This Row],[ Cost of Goods Sold ]]</f>
        <v>1751611000</v>
      </c>
      <c r="H684" s="3">
        <v>1295014000</v>
      </c>
      <c r="I684" s="3">
        <v>0</v>
      </c>
      <c r="J684" s="3">
        <v>0</v>
      </c>
      <c r="K684" s="3">
        <f>Project_Data_NYSE[[#This Row],[Gross Profit]]-Project_Data_NYSE[[#This Row],[ Sales, General and Admin. ]]-Project_Data_NYSE[[#This Row],[ Research and Development ]]-Project_Data_NYSE[[#This Row],[ Other Operating Items ]]</f>
        <v>456597000</v>
      </c>
      <c r="L684" t="s">
        <v>21</v>
      </c>
      <c r="M684" t="s">
        <v>38</v>
      </c>
      <c r="N684" s="31">
        <f>Project_Data_NYSE[[#This Row],[Gross Profit]]/Project_Data_NYSE[[#This Row],[ Total Revenue ]]</f>
        <v>0.63150291413907256</v>
      </c>
      <c r="O684" s="31">
        <f>Project_Data_NYSE[[#This Row],[Operating Profit]]/Project_Data_NYSE[[#This Row],[ Total Revenue ]]</f>
        <v>0.1646155088585069</v>
      </c>
    </row>
    <row r="685" spans="1:15" x14ac:dyDescent="0.2">
      <c r="A685">
        <v>711</v>
      </c>
      <c r="B685" t="s">
        <v>274</v>
      </c>
      <c r="C685" t="s">
        <v>16</v>
      </c>
      <c r="D685" s="48">
        <v>42521</v>
      </c>
      <c r="E685" s="3">
        <v>2898150000</v>
      </c>
      <c r="F685" s="3">
        <v>1147639000</v>
      </c>
      <c r="G685" s="3">
        <f>Project_Data_NYSE[[#This Row],[ Total Revenue ]]-Project_Data_NYSE[[#This Row],[ Cost of Goods Sold ]]</f>
        <v>1750511000</v>
      </c>
      <c r="H685" s="3">
        <v>1325567000</v>
      </c>
      <c r="I685" s="3">
        <v>0</v>
      </c>
      <c r="J685" s="3">
        <v>0</v>
      </c>
      <c r="K685" s="3">
        <f>Project_Data_NYSE[[#This Row],[Gross Profit]]-Project_Data_NYSE[[#This Row],[ Sales, General and Admin. ]]-Project_Data_NYSE[[#This Row],[ Research and Development ]]-Project_Data_NYSE[[#This Row],[ Other Operating Items ]]</f>
        <v>424944000</v>
      </c>
      <c r="L685" t="s">
        <v>21</v>
      </c>
      <c r="M685" t="s">
        <v>38</v>
      </c>
      <c r="N685" s="31">
        <f>Project_Data_NYSE[[#This Row],[Gross Profit]]/Project_Data_NYSE[[#This Row],[ Total Revenue ]]</f>
        <v>0.60400979935476085</v>
      </c>
      <c r="O685" s="31">
        <f>Project_Data_NYSE[[#This Row],[Operating Profit]]/Project_Data_NYSE[[#This Row],[ Total Revenue ]]</f>
        <v>0.14662595103773096</v>
      </c>
    </row>
    <row r="686" spans="1:15" x14ac:dyDescent="0.2">
      <c r="A686">
        <v>712</v>
      </c>
      <c r="B686" t="s">
        <v>275</v>
      </c>
      <c r="C686" t="s">
        <v>11</v>
      </c>
      <c r="D686" s="48">
        <v>41307</v>
      </c>
      <c r="E686" s="3">
        <v>15651000000</v>
      </c>
      <c r="F686" s="3">
        <v>9480000000</v>
      </c>
      <c r="G686" s="3">
        <f>Project_Data_NYSE[[#This Row],[ Total Revenue ]]-Project_Data_NYSE[[#This Row],[ Cost of Goods Sold ]]</f>
        <v>6171000000</v>
      </c>
      <c r="H686" s="3">
        <v>0</v>
      </c>
      <c r="I686" s="3">
        <v>0</v>
      </c>
      <c r="J686" s="3">
        <v>0</v>
      </c>
      <c r="K686" s="3">
        <f>Project_Data_NYSE[[#This Row],[Gross Profit]]-Project_Data_NYSE[[#This Row],[ Sales, General and Admin. ]]-Project_Data_NYSE[[#This Row],[ Research and Development ]]-Project_Data_NYSE[[#This Row],[ Other Operating Items ]]</f>
        <v>6171000000</v>
      </c>
      <c r="L686" t="s">
        <v>18</v>
      </c>
      <c r="M686" t="s">
        <v>256</v>
      </c>
      <c r="N686" s="31">
        <f>Project_Data_NYSE[[#This Row],[Gross Profit]]/Project_Data_NYSE[[#This Row],[ Total Revenue ]]</f>
        <v>0.3942879049262028</v>
      </c>
      <c r="O686" s="31">
        <f>Project_Data_NYSE[[#This Row],[Operating Profit]]/Project_Data_NYSE[[#This Row],[ Total Revenue ]]</f>
        <v>0.3942879049262028</v>
      </c>
    </row>
    <row r="687" spans="1:15" x14ac:dyDescent="0.2">
      <c r="A687">
        <v>713</v>
      </c>
      <c r="B687" t="s">
        <v>275</v>
      </c>
      <c r="C687" t="s">
        <v>14</v>
      </c>
      <c r="D687" s="48">
        <v>41671</v>
      </c>
      <c r="E687" s="3">
        <v>16148000000</v>
      </c>
      <c r="F687" s="3">
        <v>9855000000</v>
      </c>
      <c r="G687" s="3">
        <f>Project_Data_NYSE[[#This Row],[ Total Revenue ]]-Project_Data_NYSE[[#This Row],[ Cost of Goods Sold ]]</f>
        <v>6293000000</v>
      </c>
      <c r="H687" s="3">
        <v>0</v>
      </c>
      <c r="I687" s="3">
        <v>0</v>
      </c>
      <c r="J687" s="3">
        <v>0</v>
      </c>
      <c r="K687" s="3">
        <f>Project_Data_NYSE[[#This Row],[Gross Profit]]-Project_Data_NYSE[[#This Row],[ Sales, General and Admin. ]]-Project_Data_NYSE[[#This Row],[ Research and Development ]]-Project_Data_NYSE[[#This Row],[ Other Operating Items ]]</f>
        <v>6293000000</v>
      </c>
      <c r="L687" t="s">
        <v>18</v>
      </c>
      <c r="M687" t="s">
        <v>256</v>
      </c>
      <c r="N687" s="31">
        <f>Project_Data_NYSE[[#This Row],[Gross Profit]]/Project_Data_NYSE[[#This Row],[ Total Revenue ]]</f>
        <v>0.38970770374040131</v>
      </c>
      <c r="O687" s="31">
        <f>Project_Data_NYSE[[#This Row],[Operating Profit]]/Project_Data_NYSE[[#This Row],[ Total Revenue ]]</f>
        <v>0.38970770374040131</v>
      </c>
    </row>
    <row r="688" spans="1:15" x14ac:dyDescent="0.2">
      <c r="A688">
        <v>714</v>
      </c>
      <c r="B688" t="s">
        <v>275</v>
      </c>
      <c r="C688" t="s">
        <v>15</v>
      </c>
      <c r="D688" s="48">
        <v>42035</v>
      </c>
      <c r="E688" s="3">
        <v>16435000000</v>
      </c>
      <c r="F688" s="3">
        <v>10146000000</v>
      </c>
      <c r="G688" s="3">
        <f>Project_Data_NYSE[[#This Row],[ Total Revenue ]]-Project_Data_NYSE[[#This Row],[ Cost of Goods Sold ]]</f>
        <v>6289000000</v>
      </c>
      <c r="H688" s="3">
        <v>0</v>
      </c>
      <c r="I688" s="3">
        <v>0</v>
      </c>
      <c r="J688" s="3">
        <v>0</v>
      </c>
      <c r="K688" s="3">
        <f>Project_Data_NYSE[[#This Row],[Gross Profit]]-Project_Data_NYSE[[#This Row],[ Sales, General and Admin. ]]-Project_Data_NYSE[[#This Row],[ Research and Development ]]-Project_Data_NYSE[[#This Row],[ Other Operating Items ]]</f>
        <v>6289000000</v>
      </c>
      <c r="L688" t="s">
        <v>18</v>
      </c>
      <c r="M688" t="s">
        <v>256</v>
      </c>
      <c r="N688" s="31">
        <f>Project_Data_NYSE[[#This Row],[Gross Profit]]/Project_Data_NYSE[[#This Row],[ Total Revenue ]]</f>
        <v>0.38265895953757223</v>
      </c>
      <c r="O688" s="31">
        <f>Project_Data_NYSE[[#This Row],[Operating Profit]]/Project_Data_NYSE[[#This Row],[ Total Revenue ]]</f>
        <v>0.38265895953757223</v>
      </c>
    </row>
    <row r="689" spans="1:15" x14ac:dyDescent="0.2">
      <c r="A689">
        <v>715</v>
      </c>
      <c r="B689" t="s">
        <v>275</v>
      </c>
      <c r="C689" t="s">
        <v>16</v>
      </c>
      <c r="D689" s="48">
        <v>42399</v>
      </c>
      <c r="E689" s="3">
        <v>15797000000</v>
      </c>
      <c r="F689" s="3">
        <v>10077000000</v>
      </c>
      <c r="G689" s="3">
        <f>Project_Data_NYSE[[#This Row],[ Total Revenue ]]-Project_Data_NYSE[[#This Row],[ Cost of Goods Sold ]]</f>
        <v>5720000000</v>
      </c>
      <c r="H689" s="3">
        <v>0</v>
      </c>
      <c r="I689" s="3">
        <v>0</v>
      </c>
      <c r="J689" s="3">
        <v>0</v>
      </c>
      <c r="K689" s="3">
        <f>Project_Data_NYSE[[#This Row],[Gross Profit]]-Project_Data_NYSE[[#This Row],[ Sales, General and Admin. ]]-Project_Data_NYSE[[#This Row],[ Research and Development ]]-Project_Data_NYSE[[#This Row],[ Other Operating Items ]]</f>
        <v>5720000000</v>
      </c>
      <c r="L689" t="s">
        <v>18</v>
      </c>
      <c r="M689" t="s">
        <v>256</v>
      </c>
      <c r="N689" s="31">
        <f>Project_Data_NYSE[[#This Row],[Gross Profit]]/Project_Data_NYSE[[#This Row],[ Total Revenue ]]</f>
        <v>0.36209406849401787</v>
      </c>
      <c r="O689" s="31">
        <f>Project_Data_NYSE[[#This Row],[Operating Profit]]/Project_Data_NYSE[[#This Row],[ Total Revenue ]]</f>
        <v>0.36209406849401787</v>
      </c>
    </row>
    <row r="690" spans="1:15" x14ac:dyDescent="0.2">
      <c r="A690">
        <v>716</v>
      </c>
      <c r="B690" t="s">
        <v>276</v>
      </c>
      <c r="C690" t="s">
        <v>11</v>
      </c>
      <c r="D690" s="48">
        <v>41272</v>
      </c>
      <c r="E690" s="3">
        <v>2715675000</v>
      </c>
      <c r="F690" s="3">
        <v>1277195000</v>
      </c>
      <c r="G690" s="3">
        <f>Project_Data_NYSE[[#This Row],[ Total Revenue ]]-Project_Data_NYSE[[#This Row],[ Cost of Goods Sold ]]</f>
        <v>1438480000</v>
      </c>
      <c r="H690" s="3">
        <v>508547000</v>
      </c>
      <c r="I690" s="3">
        <v>325773000</v>
      </c>
      <c r="J690" s="3">
        <v>0</v>
      </c>
      <c r="K690" s="3">
        <f>Project_Data_NYSE[[#This Row],[Gross Profit]]-Project_Data_NYSE[[#This Row],[ Sales, General and Admin. ]]-Project_Data_NYSE[[#This Row],[ Research and Development ]]-Project_Data_NYSE[[#This Row],[ Other Operating Items ]]</f>
        <v>604160000</v>
      </c>
      <c r="L690" t="s">
        <v>18</v>
      </c>
      <c r="M690" t="s">
        <v>277</v>
      </c>
      <c r="N690" s="31">
        <f>Project_Data_NYSE[[#This Row],[Gross Profit]]/Project_Data_NYSE[[#This Row],[ Total Revenue ]]</f>
        <v>0.52969519548546862</v>
      </c>
      <c r="O690" s="31">
        <f>Project_Data_NYSE[[#This Row],[Operating Profit]]/Project_Data_NYSE[[#This Row],[ Total Revenue ]]</f>
        <v>0.2224713929317757</v>
      </c>
    </row>
    <row r="691" spans="1:15" x14ac:dyDescent="0.2">
      <c r="A691">
        <v>717</v>
      </c>
      <c r="B691" t="s">
        <v>276</v>
      </c>
      <c r="C691" t="s">
        <v>14</v>
      </c>
      <c r="D691" s="48">
        <v>41636</v>
      </c>
      <c r="E691" s="3">
        <v>2631851000</v>
      </c>
      <c r="F691" s="3">
        <v>1224551000</v>
      </c>
      <c r="G691" s="3">
        <f>Project_Data_NYSE[[#This Row],[ Total Revenue ]]-Project_Data_NYSE[[#This Row],[ Cost of Goods Sold ]]</f>
        <v>1407300000</v>
      </c>
      <c r="H691" s="3">
        <v>468345000</v>
      </c>
      <c r="I691" s="3">
        <v>364923000</v>
      </c>
      <c r="J691" s="3">
        <v>0</v>
      </c>
      <c r="K691" s="3">
        <f>Project_Data_NYSE[[#This Row],[Gross Profit]]-Project_Data_NYSE[[#This Row],[ Sales, General and Admin. ]]-Project_Data_NYSE[[#This Row],[ Research and Development ]]-Project_Data_NYSE[[#This Row],[ Other Operating Items ]]</f>
        <v>574032000</v>
      </c>
      <c r="L691" t="s">
        <v>18</v>
      </c>
      <c r="M691" t="s">
        <v>277</v>
      </c>
      <c r="N691" s="31">
        <f>Project_Data_NYSE[[#This Row],[Gross Profit]]/Project_Data_NYSE[[#This Row],[ Total Revenue ]]</f>
        <v>0.53471872077864591</v>
      </c>
      <c r="O691" s="31">
        <f>Project_Data_NYSE[[#This Row],[Operating Profit]]/Project_Data_NYSE[[#This Row],[ Total Revenue ]]</f>
        <v>0.21810961182832919</v>
      </c>
    </row>
    <row r="692" spans="1:15" x14ac:dyDescent="0.2">
      <c r="A692">
        <v>718</v>
      </c>
      <c r="B692" t="s">
        <v>276</v>
      </c>
      <c r="C692" t="s">
        <v>15</v>
      </c>
      <c r="D692" s="48">
        <v>42000</v>
      </c>
      <c r="E692" s="3">
        <v>2870658000</v>
      </c>
      <c r="F692" s="3">
        <v>1266246000</v>
      </c>
      <c r="G692" s="3">
        <f>Project_Data_NYSE[[#This Row],[ Total Revenue ]]-Project_Data_NYSE[[#This Row],[ Cost of Goods Sold ]]</f>
        <v>1604412000</v>
      </c>
      <c r="H692" s="3">
        <v>518665000</v>
      </c>
      <c r="I692" s="3">
        <v>395121000</v>
      </c>
      <c r="J692" s="3">
        <v>0</v>
      </c>
      <c r="K692" s="3">
        <f>Project_Data_NYSE[[#This Row],[Gross Profit]]-Project_Data_NYSE[[#This Row],[ Sales, General and Admin. ]]-Project_Data_NYSE[[#This Row],[ Research and Development ]]-Project_Data_NYSE[[#This Row],[ Other Operating Items ]]</f>
        <v>690626000</v>
      </c>
      <c r="L692" t="s">
        <v>18</v>
      </c>
      <c r="M692" t="s">
        <v>277</v>
      </c>
      <c r="N692" s="31">
        <f>Project_Data_NYSE[[#This Row],[Gross Profit]]/Project_Data_NYSE[[#This Row],[ Total Revenue ]]</f>
        <v>0.55890043328045347</v>
      </c>
      <c r="O692" s="31">
        <f>Project_Data_NYSE[[#This Row],[Operating Profit]]/Project_Data_NYSE[[#This Row],[ Total Revenue ]]</f>
        <v>0.24058107932049028</v>
      </c>
    </row>
    <row r="693" spans="1:15" x14ac:dyDescent="0.2">
      <c r="A693">
        <v>719</v>
      </c>
      <c r="B693" t="s">
        <v>276</v>
      </c>
      <c r="C693" t="s">
        <v>16</v>
      </c>
      <c r="D693" s="48">
        <v>42364</v>
      </c>
      <c r="E693" s="3">
        <v>2820270000</v>
      </c>
      <c r="F693" s="3">
        <v>1281566000</v>
      </c>
      <c r="G693" s="3">
        <f>Project_Data_NYSE[[#This Row],[ Total Revenue ]]-Project_Data_NYSE[[#This Row],[ Cost of Goods Sold ]]</f>
        <v>1538704000</v>
      </c>
      <c r="H693" s="3">
        <v>562080000</v>
      </c>
      <c r="I693" s="3">
        <v>427043000</v>
      </c>
      <c r="J693" s="3">
        <v>0</v>
      </c>
      <c r="K693" s="3">
        <f>Project_Data_NYSE[[#This Row],[Gross Profit]]-Project_Data_NYSE[[#This Row],[ Sales, General and Admin. ]]-Project_Data_NYSE[[#This Row],[ Research and Development ]]-Project_Data_NYSE[[#This Row],[ Other Operating Items ]]</f>
        <v>549581000</v>
      </c>
      <c r="L693" t="s">
        <v>18</v>
      </c>
      <c r="M693" t="s">
        <v>277</v>
      </c>
      <c r="N693" s="31">
        <f>Project_Data_NYSE[[#This Row],[Gross Profit]]/Project_Data_NYSE[[#This Row],[ Total Revenue ]]</f>
        <v>0.54558747921298312</v>
      </c>
      <c r="O693" s="31">
        <f>Project_Data_NYSE[[#This Row],[Operating Profit]]/Project_Data_NYSE[[#This Row],[ Total Revenue ]]</f>
        <v>0.19486822183691632</v>
      </c>
    </row>
    <row r="694" spans="1:15" x14ac:dyDescent="0.2">
      <c r="A694">
        <v>720</v>
      </c>
      <c r="B694" t="s">
        <v>278</v>
      </c>
      <c r="C694" t="s">
        <v>11</v>
      </c>
      <c r="D694" s="48">
        <v>41639</v>
      </c>
      <c r="E694" s="3">
        <v>19540000000</v>
      </c>
      <c r="F694" s="3">
        <v>15422000000</v>
      </c>
      <c r="G694" s="3">
        <f>Project_Data_NYSE[[#This Row],[ Total Revenue ]]-Project_Data_NYSE[[#This Row],[ Cost of Goods Sold ]]</f>
        <v>4118000000</v>
      </c>
      <c r="H694" s="3">
        <v>2816000000</v>
      </c>
      <c r="I694" s="3">
        <v>0</v>
      </c>
      <c r="J694" s="3">
        <v>0</v>
      </c>
      <c r="K694" s="3">
        <f>Project_Data_NYSE[[#This Row],[Gross Profit]]-Project_Data_NYSE[[#This Row],[ Sales, General and Admin. ]]-Project_Data_NYSE[[#This Row],[ Research and Development ]]-Project_Data_NYSE[[#This Row],[ Other Operating Items ]]</f>
        <v>1302000000</v>
      </c>
      <c r="L694" t="s">
        <v>18</v>
      </c>
      <c r="M694" t="s">
        <v>279</v>
      </c>
      <c r="N694" s="31">
        <f>Project_Data_NYSE[[#This Row],[Gross Profit]]/Project_Data_NYSE[[#This Row],[ Total Revenue ]]</f>
        <v>0.21074718526100308</v>
      </c>
      <c r="O694" s="31">
        <f>Project_Data_NYSE[[#This Row],[Operating Profit]]/Project_Data_NYSE[[#This Row],[ Total Revenue ]]</f>
        <v>6.6632548618219031E-2</v>
      </c>
    </row>
    <row r="695" spans="1:15" x14ac:dyDescent="0.2">
      <c r="A695">
        <v>721</v>
      </c>
      <c r="B695" t="s">
        <v>278</v>
      </c>
      <c r="C695" t="s">
        <v>14</v>
      </c>
      <c r="D695" s="48">
        <v>42004</v>
      </c>
      <c r="E695" s="3">
        <v>18138000000</v>
      </c>
      <c r="F695" s="3">
        <v>13906000000</v>
      </c>
      <c r="G695" s="3">
        <f>Project_Data_NYSE[[#This Row],[ Total Revenue ]]-Project_Data_NYSE[[#This Row],[ Cost of Goods Sold ]]</f>
        <v>4232000000</v>
      </c>
      <c r="H695" s="3">
        <v>2815000000</v>
      </c>
      <c r="I695" s="3">
        <v>0</v>
      </c>
      <c r="J695" s="3">
        <v>0</v>
      </c>
      <c r="K695" s="3">
        <f>Project_Data_NYSE[[#This Row],[Gross Profit]]-Project_Data_NYSE[[#This Row],[ Sales, General and Admin. ]]-Project_Data_NYSE[[#This Row],[ Research and Development ]]-Project_Data_NYSE[[#This Row],[ Other Operating Items ]]</f>
        <v>1417000000</v>
      </c>
      <c r="L695" t="s">
        <v>18</v>
      </c>
      <c r="M695" t="s">
        <v>279</v>
      </c>
      <c r="N695" s="31">
        <f>Project_Data_NYSE[[#This Row],[Gross Profit]]/Project_Data_NYSE[[#This Row],[ Total Revenue ]]</f>
        <v>0.23332230675928989</v>
      </c>
      <c r="O695" s="31">
        <f>Project_Data_NYSE[[#This Row],[Operating Profit]]/Project_Data_NYSE[[#This Row],[ Total Revenue ]]</f>
        <v>7.8123277097805713E-2</v>
      </c>
    </row>
    <row r="696" spans="1:15" x14ac:dyDescent="0.2">
      <c r="A696">
        <v>722</v>
      </c>
      <c r="B696" t="s">
        <v>278</v>
      </c>
      <c r="C696" t="s">
        <v>15</v>
      </c>
      <c r="D696" s="48">
        <v>42369</v>
      </c>
      <c r="E696" s="3">
        <v>16443000000</v>
      </c>
      <c r="F696" s="3">
        <v>12164000000</v>
      </c>
      <c r="G696" s="3">
        <f>Project_Data_NYSE[[#This Row],[ Total Revenue ]]-Project_Data_NYSE[[#This Row],[ Cost of Goods Sold ]]</f>
        <v>4279000000</v>
      </c>
      <c r="H696" s="3">
        <v>2728000000</v>
      </c>
      <c r="I696" s="3">
        <v>0</v>
      </c>
      <c r="J696" s="3">
        <v>0</v>
      </c>
      <c r="K696" s="3">
        <f>Project_Data_NYSE[[#This Row],[Gross Profit]]-Project_Data_NYSE[[#This Row],[ Sales, General and Admin. ]]-Project_Data_NYSE[[#This Row],[ Research and Development ]]-Project_Data_NYSE[[#This Row],[ Other Operating Items ]]</f>
        <v>1551000000</v>
      </c>
      <c r="L696" t="s">
        <v>18</v>
      </c>
      <c r="M696" t="s">
        <v>279</v>
      </c>
      <c r="N696" s="31">
        <f>Project_Data_NYSE[[#This Row],[Gross Profit]]/Project_Data_NYSE[[#This Row],[ Total Revenue ]]</f>
        <v>0.26023231770358207</v>
      </c>
      <c r="O696" s="31">
        <f>Project_Data_NYSE[[#This Row],[Operating Profit]]/Project_Data_NYSE[[#This Row],[ Total Revenue ]]</f>
        <v>9.4325852946542596E-2</v>
      </c>
    </row>
    <row r="697" spans="1:15" x14ac:dyDescent="0.2">
      <c r="A697">
        <v>723</v>
      </c>
      <c r="B697" t="s">
        <v>278</v>
      </c>
      <c r="C697" t="s">
        <v>16</v>
      </c>
      <c r="D697" s="48">
        <v>42735</v>
      </c>
      <c r="E697" s="3">
        <v>15158000000</v>
      </c>
      <c r="F697" s="3">
        <v>10972000000</v>
      </c>
      <c r="G697" s="3">
        <f>Project_Data_NYSE[[#This Row],[ Total Revenue ]]-Project_Data_NYSE[[#This Row],[ Cost of Goods Sold ]]</f>
        <v>4186000000</v>
      </c>
      <c r="H697" s="3">
        <v>2617000000</v>
      </c>
      <c r="I697" s="3">
        <v>0</v>
      </c>
      <c r="J697" s="3">
        <v>0</v>
      </c>
      <c r="K697" s="3">
        <f>Project_Data_NYSE[[#This Row],[Gross Profit]]-Project_Data_NYSE[[#This Row],[ Sales, General and Admin. ]]-Project_Data_NYSE[[#This Row],[ Research and Development ]]-Project_Data_NYSE[[#This Row],[ Other Operating Items ]]</f>
        <v>1569000000</v>
      </c>
      <c r="L697" t="s">
        <v>18</v>
      </c>
      <c r="M697" t="s">
        <v>279</v>
      </c>
      <c r="N697" s="31">
        <f>Project_Data_NYSE[[#This Row],[Gross Profit]]/Project_Data_NYSE[[#This Row],[ Total Revenue ]]</f>
        <v>0.27615780445969124</v>
      </c>
      <c r="O697" s="31">
        <f>Project_Data_NYSE[[#This Row],[Operating Profit]]/Project_Data_NYSE[[#This Row],[ Total Revenue ]]</f>
        <v>0.10350969784932049</v>
      </c>
    </row>
    <row r="698" spans="1:15" x14ac:dyDescent="0.2">
      <c r="A698">
        <v>724</v>
      </c>
      <c r="B698" t="s">
        <v>280</v>
      </c>
      <c r="C698" t="s">
        <v>11</v>
      </c>
      <c r="D698" s="48">
        <v>41274</v>
      </c>
      <c r="E698" s="3">
        <v>8950045000</v>
      </c>
      <c r="F698" s="3">
        <v>5033885000</v>
      </c>
      <c r="G698" s="3">
        <f>Project_Data_NYSE[[#This Row],[ Total Revenue ]]-Project_Data_NYSE[[#This Row],[ Cost of Goods Sold ]]</f>
        <v>3916160000</v>
      </c>
      <c r="H698" s="3">
        <v>2785035000</v>
      </c>
      <c r="I698" s="3">
        <v>0</v>
      </c>
      <c r="J698" s="3">
        <v>0</v>
      </c>
      <c r="K698" s="3">
        <f>Project_Data_NYSE[[#This Row],[Gross Profit]]-Project_Data_NYSE[[#This Row],[ Sales, General and Admin. ]]-Project_Data_NYSE[[#This Row],[ Research and Development ]]-Project_Data_NYSE[[#This Row],[ Other Operating Items ]]</f>
        <v>1131125000</v>
      </c>
      <c r="L698" t="s">
        <v>12</v>
      </c>
      <c r="M698" t="s">
        <v>281</v>
      </c>
      <c r="N698" s="31">
        <f>Project_Data_NYSE[[#This Row],[Gross Profit]]/Project_Data_NYSE[[#This Row],[ Total Revenue ]]</f>
        <v>0.43755757652615157</v>
      </c>
      <c r="O698" s="31">
        <f>Project_Data_NYSE[[#This Row],[Operating Profit]]/Project_Data_NYSE[[#This Row],[ Total Revenue ]]</f>
        <v>0.12638204612379045</v>
      </c>
    </row>
    <row r="699" spans="1:15" x14ac:dyDescent="0.2">
      <c r="A699">
        <v>725</v>
      </c>
      <c r="B699" t="s">
        <v>280</v>
      </c>
      <c r="C699" t="s">
        <v>14</v>
      </c>
      <c r="D699" s="48">
        <v>41639</v>
      </c>
      <c r="E699" s="3">
        <v>9437758000</v>
      </c>
      <c r="F699" s="3">
        <v>5301275000</v>
      </c>
      <c r="G699" s="3">
        <f>Project_Data_NYSE[[#This Row],[ Total Revenue ]]-Project_Data_NYSE[[#This Row],[ Cost of Goods Sold ]]</f>
        <v>4136483000</v>
      </c>
      <c r="H699" s="3">
        <v>2839629000</v>
      </c>
      <c r="I699" s="3">
        <v>0</v>
      </c>
      <c r="J699" s="3">
        <v>0</v>
      </c>
      <c r="K699" s="3">
        <f>Project_Data_NYSE[[#This Row],[Gross Profit]]-Project_Data_NYSE[[#This Row],[ Sales, General and Admin. ]]-Project_Data_NYSE[[#This Row],[ Research and Development ]]-Project_Data_NYSE[[#This Row],[ Other Operating Items ]]</f>
        <v>1296854000</v>
      </c>
      <c r="L699" t="s">
        <v>12</v>
      </c>
      <c r="M699" t="s">
        <v>281</v>
      </c>
      <c r="N699" s="31">
        <f>Project_Data_NYSE[[#This Row],[Gross Profit]]/Project_Data_NYSE[[#This Row],[ Total Revenue ]]</f>
        <v>0.43829085255205741</v>
      </c>
      <c r="O699" s="31">
        <f>Project_Data_NYSE[[#This Row],[Operating Profit]]/Project_Data_NYSE[[#This Row],[ Total Revenue ]]</f>
        <v>0.13741123686367038</v>
      </c>
    </row>
    <row r="700" spans="1:15" x14ac:dyDescent="0.2">
      <c r="A700">
        <v>726</v>
      </c>
      <c r="B700" t="s">
        <v>280</v>
      </c>
      <c r="C700" t="s">
        <v>15</v>
      </c>
      <c r="D700" s="48">
        <v>42004</v>
      </c>
      <c r="E700" s="3">
        <v>9964953000</v>
      </c>
      <c r="F700" s="3">
        <v>5650711000</v>
      </c>
      <c r="G700" s="3">
        <f>Project_Data_NYSE[[#This Row],[ Total Revenue ]]-Project_Data_NYSE[[#This Row],[ Cost of Goods Sold ]]</f>
        <v>4314242000</v>
      </c>
      <c r="H700" s="3">
        <v>2967125000</v>
      </c>
      <c r="I700" s="3">
        <v>0</v>
      </c>
      <c r="J700" s="3">
        <v>0</v>
      </c>
      <c r="K700" s="3">
        <f>Project_Data_NYSE[[#This Row],[Gross Profit]]-Project_Data_NYSE[[#This Row],[ Sales, General and Admin. ]]-Project_Data_NYSE[[#This Row],[ Research and Development ]]-Project_Data_NYSE[[#This Row],[ Other Operating Items ]]</f>
        <v>1347117000</v>
      </c>
      <c r="L700" t="s">
        <v>12</v>
      </c>
      <c r="M700" t="s">
        <v>281</v>
      </c>
      <c r="N700" s="31">
        <f>Project_Data_NYSE[[#This Row],[Gross Profit]]/Project_Data_NYSE[[#This Row],[ Total Revenue ]]</f>
        <v>0.43294153018082476</v>
      </c>
      <c r="O700" s="31">
        <f>Project_Data_NYSE[[#This Row],[Operating Profit]]/Project_Data_NYSE[[#This Row],[ Total Revenue ]]</f>
        <v>0.13518548456776464</v>
      </c>
    </row>
    <row r="701" spans="1:15" x14ac:dyDescent="0.2">
      <c r="A701">
        <v>727</v>
      </c>
      <c r="B701" t="s">
        <v>280</v>
      </c>
      <c r="C701" t="s">
        <v>16</v>
      </c>
      <c r="D701" s="48">
        <v>42369</v>
      </c>
      <c r="E701" s="3">
        <v>9973384000</v>
      </c>
      <c r="F701" s="3">
        <v>5741956000</v>
      </c>
      <c r="G701" s="3">
        <f>Project_Data_NYSE[[#This Row],[ Total Revenue ]]-Project_Data_NYSE[[#This Row],[ Cost of Goods Sold ]]</f>
        <v>4231428000</v>
      </c>
      <c r="H701" s="3">
        <v>2931108000</v>
      </c>
      <c r="I701" s="3">
        <v>0</v>
      </c>
      <c r="J701" s="3">
        <v>0</v>
      </c>
      <c r="K701" s="3">
        <f>Project_Data_NYSE[[#This Row],[Gross Profit]]-Project_Data_NYSE[[#This Row],[ Sales, General and Admin. ]]-Project_Data_NYSE[[#This Row],[ Research and Development ]]-Project_Data_NYSE[[#This Row],[ Other Operating Items ]]</f>
        <v>1300320000</v>
      </c>
      <c r="L701" t="s">
        <v>12</v>
      </c>
      <c r="M701" t="s">
        <v>281</v>
      </c>
      <c r="N701" s="31">
        <f>Project_Data_NYSE[[#This Row],[Gross Profit]]/Project_Data_NYSE[[#This Row],[ Total Revenue ]]</f>
        <v>0.42427204246823347</v>
      </c>
      <c r="O701" s="31">
        <f>Project_Data_NYSE[[#This Row],[Operating Profit]]/Project_Data_NYSE[[#This Row],[ Total Revenue ]]</f>
        <v>0.13037901679109118</v>
      </c>
    </row>
    <row r="702" spans="1:15" x14ac:dyDescent="0.2">
      <c r="A702">
        <v>728</v>
      </c>
      <c r="B702" t="s">
        <v>282</v>
      </c>
      <c r="C702" t="s">
        <v>11</v>
      </c>
      <c r="D702" s="48">
        <v>41639</v>
      </c>
      <c r="E702" s="3">
        <v>29402000000</v>
      </c>
      <c r="F702" s="3">
        <v>24931000000</v>
      </c>
      <c r="G702" s="3">
        <f>Project_Data_NYSE[[#This Row],[ Total Revenue ]]-Project_Data_NYSE[[#This Row],[ Cost of Goods Sold ]]</f>
        <v>4471000000</v>
      </c>
      <c r="H702" s="3">
        <v>1333000000</v>
      </c>
      <c r="I702" s="3">
        <v>0</v>
      </c>
      <c r="J702" s="3">
        <v>0</v>
      </c>
      <c r="K702" s="3">
        <f>Project_Data_NYSE[[#This Row],[Gross Profit]]-Project_Data_NYSE[[#This Row],[ Sales, General and Admin. ]]-Project_Data_NYSE[[#This Row],[ Research and Development ]]-Project_Data_NYSE[[#This Row],[ Other Operating Items ]]</f>
        <v>3138000000</v>
      </c>
      <c r="L702" t="s">
        <v>82</v>
      </c>
      <c r="M702" t="s">
        <v>113</v>
      </c>
      <c r="N702" s="31">
        <f>Project_Data_NYSE[[#This Row],[Gross Profit]]/Project_Data_NYSE[[#This Row],[ Total Revenue ]]</f>
        <v>0.15206448540915585</v>
      </c>
      <c r="O702" s="31">
        <f>Project_Data_NYSE[[#This Row],[Operating Profit]]/Project_Data_NYSE[[#This Row],[ Total Revenue ]]</f>
        <v>0.10672743350792463</v>
      </c>
    </row>
    <row r="703" spans="1:15" x14ac:dyDescent="0.2">
      <c r="A703">
        <v>729</v>
      </c>
      <c r="B703" t="s">
        <v>282</v>
      </c>
      <c r="C703" t="s">
        <v>14</v>
      </c>
      <c r="D703" s="48">
        <v>42004</v>
      </c>
      <c r="E703" s="3">
        <v>32870000000</v>
      </c>
      <c r="F703" s="3">
        <v>27334000000</v>
      </c>
      <c r="G703" s="3">
        <f>Project_Data_NYSE[[#This Row],[ Total Revenue ]]-Project_Data_NYSE[[#This Row],[ Cost of Goods Sold ]]</f>
        <v>5536000000</v>
      </c>
      <c r="H703" s="3">
        <v>293000000</v>
      </c>
      <c r="I703" s="3">
        <v>0</v>
      </c>
      <c r="J703" s="3">
        <v>0</v>
      </c>
      <c r="K703" s="3">
        <f>Project_Data_NYSE[[#This Row],[Gross Profit]]-Project_Data_NYSE[[#This Row],[ Sales, General and Admin. ]]-Project_Data_NYSE[[#This Row],[ Research and Development ]]-Project_Data_NYSE[[#This Row],[ Other Operating Items ]]</f>
        <v>5243000000</v>
      </c>
      <c r="L703" t="s">
        <v>82</v>
      </c>
      <c r="M703" t="s">
        <v>113</v>
      </c>
      <c r="N703" s="31">
        <f>Project_Data_NYSE[[#This Row],[Gross Profit]]/Project_Data_NYSE[[#This Row],[ Total Revenue ]]</f>
        <v>0.16842105263157894</v>
      </c>
      <c r="O703" s="31">
        <f>Project_Data_NYSE[[#This Row],[Operating Profit]]/Project_Data_NYSE[[#This Row],[ Total Revenue ]]</f>
        <v>0.15950714937633101</v>
      </c>
    </row>
    <row r="704" spans="1:15" x14ac:dyDescent="0.2">
      <c r="A704">
        <v>730</v>
      </c>
      <c r="B704" t="s">
        <v>282</v>
      </c>
      <c r="C704" t="s">
        <v>15</v>
      </c>
      <c r="D704" s="48">
        <v>42369</v>
      </c>
      <c r="E704" s="3">
        <v>23633000000</v>
      </c>
      <c r="F704" s="3">
        <v>21113000000</v>
      </c>
      <c r="G704" s="3">
        <f>Project_Data_NYSE[[#This Row],[ Total Revenue ]]-Project_Data_NYSE[[#This Row],[ Cost of Goods Sold ]]</f>
        <v>2520000000</v>
      </c>
      <c r="H704" s="3">
        <v>200000000</v>
      </c>
      <c r="I704" s="3">
        <v>0</v>
      </c>
      <c r="J704" s="3">
        <v>0</v>
      </c>
      <c r="K704" s="3">
        <f>Project_Data_NYSE[[#This Row],[Gross Profit]]-Project_Data_NYSE[[#This Row],[ Sales, General and Admin. ]]-Project_Data_NYSE[[#This Row],[ Research and Development ]]-Project_Data_NYSE[[#This Row],[ Other Operating Items ]]</f>
        <v>2320000000</v>
      </c>
      <c r="L704" t="s">
        <v>82</v>
      </c>
      <c r="M704" t="s">
        <v>113</v>
      </c>
      <c r="N704" s="31">
        <f>Project_Data_NYSE[[#This Row],[Gross Profit]]/Project_Data_NYSE[[#This Row],[ Total Revenue ]]</f>
        <v>0.10663055896416028</v>
      </c>
      <c r="O704" s="31">
        <f>Project_Data_NYSE[[#This Row],[Operating Profit]]/Project_Data_NYSE[[#This Row],[ Total Revenue ]]</f>
        <v>9.8167816189226931E-2</v>
      </c>
    </row>
    <row r="705" spans="1:15" x14ac:dyDescent="0.2">
      <c r="A705">
        <v>731</v>
      </c>
      <c r="B705" t="s">
        <v>282</v>
      </c>
      <c r="C705" t="s">
        <v>16</v>
      </c>
      <c r="D705" s="48">
        <v>42735</v>
      </c>
      <c r="E705" s="3">
        <v>15887000000</v>
      </c>
      <c r="F705" s="3">
        <v>15023000000</v>
      </c>
      <c r="G705" s="3">
        <f>Project_Data_NYSE[[#This Row],[ Total Revenue ]]-Project_Data_NYSE[[#This Row],[ Cost of Goods Sold ]]</f>
        <v>864000000</v>
      </c>
      <c r="H705" s="3">
        <v>228000000</v>
      </c>
      <c r="I705" s="3">
        <v>0</v>
      </c>
      <c r="J705" s="3">
        <v>0</v>
      </c>
      <c r="K705" s="3">
        <f>Project_Data_NYSE[[#This Row],[Gross Profit]]-Project_Data_NYSE[[#This Row],[ Sales, General and Admin. ]]-Project_Data_NYSE[[#This Row],[ Research and Development ]]-Project_Data_NYSE[[#This Row],[ Other Operating Items ]]</f>
        <v>636000000</v>
      </c>
      <c r="L705" t="s">
        <v>82</v>
      </c>
      <c r="M705" t="s">
        <v>113</v>
      </c>
      <c r="N705" s="31">
        <f>Project_Data_NYSE[[#This Row],[Gross Profit]]/Project_Data_NYSE[[#This Row],[ Total Revenue ]]</f>
        <v>5.4384087618807829E-2</v>
      </c>
      <c r="O705" s="31">
        <f>Project_Data_NYSE[[#This Row],[Operating Profit]]/Project_Data_NYSE[[#This Row],[ Total Revenue ]]</f>
        <v>4.0032731163844655E-2</v>
      </c>
    </row>
    <row r="706" spans="1:15" x14ac:dyDescent="0.2">
      <c r="A706">
        <v>732</v>
      </c>
      <c r="B706" t="s">
        <v>283</v>
      </c>
      <c r="C706" t="s">
        <v>11</v>
      </c>
      <c r="D706" s="48">
        <v>41455</v>
      </c>
      <c r="E706" s="3">
        <v>4297842000</v>
      </c>
      <c r="F706" s="3">
        <v>3193722000</v>
      </c>
      <c r="G706" s="3">
        <f>Project_Data_NYSE[[#This Row],[ Total Revenue ]]-Project_Data_NYSE[[#This Row],[ Cost of Goods Sold ]]</f>
        <v>1104120000</v>
      </c>
      <c r="H706" s="3">
        <v>902869000</v>
      </c>
      <c r="I706" s="3">
        <v>0</v>
      </c>
      <c r="J706" s="3">
        <v>0</v>
      </c>
      <c r="K706" s="3">
        <f>Project_Data_NYSE[[#This Row],[Gross Profit]]-Project_Data_NYSE[[#This Row],[ Sales, General and Admin. ]]-Project_Data_NYSE[[#This Row],[ Research and Development ]]-Project_Data_NYSE[[#This Row],[ Other Operating Items ]]</f>
        <v>201251000</v>
      </c>
      <c r="L706" t="s">
        <v>18</v>
      </c>
      <c r="M706" t="s">
        <v>277</v>
      </c>
      <c r="N706" s="31">
        <f>Project_Data_NYSE[[#This Row],[Gross Profit]]/Project_Data_NYSE[[#This Row],[ Total Revenue ]]</f>
        <v>0.25690102148938931</v>
      </c>
      <c r="O706" s="31">
        <f>Project_Data_NYSE[[#This Row],[Operating Profit]]/Project_Data_NYSE[[#This Row],[ Total Revenue ]]</f>
        <v>4.682605828692632E-2</v>
      </c>
    </row>
    <row r="707" spans="1:15" x14ac:dyDescent="0.2">
      <c r="A707">
        <v>733</v>
      </c>
      <c r="B707" t="s">
        <v>283</v>
      </c>
      <c r="C707" t="s">
        <v>14</v>
      </c>
      <c r="D707" s="48">
        <v>41820</v>
      </c>
      <c r="E707" s="3">
        <v>5348483000</v>
      </c>
      <c r="F707" s="3">
        <v>3891816000</v>
      </c>
      <c r="G707" s="3">
        <f>Project_Data_NYSE[[#This Row],[ Total Revenue ]]-Project_Data_NYSE[[#This Row],[ Cost of Goods Sold ]]</f>
        <v>1456667000</v>
      </c>
      <c r="H707" s="3">
        <v>1126940000</v>
      </c>
      <c r="I707" s="3">
        <v>0</v>
      </c>
      <c r="J707" s="3">
        <v>0</v>
      </c>
      <c r="K707" s="3">
        <f>Project_Data_NYSE[[#This Row],[Gross Profit]]-Project_Data_NYSE[[#This Row],[ Sales, General and Admin. ]]-Project_Data_NYSE[[#This Row],[ Research and Development ]]-Project_Data_NYSE[[#This Row],[ Other Operating Items ]]</f>
        <v>329727000</v>
      </c>
      <c r="L707" t="s">
        <v>18</v>
      </c>
      <c r="M707" t="s">
        <v>277</v>
      </c>
      <c r="N707" s="31">
        <f>Project_Data_NYSE[[#This Row],[Gross Profit]]/Project_Data_NYSE[[#This Row],[ Total Revenue ]]</f>
        <v>0.27235143123760513</v>
      </c>
      <c r="O707" s="31">
        <f>Project_Data_NYSE[[#This Row],[Operating Profit]]/Project_Data_NYSE[[#This Row],[ Total Revenue ]]</f>
        <v>6.1648695527311205E-2</v>
      </c>
    </row>
    <row r="708" spans="1:15" x14ac:dyDescent="0.2">
      <c r="A708">
        <v>734</v>
      </c>
      <c r="B708" t="s">
        <v>283</v>
      </c>
      <c r="C708" t="s">
        <v>15</v>
      </c>
      <c r="D708" s="48">
        <v>42185</v>
      </c>
      <c r="E708" s="3">
        <v>6155297000</v>
      </c>
      <c r="F708" s="3">
        <v>4338193000</v>
      </c>
      <c r="G708" s="3">
        <f>Project_Data_NYSE[[#This Row],[ Total Revenue ]]-Project_Data_NYSE[[#This Row],[ Cost of Goods Sold ]]</f>
        <v>1817104000</v>
      </c>
      <c r="H708" s="3">
        <v>1347510000</v>
      </c>
      <c r="I708" s="3">
        <v>0</v>
      </c>
      <c r="J708" s="3">
        <v>0</v>
      </c>
      <c r="K708" s="3">
        <f>Project_Data_NYSE[[#This Row],[Gross Profit]]-Project_Data_NYSE[[#This Row],[ Sales, General and Admin. ]]-Project_Data_NYSE[[#This Row],[ Research and Development ]]-Project_Data_NYSE[[#This Row],[ Other Operating Items ]]</f>
        <v>469594000</v>
      </c>
      <c r="L708" t="s">
        <v>18</v>
      </c>
      <c r="M708" t="s">
        <v>277</v>
      </c>
      <c r="N708" s="31">
        <f>Project_Data_NYSE[[#This Row],[Gross Profit]]/Project_Data_NYSE[[#This Row],[ Total Revenue ]]</f>
        <v>0.29520980059938617</v>
      </c>
      <c r="O708" s="31">
        <f>Project_Data_NYSE[[#This Row],[Operating Profit]]/Project_Data_NYSE[[#This Row],[ Total Revenue ]]</f>
        <v>7.6291038434051189E-2</v>
      </c>
    </row>
    <row r="709" spans="1:15" x14ac:dyDescent="0.2">
      <c r="A709">
        <v>735</v>
      </c>
      <c r="B709" t="s">
        <v>283</v>
      </c>
      <c r="C709" t="s">
        <v>16</v>
      </c>
      <c r="D709" s="48">
        <v>42551</v>
      </c>
      <c r="E709" s="3">
        <v>6911676000</v>
      </c>
      <c r="F709" s="3">
        <v>4818585000</v>
      </c>
      <c r="G709" s="3">
        <f>Project_Data_NYSE[[#This Row],[ Total Revenue ]]-Project_Data_NYSE[[#This Row],[ Cost of Goods Sold ]]</f>
        <v>2093091000</v>
      </c>
      <c r="H709" s="3">
        <v>1513064000</v>
      </c>
      <c r="I709" s="3">
        <v>0</v>
      </c>
      <c r="J709" s="3">
        <v>0</v>
      </c>
      <c r="K709" s="3">
        <f>Project_Data_NYSE[[#This Row],[Gross Profit]]-Project_Data_NYSE[[#This Row],[ Sales, General and Admin. ]]-Project_Data_NYSE[[#This Row],[ Research and Development ]]-Project_Data_NYSE[[#This Row],[ Other Operating Items ]]</f>
        <v>580027000</v>
      </c>
      <c r="L709" t="s">
        <v>18</v>
      </c>
      <c r="M709" t="s">
        <v>277</v>
      </c>
      <c r="N709" s="31">
        <f>Project_Data_NYSE[[#This Row],[Gross Profit]]/Project_Data_NYSE[[#This Row],[ Total Revenue ]]</f>
        <v>0.3028340738194325</v>
      </c>
      <c r="O709" s="31">
        <f>Project_Data_NYSE[[#This Row],[Operating Profit]]/Project_Data_NYSE[[#This Row],[ Total Revenue ]]</f>
        <v>8.3919877031272877E-2</v>
      </c>
    </row>
    <row r="710" spans="1:15" x14ac:dyDescent="0.2">
      <c r="A710">
        <v>736</v>
      </c>
      <c r="B710" t="s">
        <v>284</v>
      </c>
      <c r="C710" t="s">
        <v>11</v>
      </c>
      <c r="D710" s="48">
        <v>41274</v>
      </c>
      <c r="E710" s="3">
        <v>4088983000</v>
      </c>
      <c r="F710" s="3">
        <v>1671980000</v>
      </c>
      <c r="G710" s="3">
        <f>Project_Data_NYSE[[#This Row],[ Total Revenue ]]-Project_Data_NYSE[[#This Row],[ Cost of Goods Sold ]]</f>
        <v>2417003000</v>
      </c>
      <c r="H710" s="3">
        <v>1269586000</v>
      </c>
      <c r="I710" s="3">
        <v>201197000</v>
      </c>
      <c r="J710" s="3">
        <v>92369000</v>
      </c>
      <c r="K710" s="3">
        <f>Project_Data_NYSE[[#This Row],[Gross Profit]]-Project_Data_NYSE[[#This Row],[ Sales, General and Admin. ]]-Project_Data_NYSE[[#This Row],[ Research and Development ]]-Project_Data_NYSE[[#This Row],[ Other Operating Items ]]</f>
        <v>853851000</v>
      </c>
      <c r="L710" t="s">
        <v>18</v>
      </c>
      <c r="M710" t="s">
        <v>285</v>
      </c>
      <c r="N710" s="31">
        <f>Project_Data_NYSE[[#This Row],[Gross Profit]]/Project_Data_NYSE[[#This Row],[ Total Revenue ]]</f>
        <v>0.59110125916395351</v>
      </c>
      <c r="O710" s="31">
        <f>Project_Data_NYSE[[#This Row],[Operating Profit]]/Project_Data_NYSE[[#This Row],[ Total Revenue ]]</f>
        <v>0.20881744922881801</v>
      </c>
    </row>
    <row r="711" spans="1:15" x14ac:dyDescent="0.2">
      <c r="A711">
        <v>737</v>
      </c>
      <c r="B711" t="s">
        <v>284</v>
      </c>
      <c r="C711" t="s">
        <v>14</v>
      </c>
      <c r="D711" s="48">
        <v>41637</v>
      </c>
      <c r="E711" s="3">
        <v>4082157000</v>
      </c>
      <c r="F711" s="3">
        <v>1672901000</v>
      </c>
      <c r="G711" s="3">
        <f>Project_Data_NYSE[[#This Row],[ Total Revenue ]]-Project_Data_NYSE[[#This Row],[ Cost of Goods Sold ]]</f>
        <v>2409256000</v>
      </c>
      <c r="H711" s="3">
        <v>1269777000</v>
      </c>
      <c r="I711" s="3">
        <v>207591000</v>
      </c>
      <c r="J711" s="3">
        <v>125876000</v>
      </c>
      <c r="K711" s="3">
        <f>Project_Data_NYSE[[#This Row],[Gross Profit]]-Project_Data_NYSE[[#This Row],[ Sales, General and Admin. ]]-Project_Data_NYSE[[#This Row],[ Research and Development ]]-Project_Data_NYSE[[#This Row],[ Other Operating Items ]]</f>
        <v>806012000</v>
      </c>
      <c r="L711" t="s">
        <v>18</v>
      </c>
      <c r="M711" t="s">
        <v>285</v>
      </c>
      <c r="N711" s="31">
        <f>Project_Data_NYSE[[#This Row],[Gross Profit]]/Project_Data_NYSE[[#This Row],[ Total Revenue ]]</f>
        <v>0.59019190099743835</v>
      </c>
      <c r="O711" s="31">
        <f>Project_Data_NYSE[[#This Row],[Operating Profit]]/Project_Data_NYSE[[#This Row],[ Total Revenue ]]</f>
        <v>0.19744757489729081</v>
      </c>
    </row>
    <row r="712" spans="1:15" x14ac:dyDescent="0.2">
      <c r="A712">
        <v>738</v>
      </c>
      <c r="B712" t="s">
        <v>284</v>
      </c>
      <c r="C712" t="s">
        <v>15</v>
      </c>
      <c r="D712" s="48">
        <v>42001</v>
      </c>
      <c r="E712" s="3">
        <v>4277207000</v>
      </c>
      <c r="F712" s="3">
        <v>1698372000</v>
      </c>
      <c r="G712" s="3">
        <f>Project_Data_NYSE[[#This Row],[ Total Revenue ]]-Project_Data_NYSE[[#This Row],[ Cost of Goods Sold ]]</f>
        <v>2578835000</v>
      </c>
      <c r="H712" s="3">
        <v>1315793000</v>
      </c>
      <c r="I712" s="3">
        <v>222556000</v>
      </c>
      <c r="J712" s="3">
        <v>99794000</v>
      </c>
      <c r="K712" s="3">
        <f>Project_Data_NYSE[[#This Row],[Gross Profit]]-Project_Data_NYSE[[#This Row],[ Sales, General and Admin. ]]-Project_Data_NYSE[[#This Row],[ Research and Development ]]-Project_Data_NYSE[[#This Row],[ Other Operating Items ]]</f>
        <v>940692000</v>
      </c>
      <c r="L712" t="s">
        <v>18</v>
      </c>
      <c r="M712" t="s">
        <v>285</v>
      </c>
      <c r="N712" s="31">
        <f>Project_Data_NYSE[[#This Row],[Gross Profit]]/Project_Data_NYSE[[#This Row],[ Total Revenue ]]</f>
        <v>0.60292499287502332</v>
      </c>
      <c r="O712" s="31">
        <f>Project_Data_NYSE[[#This Row],[Operating Profit]]/Project_Data_NYSE[[#This Row],[ Total Revenue ]]</f>
        <v>0.21993137110268454</v>
      </c>
    </row>
    <row r="713" spans="1:15" x14ac:dyDescent="0.2">
      <c r="A713">
        <v>739</v>
      </c>
      <c r="B713" t="s">
        <v>284</v>
      </c>
      <c r="C713" t="s">
        <v>16</v>
      </c>
      <c r="D713" s="48">
        <v>42365</v>
      </c>
      <c r="E713" s="3">
        <v>4447509000</v>
      </c>
      <c r="F713" s="3">
        <v>1677033000</v>
      </c>
      <c r="G713" s="3">
        <f>Project_Data_NYSE[[#This Row],[ Total Revenue ]]-Project_Data_NYSE[[#This Row],[ Cost of Goods Sold ]]</f>
        <v>2770476000</v>
      </c>
      <c r="H713" s="3">
        <v>1370183000</v>
      </c>
      <c r="I713" s="3">
        <v>242944000</v>
      </c>
      <c r="J713" s="3">
        <v>86171000</v>
      </c>
      <c r="K713" s="3">
        <f>Project_Data_NYSE[[#This Row],[Gross Profit]]-Project_Data_NYSE[[#This Row],[ Sales, General and Admin. ]]-Project_Data_NYSE[[#This Row],[ Research and Development ]]-Project_Data_NYSE[[#This Row],[ Other Operating Items ]]</f>
        <v>1071178000</v>
      </c>
      <c r="L713" t="s">
        <v>18</v>
      </c>
      <c r="M713" t="s">
        <v>285</v>
      </c>
      <c r="N713" s="31">
        <f>Project_Data_NYSE[[#This Row],[Gross Profit]]/Project_Data_NYSE[[#This Row],[ Total Revenue ]]</f>
        <v>0.62292757586325287</v>
      </c>
      <c r="O713" s="31">
        <f>Project_Data_NYSE[[#This Row],[Operating Profit]]/Project_Data_NYSE[[#This Row],[ Total Revenue ]]</f>
        <v>0.24084897860802529</v>
      </c>
    </row>
    <row r="714" spans="1:15" x14ac:dyDescent="0.2">
      <c r="A714">
        <v>740</v>
      </c>
      <c r="B714" t="s">
        <v>286</v>
      </c>
      <c r="C714" t="s">
        <v>11</v>
      </c>
      <c r="D714" s="48">
        <v>41274</v>
      </c>
      <c r="E714" s="3">
        <v>3036584000</v>
      </c>
      <c r="F714" s="3">
        <v>162167000</v>
      </c>
      <c r="G714" s="3">
        <f>Project_Data_NYSE[[#This Row],[ Total Revenue ]]-Project_Data_NYSE[[#This Row],[ Cost of Goods Sold ]]</f>
        <v>2874417000</v>
      </c>
      <c r="H714" s="3">
        <v>1789327000</v>
      </c>
      <c r="I714" s="3">
        <v>0</v>
      </c>
      <c r="J714" s="3">
        <v>193937000</v>
      </c>
      <c r="K714" s="3">
        <f>Project_Data_NYSE[[#This Row],[Gross Profit]]-Project_Data_NYSE[[#This Row],[ Sales, General and Admin. ]]-Project_Data_NYSE[[#This Row],[ Research and Development ]]-Project_Data_NYSE[[#This Row],[ Other Operating Items ]]</f>
        <v>891153000</v>
      </c>
      <c r="L714" t="s">
        <v>46</v>
      </c>
      <c r="M714" t="s">
        <v>104</v>
      </c>
      <c r="N714" s="31">
        <f>Project_Data_NYSE[[#This Row],[Gross Profit]]/Project_Data_NYSE[[#This Row],[ Total Revenue ]]</f>
        <v>0.94659558240443864</v>
      </c>
      <c r="O714" s="31">
        <f>Project_Data_NYSE[[#This Row],[Operating Profit]]/Project_Data_NYSE[[#This Row],[ Total Revenue ]]</f>
        <v>0.29347220429271842</v>
      </c>
    </row>
    <row r="715" spans="1:15" x14ac:dyDescent="0.2">
      <c r="A715">
        <v>741</v>
      </c>
      <c r="B715" t="s">
        <v>286</v>
      </c>
      <c r="C715" t="s">
        <v>14</v>
      </c>
      <c r="D715" s="48">
        <v>41639</v>
      </c>
      <c r="E715" s="3">
        <v>2872833000</v>
      </c>
      <c r="F715" s="3">
        <v>116241000</v>
      </c>
      <c r="G715" s="3">
        <f>Project_Data_NYSE[[#This Row],[ Total Revenue ]]-Project_Data_NYSE[[#This Row],[ Cost of Goods Sold ]]</f>
        <v>2756592000</v>
      </c>
      <c r="H715" s="3">
        <v>1716639000</v>
      </c>
      <c r="I715" s="3">
        <v>0</v>
      </c>
      <c r="J715" s="3">
        <v>131409000</v>
      </c>
      <c r="K715" s="3">
        <f>Project_Data_NYSE[[#This Row],[Gross Profit]]-Project_Data_NYSE[[#This Row],[ Sales, General and Admin. ]]-Project_Data_NYSE[[#This Row],[ Research and Development ]]-Project_Data_NYSE[[#This Row],[ Other Operating Items ]]</f>
        <v>908544000</v>
      </c>
      <c r="L715" t="s">
        <v>46</v>
      </c>
      <c r="M715" t="s">
        <v>104</v>
      </c>
      <c r="N715" s="31">
        <f>Project_Data_NYSE[[#This Row],[Gross Profit]]/Project_Data_NYSE[[#This Row],[ Total Revenue ]]</f>
        <v>0.95953784992027036</v>
      </c>
      <c r="O715" s="31">
        <f>Project_Data_NYSE[[#This Row],[Operating Profit]]/Project_Data_NYSE[[#This Row],[ Total Revenue ]]</f>
        <v>0.31625367711941488</v>
      </c>
    </row>
    <row r="716" spans="1:15" x14ac:dyDescent="0.2">
      <c r="A716">
        <v>742</v>
      </c>
      <c r="B716" t="s">
        <v>286</v>
      </c>
      <c r="C716" t="s">
        <v>15</v>
      </c>
      <c r="D716" s="48">
        <v>42004</v>
      </c>
      <c r="E716" s="3">
        <v>2955641000</v>
      </c>
      <c r="F716" s="3">
        <v>86453000</v>
      </c>
      <c r="G716" s="3">
        <f>Project_Data_NYSE[[#This Row],[ Total Revenue ]]-Project_Data_NYSE[[#This Row],[ Cost of Goods Sold ]]</f>
        <v>2869188000</v>
      </c>
      <c r="H716" s="3">
        <v>1843069000</v>
      </c>
      <c r="I716" s="3">
        <v>0</v>
      </c>
      <c r="J716" s="3">
        <v>120266000</v>
      </c>
      <c r="K716" s="3">
        <f>Project_Data_NYSE[[#This Row],[Gross Profit]]-Project_Data_NYSE[[#This Row],[ Sales, General and Admin. ]]-Project_Data_NYSE[[#This Row],[ Research and Development ]]-Project_Data_NYSE[[#This Row],[ Other Operating Items ]]</f>
        <v>905853000</v>
      </c>
      <c r="L716" t="s">
        <v>46</v>
      </c>
      <c r="M716" t="s">
        <v>104</v>
      </c>
      <c r="N716" s="31">
        <f>Project_Data_NYSE[[#This Row],[Gross Profit]]/Project_Data_NYSE[[#This Row],[ Total Revenue ]]</f>
        <v>0.97074983057820619</v>
      </c>
      <c r="O716" s="31">
        <f>Project_Data_NYSE[[#This Row],[Operating Profit]]/Project_Data_NYSE[[#This Row],[ Total Revenue ]]</f>
        <v>0.30648275619400328</v>
      </c>
    </row>
    <row r="717" spans="1:15" x14ac:dyDescent="0.2">
      <c r="A717">
        <v>743</v>
      </c>
      <c r="B717" t="s">
        <v>286</v>
      </c>
      <c r="C717" t="s">
        <v>16</v>
      </c>
      <c r="D717" s="48">
        <v>42369</v>
      </c>
      <c r="E717" s="3">
        <v>3153251000</v>
      </c>
      <c r="F717" s="3">
        <v>82175000</v>
      </c>
      <c r="G717" s="3">
        <f>Project_Data_NYSE[[#This Row],[ Total Revenue ]]-Project_Data_NYSE[[#This Row],[ Cost of Goods Sold ]]</f>
        <v>3071076000</v>
      </c>
      <c r="H717" s="3">
        <v>1948041000</v>
      </c>
      <c r="I717" s="3">
        <v>0</v>
      </c>
      <c r="J717" s="3">
        <v>127821000</v>
      </c>
      <c r="K717" s="3">
        <f>Project_Data_NYSE[[#This Row],[Gross Profit]]-Project_Data_NYSE[[#This Row],[ Sales, General and Admin. ]]-Project_Data_NYSE[[#This Row],[ Research and Development ]]-Project_Data_NYSE[[#This Row],[ Other Operating Items ]]</f>
        <v>995214000</v>
      </c>
      <c r="L717" t="s">
        <v>46</v>
      </c>
      <c r="M717" t="s">
        <v>104</v>
      </c>
      <c r="N717" s="31">
        <f>Project_Data_NYSE[[#This Row],[Gross Profit]]/Project_Data_NYSE[[#This Row],[ Total Revenue ]]</f>
        <v>0.9739395944059005</v>
      </c>
      <c r="O717" s="31">
        <f>Project_Data_NYSE[[#This Row],[Operating Profit]]/Project_Data_NYSE[[#This Row],[ Total Revenue ]]</f>
        <v>0.31561521743749549</v>
      </c>
    </row>
    <row r="718" spans="1:15" x14ac:dyDescent="0.2">
      <c r="A718">
        <v>744</v>
      </c>
      <c r="B718" t="s">
        <v>287</v>
      </c>
      <c r="C718" t="s">
        <v>11</v>
      </c>
      <c r="D718" s="48">
        <v>41636</v>
      </c>
      <c r="E718" s="3">
        <v>4627802000</v>
      </c>
      <c r="F718" s="3">
        <v>3016109000</v>
      </c>
      <c r="G718" s="3">
        <f>Project_Data_NYSE[[#This Row],[ Total Revenue ]]-Project_Data_NYSE[[#This Row],[ Cost of Goods Sold ]]</f>
        <v>1611693000</v>
      </c>
      <c r="H718" s="3">
        <v>1096507000</v>
      </c>
      <c r="I718" s="3">
        <v>0</v>
      </c>
      <c r="J718" s="3">
        <v>0</v>
      </c>
      <c r="K718" s="3">
        <f>Project_Data_NYSE[[#This Row],[Gross Profit]]-Project_Data_NYSE[[#This Row],[ Sales, General and Admin. ]]-Project_Data_NYSE[[#This Row],[ Research and Development ]]-Project_Data_NYSE[[#This Row],[ Other Operating Items ]]</f>
        <v>515186000</v>
      </c>
      <c r="L718" t="s">
        <v>18</v>
      </c>
      <c r="M718" t="s">
        <v>288</v>
      </c>
      <c r="N718" s="31">
        <f>Project_Data_NYSE[[#This Row],[Gross Profit]]/Project_Data_NYSE[[#This Row],[ Total Revenue ]]</f>
        <v>0.34826317115555072</v>
      </c>
      <c r="O718" s="31">
        <f>Project_Data_NYSE[[#This Row],[Operating Profit]]/Project_Data_NYSE[[#This Row],[ Total Revenue ]]</f>
        <v>0.11132412320146799</v>
      </c>
    </row>
    <row r="719" spans="1:15" x14ac:dyDescent="0.2">
      <c r="A719">
        <v>745</v>
      </c>
      <c r="B719" t="s">
        <v>287</v>
      </c>
      <c r="C719" t="s">
        <v>14</v>
      </c>
      <c r="D719" s="48">
        <v>42007</v>
      </c>
      <c r="E719" s="3">
        <v>5324746000</v>
      </c>
      <c r="F719" s="3">
        <v>3420339000</v>
      </c>
      <c r="G719" s="3">
        <f>Project_Data_NYSE[[#This Row],[ Total Revenue ]]-Project_Data_NYSE[[#This Row],[ Cost of Goods Sold ]]</f>
        <v>1904407000</v>
      </c>
      <c r="H719" s="3">
        <v>1340453000</v>
      </c>
      <c r="I719" s="3">
        <v>0</v>
      </c>
      <c r="J719" s="3">
        <v>0</v>
      </c>
      <c r="K719" s="3">
        <f>Project_Data_NYSE[[#This Row],[Gross Profit]]-Project_Data_NYSE[[#This Row],[ Sales, General and Admin. ]]-Project_Data_NYSE[[#This Row],[ Research and Development ]]-Project_Data_NYSE[[#This Row],[ Other Operating Items ]]</f>
        <v>563954000</v>
      </c>
      <c r="L719" t="s">
        <v>18</v>
      </c>
      <c r="M719" t="s">
        <v>288</v>
      </c>
      <c r="N719" s="31">
        <f>Project_Data_NYSE[[#This Row],[Gross Profit]]/Project_Data_NYSE[[#This Row],[ Total Revenue ]]</f>
        <v>0.35765217721183318</v>
      </c>
      <c r="O719" s="31">
        <f>Project_Data_NYSE[[#This Row],[Operating Profit]]/Project_Data_NYSE[[#This Row],[ Total Revenue ]]</f>
        <v>0.10591190640830567</v>
      </c>
    </row>
    <row r="720" spans="1:15" x14ac:dyDescent="0.2">
      <c r="A720">
        <v>746</v>
      </c>
      <c r="B720" t="s">
        <v>287</v>
      </c>
      <c r="C720" t="s">
        <v>15</v>
      </c>
      <c r="D720" s="48">
        <v>42371</v>
      </c>
      <c r="E720" s="3">
        <v>5731549000</v>
      </c>
      <c r="F720" s="3">
        <v>3595217000</v>
      </c>
      <c r="G720" s="3">
        <f>Project_Data_NYSE[[#This Row],[ Total Revenue ]]-Project_Data_NYSE[[#This Row],[ Cost of Goods Sold ]]</f>
        <v>2136332000</v>
      </c>
      <c r="H720" s="3">
        <v>1541214000</v>
      </c>
      <c r="I720" s="3">
        <v>0</v>
      </c>
      <c r="J720" s="3">
        <v>0</v>
      </c>
      <c r="K720" s="3">
        <f>Project_Data_NYSE[[#This Row],[Gross Profit]]-Project_Data_NYSE[[#This Row],[ Sales, General and Admin. ]]-Project_Data_NYSE[[#This Row],[ Research and Development ]]-Project_Data_NYSE[[#This Row],[ Other Operating Items ]]</f>
        <v>595118000</v>
      </c>
      <c r="L720" t="s">
        <v>18</v>
      </c>
      <c r="M720" t="s">
        <v>288</v>
      </c>
      <c r="N720" s="31">
        <f>Project_Data_NYSE[[#This Row],[Gross Profit]]/Project_Data_NYSE[[#This Row],[ Total Revenue ]]</f>
        <v>0.37273204852649783</v>
      </c>
      <c r="O720" s="31">
        <f>Project_Data_NYSE[[#This Row],[Operating Profit]]/Project_Data_NYSE[[#This Row],[ Total Revenue ]]</f>
        <v>0.10383196584378848</v>
      </c>
    </row>
    <row r="721" spans="1:15" x14ac:dyDescent="0.2">
      <c r="A721">
        <v>747</v>
      </c>
      <c r="B721" t="s">
        <v>287</v>
      </c>
      <c r="C721" t="s">
        <v>16</v>
      </c>
      <c r="D721" s="48">
        <v>42735</v>
      </c>
      <c r="E721" s="3">
        <v>6028199000</v>
      </c>
      <c r="F721" s="3">
        <v>3752151000</v>
      </c>
      <c r="G721" s="3">
        <f>Project_Data_NYSE[[#This Row],[ Total Revenue ]]-Project_Data_NYSE[[#This Row],[ Cost of Goods Sold ]]</f>
        <v>2276048000</v>
      </c>
      <c r="H721" s="3">
        <v>1500399000</v>
      </c>
      <c r="I721" s="3">
        <v>0</v>
      </c>
      <c r="J721" s="3">
        <v>0</v>
      </c>
      <c r="K721" s="3">
        <f>Project_Data_NYSE[[#This Row],[Gross Profit]]-Project_Data_NYSE[[#This Row],[ Sales, General and Admin. ]]-Project_Data_NYSE[[#This Row],[ Research and Development ]]-Project_Data_NYSE[[#This Row],[ Other Operating Items ]]</f>
        <v>775649000</v>
      </c>
      <c r="L721" t="s">
        <v>18</v>
      </c>
      <c r="M721" t="s">
        <v>288</v>
      </c>
      <c r="N721" s="31">
        <f>Project_Data_NYSE[[#This Row],[Gross Profit]]/Project_Data_NYSE[[#This Row],[ Total Revenue ]]</f>
        <v>0.37756683215003356</v>
      </c>
      <c r="O721" s="31">
        <f>Project_Data_NYSE[[#This Row],[Operating Profit]]/Project_Data_NYSE[[#This Row],[ Total Revenue ]]</f>
        <v>0.12867010528351835</v>
      </c>
    </row>
    <row r="722" spans="1:15" x14ac:dyDescent="0.2">
      <c r="A722">
        <v>508</v>
      </c>
      <c r="B722" t="s">
        <v>216</v>
      </c>
      <c r="C722" t="s">
        <v>11</v>
      </c>
      <c r="D722" s="48">
        <v>41274</v>
      </c>
      <c r="E722" s="3">
        <v>8186280000</v>
      </c>
      <c r="F722" s="3">
        <v>5583549000</v>
      </c>
      <c r="G722" s="3">
        <f>Project_Data_NYSE[[#This Row],[ Total Revenue ]]-Project_Data_NYSE[[#This Row],[ Cost of Goods Sold ]]</f>
        <v>2602731000</v>
      </c>
      <c r="H722" s="3">
        <v>889879000</v>
      </c>
      <c r="I722" s="3">
        <v>0</v>
      </c>
      <c r="J722" s="3">
        <v>341969000</v>
      </c>
      <c r="K722" s="3">
        <f>Project_Data_NYSE[[#This Row],[Gross Profit]]-Project_Data_NYSE[[#This Row],[ Sales, General and Admin. ]]-Project_Data_NYSE[[#This Row],[ Research and Development ]]-Project_Data_NYSE[[#This Row],[ Other Operating Items ]]</f>
        <v>1370883000</v>
      </c>
      <c r="L722" t="s">
        <v>24</v>
      </c>
      <c r="M722" t="s">
        <v>198</v>
      </c>
      <c r="N722" s="31">
        <f>Project_Data_NYSE[[#This Row],[Gross Profit]]/Project_Data_NYSE[[#This Row],[ Total Revenue ]]</f>
        <v>0.3179381843767865</v>
      </c>
      <c r="O722" s="31">
        <f>Project_Data_NYSE[[#This Row],[Operating Profit]]/Project_Data_NYSE[[#This Row],[ Total Revenue ]]</f>
        <v>0.16746104457702399</v>
      </c>
    </row>
    <row r="723" spans="1:15" x14ac:dyDescent="0.2">
      <c r="A723">
        <v>1629</v>
      </c>
      <c r="B723" t="s">
        <v>535</v>
      </c>
      <c r="C723" t="s">
        <v>16</v>
      </c>
      <c r="D723" s="48">
        <v>42643</v>
      </c>
      <c r="E723" s="3">
        <v>3217800000</v>
      </c>
      <c r="F723" s="3">
        <v>1856500000</v>
      </c>
      <c r="G723" s="3">
        <f>Project_Data_NYSE[[#This Row],[ Total Revenue ]]-Project_Data_NYSE[[#This Row],[ Cost of Goods Sold ]]</f>
        <v>1361300000</v>
      </c>
      <c r="H723" s="3">
        <v>557000000</v>
      </c>
      <c r="I723" s="3">
        <v>253500000</v>
      </c>
      <c r="J723" s="3">
        <v>0</v>
      </c>
      <c r="K723" s="3">
        <f>Project_Data_NYSE[[#This Row],[Gross Profit]]-Project_Data_NYSE[[#This Row],[ Sales, General and Admin. ]]-Project_Data_NYSE[[#This Row],[ Research and Development ]]-Project_Data_NYSE[[#This Row],[ Other Operating Items ]]</f>
        <v>550800000</v>
      </c>
      <c r="L723" t="s">
        <v>24</v>
      </c>
      <c r="M723" t="s">
        <v>29</v>
      </c>
      <c r="N723" s="31">
        <f>Project_Data_NYSE[[#This Row],[Gross Profit]]/Project_Data_NYSE[[#This Row],[ Total Revenue ]]</f>
        <v>0.42305301758965752</v>
      </c>
      <c r="O723" s="31">
        <f>Project_Data_NYSE[[#This Row],[Operating Profit]]/Project_Data_NYSE[[#This Row],[ Total Revenue ]]</f>
        <v>0.17117285101622226</v>
      </c>
    </row>
    <row r="724" spans="1:15" x14ac:dyDescent="0.2">
      <c r="A724">
        <v>217</v>
      </c>
      <c r="B724" t="s">
        <v>111</v>
      </c>
      <c r="C724" t="s">
        <v>16</v>
      </c>
      <c r="D724" s="48">
        <v>42643</v>
      </c>
      <c r="E724" s="3">
        <v>12483000000</v>
      </c>
      <c r="F724" s="3">
        <v>6492000000</v>
      </c>
      <c r="G724" s="3">
        <f>Project_Data_NYSE[[#This Row],[ Total Revenue ]]-Project_Data_NYSE[[#This Row],[ Cost of Goods Sold ]]</f>
        <v>5991000000</v>
      </c>
      <c r="H724" s="3">
        <v>3005000000</v>
      </c>
      <c r="I724" s="3">
        <v>828000000</v>
      </c>
      <c r="J724" s="3">
        <v>0</v>
      </c>
      <c r="K724" s="3">
        <f>Project_Data_NYSE[[#This Row],[Gross Profit]]-Project_Data_NYSE[[#This Row],[ Sales, General and Admin. ]]-Project_Data_NYSE[[#This Row],[ Research and Development ]]-Project_Data_NYSE[[#This Row],[ Other Operating Items ]]</f>
        <v>2158000000</v>
      </c>
      <c r="L724" t="s">
        <v>24</v>
      </c>
      <c r="M724" t="s">
        <v>29</v>
      </c>
      <c r="N724" s="31">
        <f>Project_Data_NYSE[[#This Row],[Gross Profit]]/Project_Data_NYSE[[#This Row],[ Total Revenue ]]</f>
        <v>0.47993270848353758</v>
      </c>
      <c r="O724" s="31">
        <f>Project_Data_NYSE[[#This Row],[Operating Profit]]/Project_Data_NYSE[[#This Row],[ Total Revenue ]]</f>
        <v>0.17287511014980372</v>
      </c>
    </row>
    <row r="725" spans="1:15" x14ac:dyDescent="0.2">
      <c r="A725">
        <v>1100</v>
      </c>
      <c r="B725" t="s">
        <v>396</v>
      </c>
      <c r="C725" t="s">
        <v>14</v>
      </c>
      <c r="D725" s="48">
        <v>41639</v>
      </c>
      <c r="E725" s="3">
        <v>44033000000</v>
      </c>
      <c r="F725" s="3">
        <v>16954000000</v>
      </c>
      <c r="G725" s="3">
        <f>Project_Data_NYSE[[#This Row],[ Total Revenue ]]-Project_Data_NYSE[[#This Row],[ Cost of Goods Sold ]]</f>
        <v>27079000000</v>
      </c>
      <c r="H725" s="3">
        <v>11911000000</v>
      </c>
      <c r="I725" s="3">
        <v>7503000000</v>
      </c>
      <c r="J725" s="3">
        <v>0</v>
      </c>
      <c r="K725" s="3">
        <f>Project_Data_NYSE[[#This Row],[Gross Profit]]-Project_Data_NYSE[[#This Row],[ Sales, General and Admin. ]]-Project_Data_NYSE[[#This Row],[ Research and Development ]]-Project_Data_NYSE[[#This Row],[ Other Operating Items ]]</f>
        <v>7665000000</v>
      </c>
      <c r="L725" t="s">
        <v>24</v>
      </c>
      <c r="M725" t="s">
        <v>25</v>
      </c>
      <c r="N725" s="31">
        <f>Project_Data_NYSE[[#This Row],[Gross Profit]]/Project_Data_NYSE[[#This Row],[ Total Revenue ]]</f>
        <v>0.6149705902391388</v>
      </c>
      <c r="O725" s="31">
        <f>Project_Data_NYSE[[#This Row],[Operating Profit]]/Project_Data_NYSE[[#This Row],[ Total Revenue ]]</f>
        <v>0.17407398996207391</v>
      </c>
    </row>
    <row r="726" spans="1:15" x14ac:dyDescent="0.2">
      <c r="A726">
        <v>752</v>
      </c>
      <c r="B726" t="s">
        <v>290</v>
      </c>
      <c r="C726" t="s">
        <v>11</v>
      </c>
      <c r="D726" s="48">
        <v>41274</v>
      </c>
      <c r="E726" s="3">
        <v>1765979000</v>
      </c>
      <c r="F726" s="3">
        <v>567989000</v>
      </c>
      <c r="G726" s="3">
        <f>Project_Data_NYSE[[#This Row],[ Total Revenue ]]-Project_Data_NYSE[[#This Row],[ Cost of Goods Sold ]]</f>
        <v>1197990000</v>
      </c>
      <c r="H726" s="3">
        <v>158950000</v>
      </c>
      <c r="I726" s="3">
        <v>0</v>
      </c>
      <c r="J726" s="3">
        <v>506220000</v>
      </c>
      <c r="K726" s="3">
        <f>Project_Data_NYSE[[#This Row],[Gross Profit]]-Project_Data_NYSE[[#This Row],[ Sales, General and Admin. ]]-Project_Data_NYSE[[#This Row],[ Research and Development ]]-Project_Data_NYSE[[#This Row],[ Other Operating Items ]]</f>
        <v>532820000</v>
      </c>
      <c r="L726" t="s">
        <v>51</v>
      </c>
      <c r="M726" t="s">
        <v>52</v>
      </c>
      <c r="N726" s="31">
        <f>Project_Data_NYSE[[#This Row],[Gross Profit]]/Project_Data_NYSE[[#This Row],[ Total Revenue ]]</f>
        <v>0.67837160011529019</v>
      </c>
      <c r="O726" s="31">
        <f>Project_Data_NYSE[[#This Row],[Operating Profit]]/Project_Data_NYSE[[#This Row],[ Total Revenue ]]</f>
        <v>0.30171366703681074</v>
      </c>
    </row>
    <row r="727" spans="1:15" x14ac:dyDescent="0.2">
      <c r="A727">
        <v>753</v>
      </c>
      <c r="B727" t="s">
        <v>290</v>
      </c>
      <c r="C727" t="s">
        <v>14</v>
      </c>
      <c r="D727" s="48">
        <v>41639</v>
      </c>
      <c r="E727" s="3">
        <v>2847945000</v>
      </c>
      <c r="F727" s="3">
        <v>1206813000</v>
      </c>
      <c r="G727" s="3">
        <f>Project_Data_NYSE[[#This Row],[ Total Revenue ]]-Project_Data_NYSE[[#This Row],[ Cost of Goods Sold ]]</f>
        <v>1641132000</v>
      </c>
      <c r="H727" s="3">
        <v>241719000</v>
      </c>
      <c r="I727" s="3">
        <v>0</v>
      </c>
      <c r="J727" s="3">
        <v>865800000</v>
      </c>
      <c r="K727" s="3">
        <f>Project_Data_NYSE[[#This Row],[Gross Profit]]-Project_Data_NYSE[[#This Row],[ Sales, General and Admin. ]]-Project_Data_NYSE[[#This Row],[ Research and Development ]]-Project_Data_NYSE[[#This Row],[ Other Operating Items ]]</f>
        <v>533613000</v>
      </c>
      <c r="L727" t="s">
        <v>51</v>
      </c>
      <c r="M727" t="s">
        <v>52</v>
      </c>
      <c r="N727" s="31">
        <f>Project_Data_NYSE[[#This Row],[Gross Profit]]/Project_Data_NYSE[[#This Row],[ Total Revenue ]]</f>
        <v>0.57625129698782807</v>
      </c>
      <c r="O727" s="31">
        <f>Project_Data_NYSE[[#This Row],[Operating Profit]]/Project_Data_NYSE[[#This Row],[ Total Revenue ]]</f>
        <v>0.18736773357631556</v>
      </c>
    </row>
    <row r="728" spans="1:15" x14ac:dyDescent="0.2">
      <c r="A728">
        <v>754</v>
      </c>
      <c r="B728" t="s">
        <v>290</v>
      </c>
      <c r="C728" t="s">
        <v>15</v>
      </c>
      <c r="D728" s="48">
        <v>42004</v>
      </c>
      <c r="E728" s="3">
        <v>3305879000</v>
      </c>
      <c r="F728" s="3">
        <v>1403358000</v>
      </c>
      <c r="G728" s="3">
        <f>Project_Data_NYSE[[#This Row],[ Total Revenue ]]-Project_Data_NYSE[[#This Row],[ Cost of Goods Sold ]]</f>
        <v>1902521000</v>
      </c>
      <c r="H728" s="3">
        <v>212481000</v>
      </c>
      <c r="I728" s="3">
        <v>0</v>
      </c>
      <c r="J728" s="3">
        <v>844130000</v>
      </c>
      <c r="K728" s="3">
        <f>Project_Data_NYSE[[#This Row],[Gross Profit]]-Project_Data_NYSE[[#This Row],[ Sales, General and Admin. ]]-Project_Data_NYSE[[#This Row],[ Research and Development ]]-Project_Data_NYSE[[#This Row],[ Other Operating Items ]]</f>
        <v>845910000</v>
      </c>
      <c r="L728" t="s">
        <v>51</v>
      </c>
      <c r="M728" t="s">
        <v>52</v>
      </c>
      <c r="N728" s="31">
        <f>Project_Data_NYSE[[#This Row],[Gross Profit]]/Project_Data_NYSE[[#This Row],[ Total Revenue ]]</f>
        <v>0.575496259844961</v>
      </c>
      <c r="O728" s="31">
        <f>Project_Data_NYSE[[#This Row],[Operating Profit]]/Project_Data_NYSE[[#This Row],[ Total Revenue ]]</f>
        <v>0.25588050863325607</v>
      </c>
    </row>
    <row r="729" spans="1:15" x14ac:dyDescent="0.2">
      <c r="A729">
        <v>755</v>
      </c>
      <c r="B729" t="s">
        <v>290</v>
      </c>
      <c r="C729" t="s">
        <v>16</v>
      </c>
      <c r="D729" s="48">
        <v>42369</v>
      </c>
      <c r="E729" s="3">
        <v>3775685000</v>
      </c>
      <c r="F729" s="3">
        <v>1622257000</v>
      </c>
      <c r="G729" s="3">
        <f>Project_Data_NYSE[[#This Row],[ Total Revenue ]]-Project_Data_NYSE[[#This Row],[ Cost of Goods Sold ]]</f>
        <v>2153428000</v>
      </c>
      <c r="H729" s="3">
        <v>258342000</v>
      </c>
      <c r="I729" s="3">
        <v>0</v>
      </c>
      <c r="J729" s="3">
        <v>826240000</v>
      </c>
      <c r="K729" s="3">
        <f>Project_Data_NYSE[[#This Row],[Gross Profit]]-Project_Data_NYSE[[#This Row],[ Sales, General and Admin. ]]-Project_Data_NYSE[[#This Row],[ Research and Development ]]-Project_Data_NYSE[[#This Row],[ Other Operating Items ]]</f>
        <v>1068846000</v>
      </c>
      <c r="L729" t="s">
        <v>51</v>
      </c>
      <c r="M729" t="s">
        <v>52</v>
      </c>
      <c r="N729" s="31">
        <f>Project_Data_NYSE[[#This Row],[Gross Profit]]/Project_Data_NYSE[[#This Row],[ Total Revenue ]]</f>
        <v>0.57034101096887058</v>
      </c>
      <c r="O729" s="31">
        <f>Project_Data_NYSE[[#This Row],[Operating Profit]]/Project_Data_NYSE[[#This Row],[ Total Revenue ]]</f>
        <v>0.28308664520477739</v>
      </c>
    </row>
    <row r="730" spans="1:15" x14ac:dyDescent="0.2">
      <c r="A730">
        <v>756</v>
      </c>
      <c r="B730" t="s">
        <v>291</v>
      </c>
      <c r="C730" t="s">
        <v>11</v>
      </c>
      <c r="D730" s="48">
        <v>41639</v>
      </c>
      <c r="E730" s="3">
        <v>2013719000</v>
      </c>
      <c r="F730" s="3">
        <v>0</v>
      </c>
      <c r="G730" s="3">
        <f>Project_Data_NYSE[[#This Row],[ Total Revenue ]]-Project_Data_NYSE[[#This Row],[ Cost of Goods Sold ]]</f>
        <v>2013719000</v>
      </c>
      <c r="H730" s="3">
        <v>401324000</v>
      </c>
      <c r="I730" s="3">
        <v>0</v>
      </c>
      <c r="J730" s="3">
        <v>423312000</v>
      </c>
      <c r="K730" s="3">
        <f>Project_Data_NYSE[[#This Row],[Gross Profit]]-Project_Data_NYSE[[#This Row],[ Sales, General and Admin. ]]-Project_Data_NYSE[[#This Row],[ Research and Development ]]-Project_Data_NYSE[[#This Row],[ Other Operating Items ]]</f>
        <v>1189083000</v>
      </c>
      <c r="L730" t="s">
        <v>51</v>
      </c>
      <c r="M730" t="s">
        <v>52</v>
      </c>
      <c r="N730" s="31">
        <f>Project_Data_NYSE[[#This Row],[Gross Profit]]/Project_Data_NYSE[[#This Row],[ Total Revenue ]]</f>
        <v>1</v>
      </c>
      <c r="O730" s="31">
        <f>Project_Data_NYSE[[#This Row],[Operating Profit]]/Project_Data_NYSE[[#This Row],[ Total Revenue ]]</f>
        <v>0.59049102680165411</v>
      </c>
    </row>
    <row r="731" spans="1:15" x14ac:dyDescent="0.2">
      <c r="A731">
        <v>757</v>
      </c>
      <c r="B731" t="s">
        <v>291</v>
      </c>
      <c r="C731" t="s">
        <v>14</v>
      </c>
      <c r="D731" s="48">
        <v>42004</v>
      </c>
      <c r="E731" s="3">
        <v>1563210000</v>
      </c>
      <c r="F731" s="3">
        <v>0</v>
      </c>
      <c r="G731" s="3">
        <f>Project_Data_NYSE[[#This Row],[ Total Revenue ]]-Project_Data_NYSE[[#This Row],[ Cost of Goods Sold ]]</f>
        <v>1563210000</v>
      </c>
      <c r="H731" s="3">
        <v>463059000</v>
      </c>
      <c r="I731" s="3">
        <v>0</v>
      </c>
      <c r="J731" s="3">
        <v>455016000</v>
      </c>
      <c r="K731" s="3">
        <f>Project_Data_NYSE[[#This Row],[Gross Profit]]-Project_Data_NYSE[[#This Row],[ Sales, General and Admin. ]]-Project_Data_NYSE[[#This Row],[ Research and Development ]]-Project_Data_NYSE[[#This Row],[ Other Operating Items ]]</f>
        <v>645135000</v>
      </c>
      <c r="L731" t="s">
        <v>51</v>
      </c>
      <c r="M731" t="s">
        <v>52</v>
      </c>
      <c r="N731" s="31">
        <f>Project_Data_NYSE[[#This Row],[Gross Profit]]/Project_Data_NYSE[[#This Row],[ Total Revenue ]]</f>
        <v>1</v>
      </c>
      <c r="O731" s="31">
        <f>Project_Data_NYSE[[#This Row],[Operating Profit]]/Project_Data_NYSE[[#This Row],[ Total Revenue ]]</f>
        <v>0.4126988696336385</v>
      </c>
    </row>
    <row r="732" spans="1:15" x14ac:dyDescent="0.2">
      <c r="A732">
        <v>758</v>
      </c>
      <c r="B732" t="s">
        <v>291</v>
      </c>
      <c r="C732" t="s">
        <v>15</v>
      </c>
      <c r="D732" s="48">
        <v>42369</v>
      </c>
      <c r="E732" s="3">
        <v>1828305000</v>
      </c>
      <c r="F732" s="3">
        <v>0</v>
      </c>
      <c r="G732" s="3">
        <f>Project_Data_NYSE[[#This Row],[ Total Revenue ]]-Project_Data_NYSE[[#This Row],[ Cost of Goods Sold ]]</f>
        <v>1828305000</v>
      </c>
      <c r="H732" s="3">
        <v>706644000</v>
      </c>
      <c r="I732" s="3">
        <v>0</v>
      </c>
      <c r="J732" s="3">
        <v>504905000</v>
      </c>
      <c r="K732" s="3">
        <f>Project_Data_NYSE[[#This Row],[Gross Profit]]-Project_Data_NYSE[[#This Row],[ Sales, General and Admin. ]]-Project_Data_NYSE[[#This Row],[ Research and Development ]]-Project_Data_NYSE[[#This Row],[ Other Operating Items ]]</f>
        <v>616756000</v>
      </c>
      <c r="L732" t="s">
        <v>51</v>
      </c>
      <c r="M732" t="s">
        <v>52</v>
      </c>
      <c r="N732" s="31">
        <f>Project_Data_NYSE[[#This Row],[Gross Profit]]/Project_Data_NYSE[[#This Row],[ Total Revenue ]]</f>
        <v>1</v>
      </c>
      <c r="O732" s="31">
        <f>Project_Data_NYSE[[#This Row],[Operating Profit]]/Project_Data_NYSE[[#This Row],[ Total Revenue ]]</f>
        <v>0.33733758864084495</v>
      </c>
    </row>
    <row r="733" spans="1:15" x14ac:dyDescent="0.2">
      <c r="A733">
        <v>759</v>
      </c>
      <c r="B733" t="s">
        <v>291</v>
      </c>
      <c r="C733" t="s">
        <v>16</v>
      </c>
      <c r="D733" s="48">
        <v>42735</v>
      </c>
      <c r="E733" s="3">
        <v>2040486000</v>
      </c>
      <c r="F733" s="3">
        <v>0</v>
      </c>
      <c r="G733" s="3">
        <f>Project_Data_NYSE[[#This Row],[ Total Revenue ]]-Project_Data_NYSE[[#This Row],[ Cost of Goods Sold ]]</f>
        <v>2040486000</v>
      </c>
      <c r="H733" s="3">
        <v>842010000</v>
      </c>
      <c r="I733" s="3">
        <v>0</v>
      </c>
      <c r="J733" s="3">
        <v>568108000</v>
      </c>
      <c r="K733" s="3">
        <f>Project_Data_NYSE[[#This Row],[Gross Profit]]-Project_Data_NYSE[[#This Row],[ Sales, General and Admin. ]]-Project_Data_NYSE[[#This Row],[ Research and Development ]]-Project_Data_NYSE[[#This Row],[ Other Operating Items ]]</f>
        <v>630368000</v>
      </c>
      <c r="L733" t="s">
        <v>51</v>
      </c>
      <c r="M733" t="s">
        <v>52</v>
      </c>
      <c r="N733" s="31">
        <f>Project_Data_NYSE[[#This Row],[Gross Profit]]/Project_Data_NYSE[[#This Row],[ Total Revenue ]]</f>
        <v>1</v>
      </c>
      <c r="O733" s="31">
        <f>Project_Data_NYSE[[#This Row],[Operating Profit]]/Project_Data_NYSE[[#This Row],[ Total Revenue ]]</f>
        <v>0.3089303234621556</v>
      </c>
    </row>
    <row r="734" spans="1:15" x14ac:dyDescent="0.2">
      <c r="A734">
        <v>760</v>
      </c>
      <c r="B734" t="s">
        <v>292</v>
      </c>
      <c r="C734" t="s">
        <v>11</v>
      </c>
      <c r="D734" s="48">
        <v>41308</v>
      </c>
      <c r="E734" s="3">
        <v>74754000000</v>
      </c>
      <c r="F734" s="3">
        <v>48912000000</v>
      </c>
      <c r="G734" s="3">
        <f>Project_Data_NYSE[[#This Row],[ Total Revenue ]]-Project_Data_NYSE[[#This Row],[ Cost of Goods Sold ]]</f>
        <v>25842000000</v>
      </c>
      <c r="H734" s="3">
        <v>16508000000</v>
      </c>
      <c r="I734" s="3">
        <v>0</v>
      </c>
      <c r="J734" s="3">
        <v>1568000000</v>
      </c>
      <c r="K734" s="3">
        <f>Project_Data_NYSE[[#This Row],[Gross Profit]]-Project_Data_NYSE[[#This Row],[ Sales, General and Admin. ]]-Project_Data_NYSE[[#This Row],[ Research and Development ]]-Project_Data_NYSE[[#This Row],[ Other Operating Items ]]</f>
        <v>7766000000</v>
      </c>
      <c r="L734" t="s">
        <v>18</v>
      </c>
      <c r="M734" t="s">
        <v>293</v>
      </c>
      <c r="N734" s="31">
        <f>Project_Data_NYSE[[#This Row],[Gross Profit]]/Project_Data_NYSE[[#This Row],[ Total Revenue ]]</f>
        <v>0.34569387591299461</v>
      </c>
      <c r="O734" s="31">
        <f>Project_Data_NYSE[[#This Row],[Operating Profit]]/Project_Data_NYSE[[#This Row],[ Total Revenue ]]</f>
        <v>0.10388741739572464</v>
      </c>
    </row>
    <row r="735" spans="1:15" x14ac:dyDescent="0.2">
      <c r="A735">
        <v>761</v>
      </c>
      <c r="B735" t="s">
        <v>292</v>
      </c>
      <c r="C735" t="s">
        <v>14</v>
      </c>
      <c r="D735" s="48">
        <v>41672</v>
      </c>
      <c r="E735" s="3">
        <v>78812000000</v>
      </c>
      <c r="F735" s="3">
        <v>51897000000</v>
      </c>
      <c r="G735" s="3">
        <f>Project_Data_NYSE[[#This Row],[ Total Revenue ]]-Project_Data_NYSE[[#This Row],[ Cost of Goods Sold ]]</f>
        <v>26915000000</v>
      </c>
      <c r="H735" s="3">
        <v>16122000000</v>
      </c>
      <c r="I735" s="3">
        <v>0</v>
      </c>
      <c r="J735" s="3">
        <v>1627000000</v>
      </c>
      <c r="K735" s="3">
        <f>Project_Data_NYSE[[#This Row],[Gross Profit]]-Project_Data_NYSE[[#This Row],[ Sales, General and Admin. ]]-Project_Data_NYSE[[#This Row],[ Research and Development ]]-Project_Data_NYSE[[#This Row],[ Other Operating Items ]]</f>
        <v>9166000000</v>
      </c>
      <c r="L735" t="s">
        <v>18</v>
      </c>
      <c r="M735" t="s">
        <v>293</v>
      </c>
      <c r="N735" s="31">
        <f>Project_Data_NYSE[[#This Row],[Gross Profit]]/Project_Data_NYSE[[#This Row],[ Total Revenue ]]</f>
        <v>0.34150890727300409</v>
      </c>
      <c r="O735" s="31">
        <f>Project_Data_NYSE[[#This Row],[Operating Profit]]/Project_Data_NYSE[[#This Row],[ Total Revenue ]]</f>
        <v>0.11630208597675482</v>
      </c>
    </row>
    <row r="736" spans="1:15" x14ac:dyDescent="0.2">
      <c r="A736">
        <v>762</v>
      </c>
      <c r="B736" t="s">
        <v>292</v>
      </c>
      <c r="C736" t="s">
        <v>15</v>
      </c>
      <c r="D736" s="48">
        <v>42036</v>
      </c>
      <c r="E736" s="3">
        <v>83176000000</v>
      </c>
      <c r="F736" s="3">
        <v>54787000000</v>
      </c>
      <c r="G736" s="3">
        <f>Project_Data_NYSE[[#This Row],[ Total Revenue ]]-Project_Data_NYSE[[#This Row],[ Cost of Goods Sold ]]</f>
        <v>28389000000</v>
      </c>
      <c r="H736" s="3">
        <v>16280000000</v>
      </c>
      <c r="I736" s="3">
        <v>0</v>
      </c>
      <c r="J736" s="3">
        <v>1640000000</v>
      </c>
      <c r="K736" s="3">
        <f>Project_Data_NYSE[[#This Row],[Gross Profit]]-Project_Data_NYSE[[#This Row],[ Sales, General and Admin. ]]-Project_Data_NYSE[[#This Row],[ Research and Development ]]-Project_Data_NYSE[[#This Row],[ Other Operating Items ]]</f>
        <v>10469000000</v>
      </c>
      <c r="L736" t="s">
        <v>18</v>
      </c>
      <c r="M736" t="s">
        <v>293</v>
      </c>
      <c r="N736" s="31">
        <f>Project_Data_NYSE[[#This Row],[Gross Profit]]/Project_Data_NYSE[[#This Row],[ Total Revenue ]]</f>
        <v>0.34131239780705974</v>
      </c>
      <c r="O736" s="31">
        <f>Project_Data_NYSE[[#This Row],[Operating Profit]]/Project_Data_NYSE[[#This Row],[ Total Revenue ]]</f>
        <v>0.12586563431759162</v>
      </c>
    </row>
    <row r="737" spans="1:15" x14ac:dyDescent="0.2">
      <c r="A737">
        <v>763</v>
      </c>
      <c r="B737" t="s">
        <v>292</v>
      </c>
      <c r="C737" t="s">
        <v>16</v>
      </c>
      <c r="D737" s="48">
        <v>42400</v>
      </c>
      <c r="E737" s="3">
        <v>88519000000</v>
      </c>
      <c r="F737" s="3">
        <v>58254000000</v>
      </c>
      <c r="G737" s="3">
        <f>Project_Data_NYSE[[#This Row],[ Total Revenue ]]-Project_Data_NYSE[[#This Row],[ Cost of Goods Sold ]]</f>
        <v>30265000000</v>
      </c>
      <c r="H737" s="3">
        <v>16801000000</v>
      </c>
      <c r="I737" s="3">
        <v>0</v>
      </c>
      <c r="J737" s="3">
        <v>1690000000</v>
      </c>
      <c r="K737" s="3">
        <f>Project_Data_NYSE[[#This Row],[Gross Profit]]-Project_Data_NYSE[[#This Row],[ Sales, General and Admin. ]]-Project_Data_NYSE[[#This Row],[ Research and Development ]]-Project_Data_NYSE[[#This Row],[ Other Operating Items ]]</f>
        <v>11774000000</v>
      </c>
      <c r="L737" t="s">
        <v>18</v>
      </c>
      <c r="M737" t="s">
        <v>293</v>
      </c>
      <c r="N737" s="31">
        <f>Project_Data_NYSE[[#This Row],[Gross Profit]]/Project_Data_NYSE[[#This Row],[ Total Revenue ]]</f>
        <v>0.34190399801172627</v>
      </c>
      <c r="O737" s="31">
        <f>Project_Data_NYSE[[#This Row],[Operating Profit]]/Project_Data_NYSE[[#This Row],[ Total Revenue ]]</f>
        <v>0.13301099199042013</v>
      </c>
    </row>
    <row r="738" spans="1:15" x14ac:dyDescent="0.2">
      <c r="A738">
        <v>764</v>
      </c>
      <c r="B738" t="s">
        <v>294</v>
      </c>
      <c r="C738" t="s">
        <v>11</v>
      </c>
      <c r="D738" s="48">
        <v>41274</v>
      </c>
      <c r="E738" s="3">
        <v>12245000000</v>
      </c>
      <c r="F738" s="3">
        <v>3535000000</v>
      </c>
      <c r="G738" s="3">
        <f>Project_Data_NYSE[[#This Row],[ Total Revenue ]]-Project_Data_NYSE[[#This Row],[ Cost of Goods Sold ]]</f>
        <v>8710000000</v>
      </c>
      <c r="H738" s="3">
        <v>1126000000</v>
      </c>
      <c r="I738" s="3">
        <v>0</v>
      </c>
      <c r="J738" s="3">
        <v>2866000000</v>
      </c>
      <c r="K738" s="3">
        <f>Project_Data_NYSE[[#This Row],[Gross Profit]]-Project_Data_NYSE[[#This Row],[ Sales, General and Admin. ]]-Project_Data_NYSE[[#This Row],[ Research and Development ]]-Project_Data_NYSE[[#This Row],[ Other Operating Items ]]</f>
        <v>4718000000</v>
      </c>
      <c r="L738" t="s">
        <v>82</v>
      </c>
      <c r="M738" t="s">
        <v>143</v>
      </c>
      <c r="N738" s="31">
        <f>Project_Data_NYSE[[#This Row],[Gross Profit]]/Project_Data_NYSE[[#This Row],[ Total Revenue ]]</f>
        <v>0.71131073907717435</v>
      </c>
      <c r="O738" s="31">
        <f>Project_Data_NYSE[[#This Row],[Operating Profit]]/Project_Data_NYSE[[#This Row],[ Total Revenue ]]</f>
        <v>0.38530012249897916</v>
      </c>
    </row>
    <row r="739" spans="1:15" x14ac:dyDescent="0.2">
      <c r="A739">
        <v>765</v>
      </c>
      <c r="B739" t="s">
        <v>294</v>
      </c>
      <c r="C739" t="s">
        <v>14</v>
      </c>
      <c r="D739" s="48">
        <v>41639</v>
      </c>
      <c r="E739" s="3">
        <v>11905000000</v>
      </c>
      <c r="F739" s="3">
        <v>3969000000</v>
      </c>
      <c r="G739" s="3">
        <f>Project_Data_NYSE[[#This Row],[ Total Revenue ]]-Project_Data_NYSE[[#This Row],[ Cost of Goods Sold ]]</f>
        <v>7936000000</v>
      </c>
      <c r="H739" s="3">
        <v>1045000000</v>
      </c>
      <c r="I739" s="3">
        <v>0</v>
      </c>
      <c r="J739" s="3">
        <v>2687000000</v>
      </c>
      <c r="K739" s="3">
        <f>Project_Data_NYSE[[#This Row],[Gross Profit]]-Project_Data_NYSE[[#This Row],[ Sales, General and Admin. ]]-Project_Data_NYSE[[#This Row],[ Research and Development ]]-Project_Data_NYSE[[#This Row],[ Other Operating Items ]]</f>
        <v>4204000000</v>
      </c>
      <c r="L739" t="s">
        <v>82</v>
      </c>
      <c r="M739" t="s">
        <v>143</v>
      </c>
      <c r="N739" s="31">
        <f>Project_Data_NYSE[[#This Row],[Gross Profit]]/Project_Data_NYSE[[#This Row],[ Total Revenue ]]</f>
        <v>0.66661066778664424</v>
      </c>
      <c r="O739" s="31">
        <f>Project_Data_NYSE[[#This Row],[Operating Profit]]/Project_Data_NYSE[[#This Row],[ Total Revenue ]]</f>
        <v>0.35312893742125157</v>
      </c>
    </row>
    <row r="740" spans="1:15" x14ac:dyDescent="0.2">
      <c r="A740">
        <v>766</v>
      </c>
      <c r="B740" t="s">
        <v>294</v>
      </c>
      <c r="C740" t="s">
        <v>15</v>
      </c>
      <c r="D740" s="48">
        <v>42004</v>
      </c>
      <c r="E740" s="3">
        <v>10737000000</v>
      </c>
      <c r="F740" s="3">
        <v>3753000000</v>
      </c>
      <c r="G740" s="3">
        <f>Project_Data_NYSE[[#This Row],[ Total Revenue ]]-Project_Data_NYSE[[#This Row],[ Cost of Goods Sold ]]</f>
        <v>6984000000</v>
      </c>
      <c r="H740" s="3">
        <v>863000000</v>
      </c>
      <c r="I740" s="3">
        <v>0</v>
      </c>
      <c r="J740" s="3">
        <v>3224000000</v>
      </c>
      <c r="K740" s="3">
        <f>Project_Data_NYSE[[#This Row],[Gross Profit]]-Project_Data_NYSE[[#This Row],[ Sales, General and Admin. ]]-Project_Data_NYSE[[#This Row],[ Research and Development ]]-Project_Data_NYSE[[#This Row],[ Other Operating Items ]]</f>
        <v>2897000000</v>
      </c>
      <c r="L740" t="s">
        <v>82</v>
      </c>
      <c r="M740" t="s">
        <v>143</v>
      </c>
      <c r="N740" s="31">
        <f>Project_Data_NYSE[[#This Row],[Gross Profit]]/Project_Data_NYSE[[#This Row],[ Total Revenue ]]</f>
        <v>0.6504610226320201</v>
      </c>
      <c r="O740" s="31">
        <f>Project_Data_NYSE[[#This Row],[Operating Profit]]/Project_Data_NYSE[[#This Row],[ Total Revenue ]]</f>
        <v>0.26981465958833939</v>
      </c>
    </row>
    <row r="741" spans="1:15" x14ac:dyDescent="0.2">
      <c r="A741">
        <v>767</v>
      </c>
      <c r="B741" t="s">
        <v>294</v>
      </c>
      <c r="C741" t="s">
        <v>16</v>
      </c>
      <c r="D741" s="48">
        <v>42369</v>
      </c>
      <c r="E741" s="3">
        <v>6636000000</v>
      </c>
      <c r="F741" s="3">
        <v>3323000000</v>
      </c>
      <c r="G741" s="3">
        <f>Project_Data_NYSE[[#This Row],[ Total Revenue ]]-Project_Data_NYSE[[#This Row],[ Cost of Goods Sold ]]</f>
        <v>3313000000</v>
      </c>
      <c r="H741" s="3">
        <v>703000000</v>
      </c>
      <c r="I741" s="3">
        <v>0</v>
      </c>
      <c r="J741" s="3">
        <v>3955000000</v>
      </c>
      <c r="K741" s="3">
        <f>Project_Data_NYSE[[#This Row],[Gross Profit]]-Project_Data_NYSE[[#This Row],[ Sales, General and Admin. ]]-Project_Data_NYSE[[#This Row],[ Research and Development ]]-Project_Data_NYSE[[#This Row],[ Other Operating Items ]]</f>
        <v>-1345000000</v>
      </c>
      <c r="L741" t="s">
        <v>82</v>
      </c>
      <c r="M741" t="s">
        <v>143</v>
      </c>
      <c r="N741" s="31">
        <f>Project_Data_NYSE[[#This Row],[Gross Profit]]/Project_Data_NYSE[[#This Row],[ Total Revenue ]]</f>
        <v>0.49924653405666064</v>
      </c>
      <c r="O741" s="31">
        <f>Project_Data_NYSE[[#This Row],[Operating Profit]]/Project_Data_NYSE[[#This Row],[ Total Revenue ]]</f>
        <v>-0.20268233875828812</v>
      </c>
    </row>
    <row r="742" spans="1:15" x14ac:dyDescent="0.2">
      <c r="A742">
        <v>768</v>
      </c>
      <c r="B742" t="s">
        <v>295</v>
      </c>
      <c r="C742" t="s">
        <v>11</v>
      </c>
      <c r="D742" s="48">
        <v>41274</v>
      </c>
      <c r="E742" s="3">
        <v>22086000000</v>
      </c>
      <c r="F742" s="3">
        <v>13195000000</v>
      </c>
      <c r="G742" s="3">
        <f>Project_Data_NYSE[[#This Row],[ Total Revenue ]]-Project_Data_NYSE[[#This Row],[ Cost of Goods Sold ]]</f>
        <v>8891000000</v>
      </c>
      <c r="H742" s="3">
        <v>0</v>
      </c>
      <c r="I742" s="3">
        <v>0</v>
      </c>
      <c r="J742" s="3">
        <v>7080000000</v>
      </c>
      <c r="K742" s="3">
        <f>Project_Data_NYSE[[#This Row],[Gross Profit]]-Project_Data_NYSE[[#This Row],[ Sales, General and Admin. ]]-Project_Data_NYSE[[#This Row],[ Research and Development ]]-Project_Data_NYSE[[#This Row],[ Other Operating Items ]]</f>
        <v>1811000000</v>
      </c>
      <c r="L742" t="s">
        <v>46</v>
      </c>
      <c r="M742" t="s">
        <v>49</v>
      </c>
      <c r="N742" s="31">
        <f>Project_Data_NYSE[[#This Row],[Gross Profit]]/Project_Data_NYSE[[#This Row],[ Total Revenue ]]</f>
        <v>0.40256270940867517</v>
      </c>
      <c r="O742" s="31">
        <f>Project_Data_NYSE[[#This Row],[Operating Profit]]/Project_Data_NYSE[[#This Row],[ Total Revenue ]]</f>
        <v>8.199764556732772E-2</v>
      </c>
    </row>
    <row r="743" spans="1:15" x14ac:dyDescent="0.2">
      <c r="A743">
        <v>769</v>
      </c>
      <c r="B743" t="s">
        <v>295</v>
      </c>
      <c r="C743" t="s">
        <v>14</v>
      </c>
      <c r="D743" s="48">
        <v>41639</v>
      </c>
      <c r="E743" s="3">
        <v>20673000000</v>
      </c>
      <c r="F743" s="3">
        <v>11048000000</v>
      </c>
      <c r="G743" s="3">
        <f>Project_Data_NYSE[[#This Row],[ Total Revenue ]]-Project_Data_NYSE[[#This Row],[ Cost of Goods Sold ]]</f>
        <v>9625000000</v>
      </c>
      <c r="H743" s="3">
        <v>0</v>
      </c>
      <c r="I743" s="3">
        <v>0</v>
      </c>
      <c r="J743" s="3">
        <v>5970000000</v>
      </c>
      <c r="K743" s="3">
        <f>Project_Data_NYSE[[#This Row],[Gross Profit]]-Project_Data_NYSE[[#This Row],[ Sales, General and Admin. ]]-Project_Data_NYSE[[#This Row],[ Research and Development ]]-Project_Data_NYSE[[#This Row],[ Other Operating Items ]]</f>
        <v>3655000000</v>
      </c>
      <c r="L743" t="s">
        <v>46</v>
      </c>
      <c r="M743" t="s">
        <v>49</v>
      </c>
      <c r="N743" s="31">
        <f>Project_Data_NYSE[[#This Row],[Gross Profit]]/Project_Data_NYSE[[#This Row],[ Total Revenue ]]</f>
        <v>0.46558312775117305</v>
      </c>
      <c r="O743" s="31">
        <f>Project_Data_NYSE[[#This Row],[Operating Profit]]/Project_Data_NYSE[[#This Row],[ Total Revenue ]]</f>
        <v>0.17680065786291299</v>
      </c>
    </row>
    <row r="744" spans="1:15" x14ac:dyDescent="0.2">
      <c r="A744">
        <v>770</v>
      </c>
      <c r="B744" t="s">
        <v>295</v>
      </c>
      <c r="C744" t="s">
        <v>15</v>
      </c>
      <c r="D744" s="48">
        <v>42004</v>
      </c>
      <c r="E744" s="3">
        <v>18614000000</v>
      </c>
      <c r="F744" s="3">
        <v>10805000000</v>
      </c>
      <c r="G744" s="3">
        <f>Project_Data_NYSE[[#This Row],[ Total Revenue ]]-Project_Data_NYSE[[#This Row],[ Cost of Goods Sold ]]</f>
        <v>7809000000</v>
      </c>
      <c r="H744" s="3">
        <v>0</v>
      </c>
      <c r="I744" s="3">
        <v>0</v>
      </c>
      <c r="J744" s="3">
        <v>5757000000</v>
      </c>
      <c r="K744" s="3">
        <f>Project_Data_NYSE[[#This Row],[Gross Profit]]-Project_Data_NYSE[[#This Row],[ Sales, General and Admin. ]]-Project_Data_NYSE[[#This Row],[ Research and Development ]]-Project_Data_NYSE[[#This Row],[ Other Operating Items ]]</f>
        <v>2052000000</v>
      </c>
      <c r="L744" t="s">
        <v>46</v>
      </c>
      <c r="M744" t="s">
        <v>49</v>
      </c>
      <c r="N744" s="31">
        <f>Project_Data_NYSE[[#This Row],[Gross Profit]]/Project_Data_NYSE[[#This Row],[ Total Revenue ]]</f>
        <v>0.41952293972278931</v>
      </c>
      <c r="O744" s="31">
        <f>Project_Data_NYSE[[#This Row],[Operating Profit]]/Project_Data_NYSE[[#This Row],[ Total Revenue ]]</f>
        <v>0.11023960459868916</v>
      </c>
    </row>
    <row r="745" spans="1:15" x14ac:dyDescent="0.2">
      <c r="A745">
        <v>771</v>
      </c>
      <c r="B745" t="s">
        <v>295</v>
      </c>
      <c r="C745" t="s">
        <v>16</v>
      </c>
      <c r="D745" s="48">
        <v>42369</v>
      </c>
      <c r="E745" s="3">
        <v>18377000000</v>
      </c>
      <c r="F745" s="3">
        <v>10775000000</v>
      </c>
      <c r="G745" s="3">
        <f>Project_Data_NYSE[[#This Row],[ Total Revenue ]]-Project_Data_NYSE[[#This Row],[ Cost of Goods Sold ]]</f>
        <v>7602000000</v>
      </c>
      <c r="H745" s="3">
        <v>0</v>
      </c>
      <c r="I745" s="3">
        <v>0</v>
      </c>
      <c r="J745" s="3">
        <v>5274000000</v>
      </c>
      <c r="K745" s="3">
        <f>Project_Data_NYSE[[#This Row],[Gross Profit]]-Project_Data_NYSE[[#This Row],[ Sales, General and Admin. ]]-Project_Data_NYSE[[#This Row],[ Research and Development ]]-Project_Data_NYSE[[#This Row],[ Other Operating Items ]]</f>
        <v>2328000000</v>
      </c>
      <c r="L745" t="s">
        <v>46</v>
      </c>
      <c r="M745" t="s">
        <v>49</v>
      </c>
      <c r="N745" s="31">
        <f>Project_Data_NYSE[[#This Row],[Gross Profit]]/Project_Data_NYSE[[#This Row],[ Total Revenue ]]</f>
        <v>0.41366926048865432</v>
      </c>
      <c r="O745" s="31">
        <f>Project_Data_NYSE[[#This Row],[Operating Profit]]/Project_Data_NYSE[[#This Row],[ Total Revenue ]]</f>
        <v>0.12668008924198726</v>
      </c>
    </row>
    <row r="746" spans="1:15" x14ac:dyDescent="0.2">
      <c r="A746">
        <v>772</v>
      </c>
      <c r="B746" t="s">
        <v>296</v>
      </c>
      <c r="C746" t="s">
        <v>11</v>
      </c>
      <c r="D746" s="48">
        <v>41274</v>
      </c>
      <c r="E746" s="3">
        <v>5580506000</v>
      </c>
      <c r="F746" s="3">
        <v>3440623000</v>
      </c>
      <c r="G746" s="3">
        <f>Project_Data_NYSE[[#This Row],[ Total Revenue ]]-Project_Data_NYSE[[#This Row],[ Cost of Goods Sold ]]</f>
        <v>2139883000</v>
      </c>
      <c r="H746" s="3">
        <v>1111232000</v>
      </c>
      <c r="I746" s="3">
        <v>0</v>
      </c>
      <c r="J746" s="3">
        <v>0</v>
      </c>
      <c r="K746" s="3">
        <f>Project_Data_NYSE[[#This Row],[Gross Profit]]-Project_Data_NYSE[[#This Row],[ Sales, General and Admin. ]]-Project_Data_NYSE[[#This Row],[ Research and Development ]]-Project_Data_NYSE[[#This Row],[ Other Operating Items ]]</f>
        <v>1028651000</v>
      </c>
      <c r="L746" t="s">
        <v>18</v>
      </c>
      <c r="M746" t="s">
        <v>297</v>
      </c>
      <c r="N746" s="31">
        <f>Project_Data_NYSE[[#This Row],[Gross Profit]]/Project_Data_NYSE[[#This Row],[ Total Revenue ]]</f>
        <v>0.38345680481304023</v>
      </c>
      <c r="O746" s="31">
        <f>Project_Data_NYSE[[#This Row],[Operating Profit]]/Project_Data_NYSE[[#This Row],[ Total Revenue ]]</f>
        <v>0.18432934217793154</v>
      </c>
    </row>
    <row r="747" spans="1:15" x14ac:dyDescent="0.2">
      <c r="A747">
        <v>773</v>
      </c>
      <c r="B747" t="s">
        <v>296</v>
      </c>
      <c r="C747" t="s">
        <v>14</v>
      </c>
      <c r="D747" s="48">
        <v>41639</v>
      </c>
      <c r="E747" s="3">
        <v>5899872000</v>
      </c>
      <c r="F747" s="3">
        <v>3621417000</v>
      </c>
      <c r="G747" s="3">
        <f>Project_Data_NYSE[[#This Row],[ Total Revenue ]]-Project_Data_NYSE[[#This Row],[ Cost of Goods Sold ]]</f>
        <v>2278455000</v>
      </c>
      <c r="H747" s="3">
        <v>1124753000</v>
      </c>
      <c r="I747" s="3">
        <v>0</v>
      </c>
      <c r="J747" s="3">
        <v>0</v>
      </c>
      <c r="K747" s="3">
        <f>Project_Data_NYSE[[#This Row],[Gross Profit]]-Project_Data_NYSE[[#This Row],[ Sales, General and Admin. ]]-Project_Data_NYSE[[#This Row],[ Research and Development ]]-Project_Data_NYSE[[#This Row],[ Other Operating Items ]]</f>
        <v>1153702000</v>
      </c>
      <c r="L747" t="s">
        <v>18</v>
      </c>
      <c r="M747" t="s">
        <v>297</v>
      </c>
      <c r="N747" s="31">
        <f>Project_Data_NYSE[[#This Row],[Gross Profit]]/Project_Data_NYSE[[#This Row],[ Total Revenue ]]</f>
        <v>0.38618719185772166</v>
      </c>
      <c r="O747" s="31">
        <f>Project_Data_NYSE[[#This Row],[Operating Profit]]/Project_Data_NYSE[[#This Row],[ Total Revenue ]]</f>
        <v>0.19554695423900723</v>
      </c>
    </row>
    <row r="748" spans="1:15" x14ac:dyDescent="0.2">
      <c r="A748">
        <v>774</v>
      </c>
      <c r="B748" t="s">
        <v>296</v>
      </c>
      <c r="C748" t="s">
        <v>15</v>
      </c>
      <c r="D748" s="48">
        <v>42004</v>
      </c>
      <c r="E748" s="3">
        <v>6228508000</v>
      </c>
      <c r="F748" s="3">
        <v>3788023000</v>
      </c>
      <c r="G748" s="3">
        <f>Project_Data_NYSE[[#This Row],[ Total Revenue ]]-Project_Data_NYSE[[#This Row],[ Cost of Goods Sold ]]</f>
        <v>2440485000</v>
      </c>
      <c r="H748" s="3">
        <v>1159502000</v>
      </c>
      <c r="I748" s="3">
        <v>0</v>
      </c>
      <c r="J748" s="3">
        <v>0</v>
      </c>
      <c r="K748" s="3">
        <f>Project_Data_NYSE[[#This Row],[Gross Profit]]-Project_Data_NYSE[[#This Row],[ Sales, General and Admin. ]]-Project_Data_NYSE[[#This Row],[ Research and Development ]]-Project_Data_NYSE[[#This Row],[ Other Operating Items ]]</f>
        <v>1280983000</v>
      </c>
      <c r="L748" t="s">
        <v>18</v>
      </c>
      <c r="M748" t="s">
        <v>297</v>
      </c>
      <c r="N748" s="31">
        <f>Project_Data_NYSE[[#This Row],[Gross Profit]]/Project_Data_NYSE[[#This Row],[ Total Revenue ]]</f>
        <v>0.39182497638278702</v>
      </c>
      <c r="O748" s="31">
        <f>Project_Data_NYSE[[#This Row],[Operating Profit]]/Project_Data_NYSE[[#This Row],[ Total Revenue ]]</f>
        <v>0.2056645026385131</v>
      </c>
    </row>
    <row r="749" spans="1:15" x14ac:dyDescent="0.2">
      <c r="A749">
        <v>775</v>
      </c>
      <c r="B749" t="s">
        <v>296</v>
      </c>
      <c r="C749" t="s">
        <v>16</v>
      </c>
      <c r="D749" s="48">
        <v>42369</v>
      </c>
      <c r="E749" s="3">
        <v>5995402000</v>
      </c>
      <c r="F749" s="3">
        <v>3619612000</v>
      </c>
      <c r="G749" s="3">
        <f>Project_Data_NYSE[[#This Row],[ Total Revenue ]]-Project_Data_NYSE[[#This Row],[ Cost of Goods Sold ]]</f>
        <v>2375790000</v>
      </c>
      <c r="H749" s="3">
        <v>1220095000</v>
      </c>
      <c r="I749" s="3">
        <v>0</v>
      </c>
      <c r="J749" s="3">
        <v>0</v>
      </c>
      <c r="K749" s="3">
        <f>Project_Data_NYSE[[#This Row],[Gross Profit]]-Project_Data_NYSE[[#This Row],[ Sales, General and Admin. ]]-Project_Data_NYSE[[#This Row],[ Research and Development ]]-Project_Data_NYSE[[#This Row],[ Other Operating Items ]]</f>
        <v>1155695000</v>
      </c>
      <c r="L749" t="s">
        <v>18</v>
      </c>
      <c r="M749" t="s">
        <v>297</v>
      </c>
      <c r="N749" s="31">
        <f>Project_Data_NYSE[[#This Row],[Gross Profit]]/Project_Data_NYSE[[#This Row],[ Total Revenue ]]</f>
        <v>0.39626867389376058</v>
      </c>
      <c r="O749" s="31">
        <f>Project_Data_NYSE[[#This Row],[Operating Profit]]/Project_Data_NYSE[[#This Row],[ Total Revenue ]]</f>
        <v>0.19276355447057594</v>
      </c>
    </row>
    <row r="750" spans="1:15" x14ac:dyDescent="0.2">
      <c r="A750">
        <v>952</v>
      </c>
      <c r="B750" t="s">
        <v>351</v>
      </c>
      <c r="C750" t="s">
        <v>14</v>
      </c>
      <c r="D750" s="48">
        <v>41639</v>
      </c>
      <c r="E750" s="3">
        <v>5808300000</v>
      </c>
      <c r="F750" s="3">
        <v>3585100000</v>
      </c>
      <c r="G750" s="3">
        <f>Project_Data_NYSE[[#This Row],[ Total Revenue ]]-Project_Data_NYSE[[#This Row],[ Cost of Goods Sold ]]</f>
        <v>2223200000</v>
      </c>
      <c r="H750" s="3">
        <v>1128800000</v>
      </c>
      <c r="I750" s="3">
        <v>0</v>
      </c>
      <c r="J750" s="3">
        <v>81700000</v>
      </c>
      <c r="K750" s="3">
        <f>Project_Data_NYSE[[#This Row],[Gross Profit]]-Project_Data_NYSE[[#This Row],[ Sales, General and Admin. ]]-Project_Data_NYSE[[#This Row],[ Research and Development ]]-Project_Data_NYSE[[#This Row],[ Other Operating Items ]]</f>
        <v>1012700000</v>
      </c>
      <c r="L750" t="s">
        <v>24</v>
      </c>
      <c r="M750" t="s">
        <v>198</v>
      </c>
      <c r="N750" s="31">
        <f>Project_Data_NYSE[[#This Row],[Gross Profit]]/Project_Data_NYSE[[#This Row],[ Total Revenue ]]</f>
        <v>0.38276259835063614</v>
      </c>
      <c r="O750" s="31">
        <f>Project_Data_NYSE[[#This Row],[Operating Profit]]/Project_Data_NYSE[[#This Row],[ Total Revenue ]]</f>
        <v>0.17435394177298005</v>
      </c>
    </row>
    <row r="751" spans="1:15" x14ac:dyDescent="0.2">
      <c r="A751">
        <v>829</v>
      </c>
      <c r="B751" t="s">
        <v>314</v>
      </c>
      <c r="C751" t="s">
        <v>15</v>
      </c>
      <c r="D751" s="48">
        <v>42004</v>
      </c>
      <c r="E751" s="3">
        <v>1485807000</v>
      </c>
      <c r="F751" s="3">
        <v>669691000</v>
      </c>
      <c r="G751" s="3">
        <f>Project_Data_NYSE[[#This Row],[ Total Revenue ]]-Project_Data_NYSE[[#This Row],[ Cost of Goods Sold ]]</f>
        <v>816116000</v>
      </c>
      <c r="H751" s="3">
        <v>457598000</v>
      </c>
      <c r="I751" s="3">
        <v>98263000</v>
      </c>
      <c r="J751" s="3">
        <v>0</v>
      </c>
      <c r="K751" s="3">
        <f>Project_Data_NYSE[[#This Row],[Gross Profit]]-Project_Data_NYSE[[#This Row],[ Sales, General and Admin. ]]-Project_Data_NYSE[[#This Row],[ Research and Development ]]-Project_Data_NYSE[[#This Row],[ Other Operating Items ]]</f>
        <v>260255000</v>
      </c>
      <c r="L751" t="s">
        <v>24</v>
      </c>
      <c r="M751" t="s">
        <v>29</v>
      </c>
      <c r="N751" s="31">
        <f>Project_Data_NYSE[[#This Row],[Gross Profit]]/Project_Data_NYSE[[#This Row],[ Total Revenue ]]</f>
        <v>0.54927456930812679</v>
      </c>
      <c r="O751" s="31">
        <f>Project_Data_NYSE[[#This Row],[Operating Profit]]/Project_Data_NYSE[[#This Row],[ Total Revenue ]]</f>
        <v>0.17516070391376537</v>
      </c>
    </row>
    <row r="752" spans="1:15" x14ac:dyDescent="0.2">
      <c r="A752">
        <v>288</v>
      </c>
      <c r="B752" t="s">
        <v>134</v>
      </c>
      <c r="C752" t="s">
        <v>15</v>
      </c>
      <c r="D752" s="48">
        <v>42371</v>
      </c>
      <c r="E752" s="3">
        <v>4425267000</v>
      </c>
      <c r="F752" s="3">
        <v>750781000</v>
      </c>
      <c r="G752" s="3">
        <f>Project_Data_NYSE[[#This Row],[ Total Revenue ]]-Project_Data_NYSE[[#This Row],[ Cost of Goods Sold ]]</f>
        <v>3674486000</v>
      </c>
      <c r="H752" s="3">
        <v>2262024000</v>
      </c>
      <c r="I752" s="3">
        <v>539799000</v>
      </c>
      <c r="J752" s="3">
        <v>91527000</v>
      </c>
      <c r="K752" s="3">
        <f>Project_Data_NYSE[[#This Row],[Gross Profit]]-Project_Data_NYSE[[#This Row],[ Sales, General and Admin. ]]-Project_Data_NYSE[[#This Row],[ Research and Development ]]-Project_Data_NYSE[[#This Row],[ Other Operating Items ]]</f>
        <v>781136000</v>
      </c>
      <c r="L752" t="s">
        <v>24</v>
      </c>
      <c r="M752" t="s">
        <v>135</v>
      </c>
      <c r="N752" s="31">
        <f>Project_Data_NYSE[[#This Row],[Gross Profit]]/Project_Data_NYSE[[#This Row],[ Total Revenue ]]</f>
        <v>0.83034221437938094</v>
      </c>
      <c r="O752" s="31">
        <f>Project_Data_NYSE[[#This Row],[Operating Profit]]/Project_Data_NYSE[[#This Row],[ Total Revenue ]]</f>
        <v>0.17651725873263693</v>
      </c>
    </row>
    <row r="753" spans="1:15" x14ac:dyDescent="0.2">
      <c r="A753">
        <v>1628</v>
      </c>
      <c r="B753" t="s">
        <v>535</v>
      </c>
      <c r="C753" t="s">
        <v>15</v>
      </c>
      <c r="D753" s="48">
        <v>42279</v>
      </c>
      <c r="E753" s="3">
        <v>3099100000</v>
      </c>
      <c r="F753" s="3">
        <v>1816400000</v>
      </c>
      <c r="G753" s="3">
        <f>Project_Data_NYSE[[#This Row],[ Total Revenue ]]-Project_Data_NYSE[[#This Row],[ Cost of Goods Sold ]]</f>
        <v>1282700000</v>
      </c>
      <c r="H753" s="3">
        <v>488500000</v>
      </c>
      <c r="I753" s="3">
        <v>245200000</v>
      </c>
      <c r="J753" s="3">
        <v>0</v>
      </c>
      <c r="K753" s="3">
        <f>Project_Data_NYSE[[#This Row],[Gross Profit]]-Project_Data_NYSE[[#This Row],[ Sales, General and Admin. ]]-Project_Data_NYSE[[#This Row],[ Research and Development ]]-Project_Data_NYSE[[#This Row],[ Other Operating Items ]]</f>
        <v>549000000</v>
      </c>
      <c r="L753" t="s">
        <v>24</v>
      </c>
      <c r="M753" t="s">
        <v>29</v>
      </c>
      <c r="N753" s="31">
        <f>Project_Data_NYSE[[#This Row],[Gross Profit]]/Project_Data_NYSE[[#This Row],[ Total Revenue ]]</f>
        <v>0.41389435642605915</v>
      </c>
      <c r="O753" s="31">
        <f>Project_Data_NYSE[[#This Row],[Operating Profit]]/Project_Data_NYSE[[#This Row],[ Total Revenue ]]</f>
        <v>0.17714820431738246</v>
      </c>
    </row>
    <row r="754" spans="1:15" x14ac:dyDescent="0.2">
      <c r="A754">
        <v>780</v>
      </c>
      <c r="B754" t="s">
        <v>299</v>
      </c>
      <c r="C754" t="s">
        <v>11</v>
      </c>
      <c r="D754" s="48">
        <v>41639</v>
      </c>
      <c r="E754" s="3">
        <v>39055000000</v>
      </c>
      <c r="F754" s="3">
        <v>28364000000</v>
      </c>
      <c r="G754" s="3">
        <f>Project_Data_NYSE[[#This Row],[ Total Revenue ]]-Project_Data_NYSE[[#This Row],[ Cost of Goods Sold ]]</f>
        <v>10691000000</v>
      </c>
      <c r="H754" s="3">
        <v>5190000000</v>
      </c>
      <c r="I754" s="3">
        <v>0</v>
      </c>
      <c r="J754" s="3">
        <v>0</v>
      </c>
      <c r="K754" s="3">
        <f>Project_Data_NYSE[[#This Row],[Gross Profit]]-Project_Data_NYSE[[#This Row],[ Sales, General and Admin. ]]-Project_Data_NYSE[[#This Row],[ Research and Development ]]-Project_Data_NYSE[[#This Row],[ Other Operating Items ]]</f>
        <v>5501000000</v>
      </c>
      <c r="L754" t="s">
        <v>12</v>
      </c>
      <c r="M754" t="s">
        <v>163</v>
      </c>
      <c r="N754" s="31">
        <f>Project_Data_NYSE[[#This Row],[Gross Profit]]/Project_Data_NYSE[[#This Row],[ Total Revenue ]]</f>
        <v>0.27374215849443095</v>
      </c>
      <c r="O754" s="31">
        <f>Project_Data_NYSE[[#This Row],[Operating Profit]]/Project_Data_NYSE[[#This Row],[ Total Revenue ]]</f>
        <v>0.14085264370759185</v>
      </c>
    </row>
    <row r="755" spans="1:15" x14ac:dyDescent="0.2">
      <c r="A755">
        <v>781</v>
      </c>
      <c r="B755" t="s">
        <v>299</v>
      </c>
      <c r="C755" t="s">
        <v>14</v>
      </c>
      <c r="D755" s="48">
        <v>42004</v>
      </c>
      <c r="E755" s="3">
        <v>40306000000</v>
      </c>
      <c r="F755" s="3">
        <v>28957000000</v>
      </c>
      <c r="G755" s="3">
        <f>Project_Data_NYSE[[#This Row],[ Total Revenue ]]-Project_Data_NYSE[[#This Row],[ Cost of Goods Sold ]]</f>
        <v>11349000000</v>
      </c>
      <c r="H755" s="3">
        <v>5518000000</v>
      </c>
      <c r="I755" s="3">
        <v>0</v>
      </c>
      <c r="J755" s="3">
        <v>0</v>
      </c>
      <c r="K755" s="3">
        <f>Project_Data_NYSE[[#This Row],[Gross Profit]]-Project_Data_NYSE[[#This Row],[ Sales, General and Admin. ]]-Project_Data_NYSE[[#This Row],[ Research and Development ]]-Project_Data_NYSE[[#This Row],[ Other Operating Items ]]</f>
        <v>5831000000</v>
      </c>
      <c r="L755" t="s">
        <v>12</v>
      </c>
      <c r="M755" t="s">
        <v>163</v>
      </c>
      <c r="N755" s="31">
        <f>Project_Data_NYSE[[#This Row],[Gross Profit]]/Project_Data_NYSE[[#This Row],[ Total Revenue ]]</f>
        <v>0.2815709819877934</v>
      </c>
      <c r="O755" s="31">
        <f>Project_Data_NYSE[[#This Row],[Operating Profit]]/Project_Data_NYSE[[#This Row],[ Total Revenue ]]</f>
        <v>0.14466828759986106</v>
      </c>
    </row>
    <row r="756" spans="1:15" x14ac:dyDescent="0.2">
      <c r="A756">
        <v>782</v>
      </c>
      <c r="B756" t="s">
        <v>299</v>
      </c>
      <c r="C756" t="s">
        <v>15</v>
      </c>
      <c r="D756" s="48">
        <v>42369</v>
      </c>
      <c r="E756" s="3">
        <v>38581000000</v>
      </c>
      <c r="F756" s="3">
        <v>26747000000</v>
      </c>
      <c r="G756" s="3">
        <f>Project_Data_NYSE[[#This Row],[ Total Revenue ]]-Project_Data_NYSE[[#This Row],[ Cost of Goods Sold ]]</f>
        <v>11834000000</v>
      </c>
      <c r="H756" s="3">
        <v>5006000000</v>
      </c>
      <c r="I756" s="3">
        <v>0</v>
      </c>
      <c r="J756" s="3">
        <v>0</v>
      </c>
      <c r="K756" s="3">
        <f>Project_Data_NYSE[[#This Row],[Gross Profit]]-Project_Data_NYSE[[#This Row],[ Sales, General and Admin. ]]-Project_Data_NYSE[[#This Row],[ Research and Development ]]-Project_Data_NYSE[[#This Row],[ Other Operating Items ]]</f>
        <v>6828000000</v>
      </c>
      <c r="L756" t="s">
        <v>12</v>
      </c>
      <c r="M756" t="s">
        <v>163</v>
      </c>
      <c r="N756" s="31">
        <f>Project_Data_NYSE[[#This Row],[Gross Profit]]/Project_Data_NYSE[[#This Row],[ Total Revenue ]]</f>
        <v>0.30673129260516835</v>
      </c>
      <c r="O756" s="31">
        <f>Project_Data_NYSE[[#This Row],[Operating Profit]]/Project_Data_NYSE[[#This Row],[ Total Revenue ]]</f>
        <v>0.17697830538347892</v>
      </c>
    </row>
    <row r="757" spans="1:15" x14ac:dyDescent="0.2">
      <c r="A757">
        <v>783</v>
      </c>
      <c r="B757" t="s">
        <v>299</v>
      </c>
      <c r="C757" t="s">
        <v>16</v>
      </c>
      <c r="D757" s="48">
        <v>42735</v>
      </c>
      <c r="E757" s="3">
        <v>39302000000</v>
      </c>
      <c r="F757" s="3">
        <v>27150000000</v>
      </c>
      <c r="G757" s="3">
        <f>Project_Data_NYSE[[#This Row],[ Total Revenue ]]-Project_Data_NYSE[[#This Row],[ Cost of Goods Sold ]]</f>
        <v>12152000000</v>
      </c>
      <c r="H757" s="3">
        <v>5469000000</v>
      </c>
      <c r="I757" s="3">
        <v>0</v>
      </c>
      <c r="J757" s="3">
        <v>0</v>
      </c>
      <c r="K757" s="3">
        <f>Project_Data_NYSE[[#This Row],[Gross Profit]]-Project_Data_NYSE[[#This Row],[ Sales, General and Admin. ]]-Project_Data_NYSE[[#This Row],[ Research and Development ]]-Project_Data_NYSE[[#This Row],[ Other Operating Items ]]</f>
        <v>6683000000</v>
      </c>
      <c r="L757" t="s">
        <v>12</v>
      </c>
      <c r="M757" t="s">
        <v>163</v>
      </c>
      <c r="N757" s="31">
        <f>Project_Data_NYSE[[#This Row],[Gross Profit]]/Project_Data_NYSE[[#This Row],[ Total Revenue ]]</f>
        <v>0.30919546079079946</v>
      </c>
      <c r="O757" s="31">
        <f>Project_Data_NYSE[[#This Row],[Operating Profit]]/Project_Data_NYSE[[#This Row],[ Total Revenue ]]</f>
        <v>0.17004223703628313</v>
      </c>
    </row>
    <row r="758" spans="1:15" x14ac:dyDescent="0.2">
      <c r="A758">
        <v>784</v>
      </c>
      <c r="B758" t="s">
        <v>300</v>
      </c>
      <c r="C758" t="s">
        <v>11</v>
      </c>
      <c r="D758" s="48">
        <v>41547</v>
      </c>
      <c r="E758" s="3">
        <v>3387614000</v>
      </c>
      <c r="F758" s="3">
        <v>1852768000</v>
      </c>
      <c r="G758" s="3">
        <f>Project_Data_NYSE[[#This Row],[ Total Revenue ]]-Project_Data_NYSE[[#This Row],[ Cost of Goods Sold ]]</f>
        <v>1534846000</v>
      </c>
      <c r="H758" s="3">
        <v>126250000</v>
      </c>
      <c r="I758" s="3">
        <v>15235000</v>
      </c>
      <c r="J758" s="3">
        <v>455623000</v>
      </c>
      <c r="K758" s="3">
        <f>Project_Data_NYSE[[#This Row],[Gross Profit]]-Project_Data_NYSE[[#This Row],[ Sales, General and Admin. ]]-Project_Data_NYSE[[#This Row],[ Research and Development ]]-Project_Data_NYSE[[#This Row],[ Other Operating Items ]]</f>
        <v>937738000</v>
      </c>
      <c r="L758" t="s">
        <v>82</v>
      </c>
      <c r="M758" t="s">
        <v>301</v>
      </c>
      <c r="N758" s="31">
        <f>Project_Data_NYSE[[#This Row],[Gross Profit]]/Project_Data_NYSE[[#This Row],[ Total Revenue ]]</f>
        <v>0.45307582268818114</v>
      </c>
      <c r="O758" s="31">
        <f>Project_Data_NYSE[[#This Row],[Operating Profit]]/Project_Data_NYSE[[#This Row],[ Total Revenue ]]</f>
        <v>0.27681371018067585</v>
      </c>
    </row>
    <row r="759" spans="1:15" x14ac:dyDescent="0.2">
      <c r="A759">
        <v>785</v>
      </c>
      <c r="B759" t="s">
        <v>300</v>
      </c>
      <c r="C759" t="s">
        <v>14</v>
      </c>
      <c r="D759" s="48">
        <v>41912</v>
      </c>
      <c r="E759" s="3">
        <v>3715968000</v>
      </c>
      <c r="F759" s="3">
        <v>2006715000</v>
      </c>
      <c r="G759" s="3">
        <f>Project_Data_NYSE[[#This Row],[ Total Revenue ]]-Project_Data_NYSE[[#This Row],[ Cost of Goods Sold ]]</f>
        <v>1709253000</v>
      </c>
      <c r="H759" s="3">
        <v>116190000</v>
      </c>
      <c r="I759" s="3">
        <v>15905000</v>
      </c>
      <c r="J759" s="3">
        <v>523984000</v>
      </c>
      <c r="K759" s="3">
        <f>Project_Data_NYSE[[#This Row],[Gross Profit]]-Project_Data_NYSE[[#This Row],[ Sales, General and Admin. ]]-Project_Data_NYSE[[#This Row],[ Research and Development ]]-Project_Data_NYSE[[#This Row],[ Other Operating Items ]]</f>
        <v>1053174000</v>
      </c>
      <c r="L759" t="s">
        <v>82</v>
      </c>
      <c r="M759" t="s">
        <v>301</v>
      </c>
      <c r="N759" s="31">
        <f>Project_Data_NYSE[[#This Row],[Gross Profit]]/Project_Data_NYSE[[#This Row],[ Total Revenue ]]</f>
        <v>0.45997516663222071</v>
      </c>
      <c r="O759" s="31">
        <f>Project_Data_NYSE[[#This Row],[Operating Profit]]/Project_Data_NYSE[[#This Row],[ Total Revenue ]]</f>
        <v>0.28341847938410664</v>
      </c>
    </row>
    <row r="760" spans="1:15" x14ac:dyDescent="0.2">
      <c r="A760">
        <v>786</v>
      </c>
      <c r="B760" t="s">
        <v>300</v>
      </c>
      <c r="C760" t="s">
        <v>15</v>
      </c>
      <c r="D760" s="48">
        <v>42277</v>
      </c>
      <c r="E760" s="3">
        <v>3161702000</v>
      </c>
      <c r="F760" s="3">
        <v>1703476000</v>
      </c>
      <c r="G760" s="3">
        <f>Project_Data_NYSE[[#This Row],[ Total Revenue ]]-Project_Data_NYSE[[#This Row],[ Cost of Goods Sold ]]</f>
        <v>1458226000</v>
      </c>
      <c r="H760" s="3">
        <v>122878000</v>
      </c>
      <c r="I760" s="3">
        <v>16104000</v>
      </c>
      <c r="J760" s="3">
        <v>608039000</v>
      </c>
      <c r="K760" s="3">
        <f>Project_Data_NYSE[[#This Row],[Gross Profit]]-Project_Data_NYSE[[#This Row],[ Sales, General and Admin. ]]-Project_Data_NYSE[[#This Row],[ Research and Development ]]-Project_Data_NYSE[[#This Row],[ Other Operating Items ]]</f>
        <v>711205000</v>
      </c>
      <c r="L760" t="s">
        <v>82</v>
      </c>
      <c r="M760" t="s">
        <v>301</v>
      </c>
      <c r="N760" s="31">
        <f>Project_Data_NYSE[[#This Row],[Gross Profit]]/Project_Data_NYSE[[#This Row],[ Total Revenue ]]</f>
        <v>0.46121550987411208</v>
      </c>
      <c r="O760" s="31">
        <f>Project_Data_NYSE[[#This Row],[Operating Profit]]/Project_Data_NYSE[[#This Row],[ Total Revenue ]]</f>
        <v>0.22494371702329949</v>
      </c>
    </row>
    <row r="761" spans="1:15" x14ac:dyDescent="0.2">
      <c r="A761">
        <v>787</v>
      </c>
      <c r="B761" t="s">
        <v>300</v>
      </c>
      <c r="C761" t="s">
        <v>16</v>
      </c>
      <c r="D761" s="48">
        <v>42643</v>
      </c>
      <c r="E761" s="3">
        <v>1624232000</v>
      </c>
      <c r="F761" s="3">
        <v>898805000</v>
      </c>
      <c r="G761" s="3">
        <f>Project_Data_NYSE[[#This Row],[ Total Revenue ]]-Project_Data_NYSE[[#This Row],[ Cost of Goods Sold ]]</f>
        <v>725427000</v>
      </c>
      <c r="H761" s="3">
        <v>136287000</v>
      </c>
      <c r="I761" s="3">
        <v>10269000</v>
      </c>
      <c r="J761" s="3">
        <v>598587000</v>
      </c>
      <c r="K761" s="3">
        <f>Project_Data_NYSE[[#This Row],[Gross Profit]]-Project_Data_NYSE[[#This Row],[ Sales, General and Admin. ]]-Project_Data_NYSE[[#This Row],[ Research and Development ]]-Project_Data_NYSE[[#This Row],[ Other Operating Items ]]</f>
        <v>-19716000</v>
      </c>
      <c r="L761" t="s">
        <v>82</v>
      </c>
      <c r="M761" t="s">
        <v>301</v>
      </c>
      <c r="N761" s="31">
        <f>Project_Data_NYSE[[#This Row],[Gross Profit]]/Project_Data_NYSE[[#This Row],[ Total Revenue ]]</f>
        <v>0.44662769850612472</v>
      </c>
      <c r="O761" s="31">
        <f>Project_Data_NYSE[[#This Row],[Operating Profit]]/Project_Data_NYSE[[#This Row],[ Total Revenue ]]</f>
        <v>-1.2138659994385039E-2</v>
      </c>
    </row>
    <row r="762" spans="1:15" x14ac:dyDescent="0.2">
      <c r="A762">
        <v>788</v>
      </c>
      <c r="B762" t="s">
        <v>302</v>
      </c>
      <c r="C762" t="s">
        <v>11</v>
      </c>
      <c r="D762" s="48">
        <v>41943</v>
      </c>
      <c r="E762" s="3">
        <v>55123000000</v>
      </c>
      <c r="F762" s="3">
        <v>39486000000</v>
      </c>
      <c r="G762" s="3">
        <f>Project_Data_NYSE[[#This Row],[ Total Revenue ]]-Project_Data_NYSE[[#This Row],[ Cost of Goods Sold ]]</f>
        <v>15637000000</v>
      </c>
      <c r="H762" s="3">
        <v>8717000000</v>
      </c>
      <c r="I762" s="3">
        <v>2197000000</v>
      </c>
      <c r="J762" s="3">
        <v>906000000</v>
      </c>
      <c r="K762" s="3">
        <f>Project_Data_NYSE[[#This Row],[Gross Profit]]-Project_Data_NYSE[[#This Row],[ Sales, General and Admin. ]]-Project_Data_NYSE[[#This Row],[ Research and Development ]]-Project_Data_NYSE[[#This Row],[ Other Operating Items ]]</f>
        <v>3817000000</v>
      </c>
      <c r="L762" t="s">
        <v>21</v>
      </c>
      <c r="M762" t="s">
        <v>303</v>
      </c>
      <c r="N762" s="31">
        <f>Project_Data_NYSE[[#This Row],[Gross Profit]]/Project_Data_NYSE[[#This Row],[ Total Revenue ]]</f>
        <v>0.28367469114525695</v>
      </c>
      <c r="O762" s="31">
        <f>Project_Data_NYSE[[#This Row],[Operating Profit]]/Project_Data_NYSE[[#This Row],[ Total Revenue ]]</f>
        <v>6.9245142680913599E-2</v>
      </c>
    </row>
    <row r="763" spans="1:15" x14ac:dyDescent="0.2">
      <c r="A763">
        <v>789</v>
      </c>
      <c r="B763" t="s">
        <v>302</v>
      </c>
      <c r="C763" t="s">
        <v>14</v>
      </c>
      <c r="D763" s="48">
        <v>42308</v>
      </c>
      <c r="E763" s="3">
        <v>52107000000</v>
      </c>
      <c r="F763" s="3">
        <v>37168000000</v>
      </c>
      <c r="G763" s="3">
        <f>Project_Data_NYSE[[#This Row],[ Total Revenue ]]-Project_Data_NYSE[[#This Row],[ Cost of Goods Sold ]]</f>
        <v>14939000000</v>
      </c>
      <c r="H763" s="3">
        <v>9047000000</v>
      </c>
      <c r="I763" s="3">
        <v>2338000000</v>
      </c>
      <c r="J763" s="3">
        <v>852000000</v>
      </c>
      <c r="K763" s="3">
        <f>Project_Data_NYSE[[#This Row],[Gross Profit]]-Project_Data_NYSE[[#This Row],[ Sales, General and Admin. ]]-Project_Data_NYSE[[#This Row],[ Research and Development ]]-Project_Data_NYSE[[#This Row],[ Other Operating Items ]]</f>
        <v>2702000000</v>
      </c>
      <c r="L763" t="s">
        <v>21</v>
      </c>
      <c r="M763" t="s">
        <v>303</v>
      </c>
      <c r="N763" s="31">
        <f>Project_Data_NYSE[[#This Row],[Gross Profit]]/Project_Data_NYSE[[#This Row],[ Total Revenue ]]</f>
        <v>0.28669852419060776</v>
      </c>
      <c r="O763" s="31">
        <f>Project_Data_NYSE[[#This Row],[Operating Profit]]/Project_Data_NYSE[[#This Row],[ Total Revenue ]]</f>
        <v>5.1854837161993593E-2</v>
      </c>
    </row>
    <row r="764" spans="1:15" x14ac:dyDescent="0.2">
      <c r="A764">
        <v>790</v>
      </c>
      <c r="B764" t="s">
        <v>302</v>
      </c>
      <c r="C764" t="s">
        <v>15</v>
      </c>
      <c r="D764" s="48">
        <v>42674</v>
      </c>
      <c r="E764" s="3">
        <v>50123000000</v>
      </c>
      <c r="F764" s="3">
        <v>35507000000</v>
      </c>
      <c r="G764" s="3">
        <f>Project_Data_NYSE[[#This Row],[ Total Revenue ]]-Project_Data_NYSE[[#This Row],[ Cost of Goods Sold ]]</f>
        <v>14616000000</v>
      </c>
      <c r="H764" s="3">
        <v>8419000000</v>
      </c>
      <c r="I764" s="3">
        <v>2298000000</v>
      </c>
      <c r="J764" s="3">
        <v>755000000</v>
      </c>
      <c r="K764" s="3">
        <f>Project_Data_NYSE[[#This Row],[Gross Profit]]-Project_Data_NYSE[[#This Row],[ Sales, General and Admin. ]]-Project_Data_NYSE[[#This Row],[ Research and Development ]]-Project_Data_NYSE[[#This Row],[ Other Operating Items ]]</f>
        <v>3144000000</v>
      </c>
      <c r="L764" t="s">
        <v>21</v>
      </c>
      <c r="M764" t="s">
        <v>303</v>
      </c>
      <c r="N764" s="31">
        <f>Project_Data_NYSE[[#This Row],[Gross Profit]]/Project_Data_NYSE[[#This Row],[ Total Revenue ]]</f>
        <v>0.29160265746264191</v>
      </c>
      <c r="O764" s="31">
        <f>Project_Data_NYSE[[#This Row],[Operating Profit]]/Project_Data_NYSE[[#This Row],[ Total Revenue ]]</f>
        <v>6.2725694790814593E-2</v>
      </c>
    </row>
    <row r="765" spans="1:15" x14ac:dyDescent="0.2">
      <c r="A765">
        <v>791</v>
      </c>
      <c r="B765" t="s">
        <v>304</v>
      </c>
      <c r="C765" t="s">
        <v>11</v>
      </c>
      <c r="D765" s="48">
        <v>41578</v>
      </c>
      <c r="E765" s="3">
        <v>112298000000</v>
      </c>
      <c r="F765" s="3">
        <v>86380000000</v>
      </c>
      <c r="G765" s="3">
        <f>Project_Data_NYSE[[#This Row],[ Total Revenue ]]-Project_Data_NYSE[[#This Row],[ Cost of Goods Sold ]]</f>
        <v>25918000000</v>
      </c>
      <c r="H765" s="3">
        <v>13267000000</v>
      </c>
      <c r="I765" s="3">
        <v>3135000000</v>
      </c>
      <c r="J765" s="3">
        <v>1373000000</v>
      </c>
      <c r="K765" s="3">
        <f>Project_Data_NYSE[[#This Row],[Gross Profit]]-Project_Data_NYSE[[#This Row],[ Sales, General and Admin. ]]-Project_Data_NYSE[[#This Row],[ Research and Development ]]-Project_Data_NYSE[[#This Row],[ Other Operating Items ]]</f>
        <v>8143000000</v>
      </c>
      <c r="L765" t="s">
        <v>21</v>
      </c>
      <c r="M765" t="s">
        <v>22</v>
      </c>
      <c r="N765" s="31">
        <f>Project_Data_NYSE[[#This Row],[Gross Profit]]/Project_Data_NYSE[[#This Row],[ Total Revenue ]]</f>
        <v>0.2307966303941299</v>
      </c>
      <c r="O765" s="31">
        <f>Project_Data_NYSE[[#This Row],[Operating Profit]]/Project_Data_NYSE[[#This Row],[ Total Revenue ]]</f>
        <v>7.2512422304938651E-2</v>
      </c>
    </row>
    <row r="766" spans="1:15" x14ac:dyDescent="0.2">
      <c r="A766">
        <v>792</v>
      </c>
      <c r="B766" t="s">
        <v>304</v>
      </c>
      <c r="C766" t="s">
        <v>14</v>
      </c>
      <c r="D766" s="48">
        <v>41943</v>
      </c>
      <c r="E766" s="3">
        <v>56651000000</v>
      </c>
      <c r="F766" s="3">
        <v>45431000000</v>
      </c>
      <c r="G766" s="3">
        <f>Project_Data_NYSE[[#This Row],[ Total Revenue ]]-Project_Data_NYSE[[#This Row],[ Cost of Goods Sold ]]</f>
        <v>11220000000</v>
      </c>
      <c r="H766" s="3">
        <v>5361000000</v>
      </c>
      <c r="I766" s="3">
        <v>1298000000</v>
      </c>
      <c r="J766" s="3">
        <v>129000000</v>
      </c>
      <c r="K766" s="3">
        <f>Project_Data_NYSE[[#This Row],[Gross Profit]]-Project_Data_NYSE[[#This Row],[ Sales, General and Admin. ]]-Project_Data_NYSE[[#This Row],[ Research and Development ]]-Project_Data_NYSE[[#This Row],[ Other Operating Items ]]</f>
        <v>4432000000</v>
      </c>
      <c r="L766" t="s">
        <v>21</v>
      </c>
      <c r="M766" t="s">
        <v>22</v>
      </c>
      <c r="N766" s="31">
        <f>Project_Data_NYSE[[#This Row],[Gross Profit]]/Project_Data_NYSE[[#This Row],[ Total Revenue ]]</f>
        <v>0.19805475631498121</v>
      </c>
      <c r="O766" s="31">
        <f>Project_Data_NYSE[[#This Row],[Operating Profit]]/Project_Data_NYSE[[#This Row],[ Total Revenue ]]</f>
        <v>7.8233393938324125E-2</v>
      </c>
    </row>
    <row r="767" spans="1:15" x14ac:dyDescent="0.2">
      <c r="A767">
        <v>793</v>
      </c>
      <c r="B767" t="s">
        <v>304</v>
      </c>
      <c r="C767" t="s">
        <v>15</v>
      </c>
      <c r="D767" s="48">
        <v>42308</v>
      </c>
      <c r="E767" s="3">
        <v>51463000000</v>
      </c>
      <c r="F767" s="3">
        <v>41524000000</v>
      </c>
      <c r="G767" s="3">
        <f>Project_Data_NYSE[[#This Row],[ Total Revenue ]]-Project_Data_NYSE[[#This Row],[ Cost of Goods Sold ]]</f>
        <v>9939000000</v>
      </c>
      <c r="H767" s="3">
        <v>4663000000</v>
      </c>
      <c r="I767" s="3">
        <v>1191000000</v>
      </c>
      <c r="J767" s="3">
        <v>102000000</v>
      </c>
      <c r="K767" s="3">
        <f>Project_Data_NYSE[[#This Row],[Gross Profit]]-Project_Data_NYSE[[#This Row],[ Sales, General and Admin. ]]-Project_Data_NYSE[[#This Row],[ Research and Development ]]-Project_Data_NYSE[[#This Row],[ Other Operating Items ]]</f>
        <v>3983000000</v>
      </c>
      <c r="L767" t="s">
        <v>21</v>
      </c>
      <c r="M767" t="s">
        <v>22</v>
      </c>
      <c r="N767" s="31">
        <f>Project_Data_NYSE[[#This Row],[Gross Profit]]/Project_Data_NYSE[[#This Row],[ Total Revenue ]]</f>
        <v>0.19312904416765442</v>
      </c>
      <c r="O767" s="31">
        <f>Project_Data_NYSE[[#This Row],[Operating Profit]]/Project_Data_NYSE[[#This Row],[ Total Revenue ]]</f>
        <v>7.7395410294774883E-2</v>
      </c>
    </row>
    <row r="768" spans="1:15" x14ac:dyDescent="0.2">
      <c r="A768">
        <v>794</v>
      </c>
      <c r="B768" t="s">
        <v>304</v>
      </c>
      <c r="C768" t="s">
        <v>16</v>
      </c>
      <c r="D768" s="48">
        <v>42674</v>
      </c>
      <c r="E768" s="3">
        <v>48238000000</v>
      </c>
      <c r="F768" s="3">
        <v>39240000000</v>
      </c>
      <c r="G768" s="3">
        <f>Project_Data_NYSE[[#This Row],[ Total Revenue ]]-Project_Data_NYSE[[#This Row],[ Cost of Goods Sold ]]</f>
        <v>8998000000</v>
      </c>
      <c r="H768" s="3">
        <v>4019000000</v>
      </c>
      <c r="I768" s="3">
        <v>1209000000</v>
      </c>
      <c r="J768" s="3">
        <v>16000000</v>
      </c>
      <c r="K768" s="3">
        <f>Project_Data_NYSE[[#This Row],[Gross Profit]]-Project_Data_NYSE[[#This Row],[ Sales, General and Admin. ]]-Project_Data_NYSE[[#This Row],[ Research and Development ]]-Project_Data_NYSE[[#This Row],[ Other Operating Items ]]</f>
        <v>3754000000</v>
      </c>
      <c r="L768" t="s">
        <v>21</v>
      </c>
      <c r="M768" t="s">
        <v>22</v>
      </c>
      <c r="N768" s="31">
        <f>Project_Data_NYSE[[#This Row],[Gross Profit]]/Project_Data_NYSE[[#This Row],[ Total Revenue ]]</f>
        <v>0.18653343836809155</v>
      </c>
      <c r="O768" s="31">
        <f>Project_Data_NYSE[[#This Row],[Operating Profit]]/Project_Data_NYSE[[#This Row],[ Total Revenue ]]</f>
        <v>7.7822463617894605E-2</v>
      </c>
    </row>
    <row r="769" spans="1:15" x14ac:dyDescent="0.2">
      <c r="A769">
        <v>795</v>
      </c>
      <c r="B769" t="s">
        <v>305</v>
      </c>
      <c r="C769" t="s">
        <v>11</v>
      </c>
      <c r="D769" s="48">
        <v>41394</v>
      </c>
      <c r="E769" s="3">
        <v>2807114000</v>
      </c>
      <c r="F769" s="3">
        <v>1123773000</v>
      </c>
      <c r="G769" s="3">
        <f>Project_Data_NYSE[[#This Row],[ Total Revenue ]]-Project_Data_NYSE[[#This Row],[ Cost of Goods Sold ]]</f>
        <v>1683341000</v>
      </c>
      <c r="H769" s="3">
        <v>828095000</v>
      </c>
      <c r="I769" s="3">
        <v>0</v>
      </c>
      <c r="J769" s="3">
        <v>92407000</v>
      </c>
      <c r="K769" s="3">
        <f>Project_Data_NYSE[[#This Row],[Gross Profit]]-Project_Data_NYSE[[#This Row],[ Sales, General and Admin. ]]-Project_Data_NYSE[[#This Row],[ Research and Development ]]-Project_Data_NYSE[[#This Row],[ Other Operating Items ]]</f>
        <v>762839000</v>
      </c>
      <c r="L769" t="s">
        <v>46</v>
      </c>
      <c r="M769" t="s">
        <v>99</v>
      </c>
      <c r="N769" s="31">
        <f>Project_Data_NYSE[[#This Row],[Gross Profit]]/Project_Data_NYSE[[#This Row],[ Total Revenue ]]</f>
        <v>0.59966962510250743</v>
      </c>
      <c r="O769" s="31">
        <f>Project_Data_NYSE[[#This Row],[Operating Profit]]/Project_Data_NYSE[[#This Row],[ Total Revenue ]]</f>
        <v>0.27175205566998706</v>
      </c>
    </row>
    <row r="770" spans="1:15" x14ac:dyDescent="0.2">
      <c r="A770">
        <v>796</v>
      </c>
      <c r="B770" t="s">
        <v>305</v>
      </c>
      <c r="C770" t="s">
        <v>14</v>
      </c>
      <c r="D770" s="48">
        <v>41759</v>
      </c>
      <c r="E770" s="3">
        <v>3024295000</v>
      </c>
      <c r="F770" s="3">
        <v>1179405000</v>
      </c>
      <c r="G770" s="3">
        <f>Project_Data_NYSE[[#This Row],[ Total Revenue ]]-Project_Data_NYSE[[#This Row],[ Cost of Goods Sold ]]</f>
        <v>1844890000</v>
      </c>
      <c r="H770" s="3">
        <v>830789000</v>
      </c>
      <c r="I770" s="3">
        <v>0</v>
      </c>
      <c r="J770" s="3">
        <v>115604000</v>
      </c>
      <c r="K770" s="3">
        <f>Project_Data_NYSE[[#This Row],[Gross Profit]]-Project_Data_NYSE[[#This Row],[ Sales, General and Admin. ]]-Project_Data_NYSE[[#This Row],[ Research and Development ]]-Project_Data_NYSE[[#This Row],[ Other Operating Items ]]</f>
        <v>898497000</v>
      </c>
      <c r="L770" t="s">
        <v>46</v>
      </c>
      <c r="M770" t="s">
        <v>99</v>
      </c>
      <c r="N770" s="31">
        <f>Project_Data_NYSE[[#This Row],[Gross Profit]]/Project_Data_NYSE[[#This Row],[ Total Revenue ]]</f>
        <v>0.61002316242297794</v>
      </c>
      <c r="O770" s="31">
        <f>Project_Data_NYSE[[#This Row],[Operating Profit]]/Project_Data_NYSE[[#This Row],[ Total Revenue ]]</f>
        <v>0.2970930415187672</v>
      </c>
    </row>
    <row r="771" spans="1:15" x14ac:dyDescent="0.2">
      <c r="A771">
        <v>797</v>
      </c>
      <c r="B771" t="s">
        <v>305</v>
      </c>
      <c r="C771" t="s">
        <v>15</v>
      </c>
      <c r="D771" s="48">
        <v>42124</v>
      </c>
      <c r="E771" s="3">
        <v>3078658000</v>
      </c>
      <c r="F771" s="3">
        <v>1231104000</v>
      </c>
      <c r="G771" s="3">
        <f>Project_Data_NYSE[[#This Row],[ Total Revenue ]]-Project_Data_NYSE[[#This Row],[ Cost of Goods Sold ]]</f>
        <v>1847554000</v>
      </c>
      <c r="H771" s="3">
        <v>818091000</v>
      </c>
      <c r="I771" s="3">
        <v>0</v>
      </c>
      <c r="J771" s="3">
        <v>159804000</v>
      </c>
      <c r="K771" s="3">
        <f>Project_Data_NYSE[[#This Row],[Gross Profit]]-Project_Data_NYSE[[#This Row],[ Sales, General and Admin. ]]-Project_Data_NYSE[[#This Row],[ Research and Development ]]-Project_Data_NYSE[[#This Row],[ Other Operating Items ]]</f>
        <v>869659000</v>
      </c>
      <c r="L771" t="s">
        <v>46</v>
      </c>
      <c r="M771" t="s">
        <v>99</v>
      </c>
      <c r="N771" s="31">
        <f>Project_Data_NYSE[[#This Row],[Gross Profit]]/Project_Data_NYSE[[#This Row],[ Total Revenue ]]</f>
        <v>0.60011667421324488</v>
      </c>
      <c r="O771" s="31">
        <f>Project_Data_NYSE[[#This Row],[Operating Profit]]/Project_Data_NYSE[[#This Row],[ Total Revenue ]]</f>
        <v>0.28247989870911289</v>
      </c>
    </row>
    <row r="772" spans="1:15" x14ac:dyDescent="0.2">
      <c r="A772">
        <v>798</v>
      </c>
      <c r="B772" t="s">
        <v>305</v>
      </c>
      <c r="C772" t="s">
        <v>16</v>
      </c>
      <c r="D772" s="48">
        <v>42490</v>
      </c>
      <c r="E772" s="3">
        <v>3038153000</v>
      </c>
      <c r="F772" s="3">
        <v>1250320000</v>
      </c>
      <c r="G772" s="3">
        <f>Project_Data_NYSE[[#This Row],[ Total Revenue ]]-Project_Data_NYSE[[#This Row],[ Cost of Goods Sold ]]</f>
        <v>1787833000</v>
      </c>
      <c r="H772" s="3">
        <v>905648000</v>
      </c>
      <c r="I772" s="3">
        <v>0</v>
      </c>
      <c r="J772" s="3">
        <v>173598000</v>
      </c>
      <c r="K772" s="3">
        <f>Project_Data_NYSE[[#This Row],[Gross Profit]]-Project_Data_NYSE[[#This Row],[ Sales, General and Admin. ]]-Project_Data_NYSE[[#This Row],[ Research and Development ]]-Project_Data_NYSE[[#This Row],[ Other Operating Items ]]</f>
        <v>708587000</v>
      </c>
      <c r="L772" t="s">
        <v>46</v>
      </c>
      <c r="M772" t="s">
        <v>99</v>
      </c>
      <c r="N772" s="31">
        <f>Project_Data_NYSE[[#This Row],[Gross Profit]]/Project_Data_NYSE[[#This Row],[ Total Revenue ]]</f>
        <v>0.58846048898788184</v>
      </c>
      <c r="O772" s="31">
        <f>Project_Data_NYSE[[#This Row],[Operating Profit]]/Project_Data_NYSE[[#This Row],[ Total Revenue ]]</f>
        <v>0.23322953123163975</v>
      </c>
    </row>
    <row r="773" spans="1:15" x14ac:dyDescent="0.2">
      <c r="A773">
        <v>799</v>
      </c>
      <c r="B773" t="s">
        <v>306</v>
      </c>
      <c r="C773" t="s">
        <v>11</v>
      </c>
      <c r="D773" s="48">
        <v>41574</v>
      </c>
      <c r="E773" s="3">
        <v>8751654000</v>
      </c>
      <c r="F773" s="3">
        <v>7338838000</v>
      </c>
      <c r="G773" s="3">
        <f>Project_Data_NYSE[[#This Row],[ Total Revenue ]]-Project_Data_NYSE[[#This Row],[ Cost of Goods Sold ]]</f>
        <v>1412816000</v>
      </c>
      <c r="H773" s="3">
        <v>627340000</v>
      </c>
      <c r="I773" s="3">
        <v>0</v>
      </c>
      <c r="J773" s="3">
        <v>0</v>
      </c>
      <c r="K773" s="3">
        <f>Project_Data_NYSE[[#This Row],[Gross Profit]]-Project_Data_NYSE[[#This Row],[ Sales, General and Admin. ]]-Project_Data_NYSE[[#This Row],[ Research and Development ]]-Project_Data_NYSE[[#This Row],[ Other Operating Items ]]</f>
        <v>785476000</v>
      </c>
      <c r="L773" t="s">
        <v>35</v>
      </c>
      <c r="M773" t="s">
        <v>123</v>
      </c>
      <c r="N773" s="31">
        <f>Project_Data_NYSE[[#This Row],[Gross Profit]]/Project_Data_NYSE[[#This Row],[ Total Revenue ]]</f>
        <v>0.16143417004374258</v>
      </c>
      <c r="O773" s="31">
        <f>Project_Data_NYSE[[#This Row],[Operating Profit]]/Project_Data_NYSE[[#This Row],[ Total Revenue ]]</f>
        <v>8.9751720074856711E-2</v>
      </c>
    </row>
    <row r="774" spans="1:15" x14ac:dyDescent="0.2">
      <c r="A774">
        <v>800</v>
      </c>
      <c r="B774" t="s">
        <v>306</v>
      </c>
      <c r="C774" t="s">
        <v>14</v>
      </c>
      <c r="D774" s="48">
        <v>41938</v>
      </c>
      <c r="E774" s="3">
        <v>9316256000</v>
      </c>
      <c r="F774" s="3">
        <v>7751273000</v>
      </c>
      <c r="G774" s="3">
        <f>Project_Data_NYSE[[#This Row],[ Total Revenue ]]-Project_Data_NYSE[[#This Row],[ Cost of Goods Sold ]]</f>
        <v>1564983000</v>
      </c>
      <c r="H774" s="3">
        <v>650948000</v>
      </c>
      <c r="I774" s="3">
        <v>0</v>
      </c>
      <c r="J774" s="3">
        <v>0</v>
      </c>
      <c r="K774" s="3">
        <f>Project_Data_NYSE[[#This Row],[Gross Profit]]-Project_Data_NYSE[[#This Row],[ Sales, General and Admin. ]]-Project_Data_NYSE[[#This Row],[ Research and Development ]]-Project_Data_NYSE[[#This Row],[ Other Operating Items ]]</f>
        <v>914035000</v>
      </c>
      <c r="L774" t="s">
        <v>35</v>
      </c>
      <c r="M774" t="s">
        <v>123</v>
      </c>
      <c r="N774" s="31">
        <f>Project_Data_NYSE[[#This Row],[Gross Profit]]/Project_Data_NYSE[[#This Row],[ Total Revenue ]]</f>
        <v>0.16798411293120327</v>
      </c>
      <c r="O774" s="31">
        <f>Project_Data_NYSE[[#This Row],[Operating Profit]]/Project_Data_NYSE[[#This Row],[ Total Revenue ]]</f>
        <v>9.8111838060267992E-2</v>
      </c>
    </row>
    <row r="775" spans="1:15" x14ac:dyDescent="0.2">
      <c r="A775">
        <v>801</v>
      </c>
      <c r="B775" t="s">
        <v>306</v>
      </c>
      <c r="C775" t="s">
        <v>15</v>
      </c>
      <c r="D775" s="48">
        <v>42308</v>
      </c>
      <c r="E775" s="3">
        <v>9263863000</v>
      </c>
      <c r="F775" s="3">
        <v>7455282000</v>
      </c>
      <c r="G775" s="3">
        <f>Project_Data_NYSE[[#This Row],[ Total Revenue ]]-Project_Data_NYSE[[#This Row],[ Cost of Goods Sold ]]</f>
        <v>1808581000</v>
      </c>
      <c r="H775" s="3">
        <v>743611000</v>
      </c>
      <c r="I775" s="3">
        <v>0</v>
      </c>
      <c r="J775" s="3">
        <v>0</v>
      </c>
      <c r="K775" s="3">
        <f>Project_Data_NYSE[[#This Row],[Gross Profit]]-Project_Data_NYSE[[#This Row],[ Sales, General and Admin. ]]-Project_Data_NYSE[[#This Row],[ Research and Development ]]-Project_Data_NYSE[[#This Row],[ Other Operating Items ]]</f>
        <v>1064970000</v>
      </c>
      <c r="L775" t="s">
        <v>35</v>
      </c>
      <c r="M775" t="s">
        <v>123</v>
      </c>
      <c r="N775" s="31">
        <f>Project_Data_NYSE[[#This Row],[Gross Profit]]/Project_Data_NYSE[[#This Row],[ Total Revenue ]]</f>
        <v>0.19522967902267122</v>
      </c>
      <c r="O775" s="31">
        <f>Project_Data_NYSE[[#This Row],[Operating Profit]]/Project_Data_NYSE[[#This Row],[ Total Revenue ]]</f>
        <v>0.11495960162623303</v>
      </c>
    </row>
    <row r="776" spans="1:15" x14ac:dyDescent="0.2">
      <c r="A776">
        <v>802</v>
      </c>
      <c r="B776" t="s">
        <v>306</v>
      </c>
      <c r="C776" t="s">
        <v>16</v>
      </c>
      <c r="D776" s="48">
        <v>42673</v>
      </c>
      <c r="E776" s="3">
        <v>9523224000</v>
      </c>
      <c r="F776" s="3">
        <v>7365049000</v>
      </c>
      <c r="G776" s="3">
        <f>Project_Data_NYSE[[#This Row],[ Total Revenue ]]-Project_Data_NYSE[[#This Row],[ Cost of Goods Sold ]]</f>
        <v>2158175000</v>
      </c>
      <c r="H776" s="3">
        <v>871974000</v>
      </c>
      <c r="I776" s="3">
        <v>0</v>
      </c>
      <c r="J776" s="3">
        <v>0</v>
      </c>
      <c r="K776" s="3">
        <f>Project_Data_NYSE[[#This Row],[Gross Profit]]-Project_Data_NYSE[[#This Row],[ Sales, General and Admin. ]]-Project_Data_NYSE[[#This Row],[ Research and Development ]]-Project_Data_NYSE[[#This Row],[ Other Operating Items ]]</f>
        <v>1286201000</v>
      </c>
      <c r="L776" t="s">
        <v>35</v>
      </c>
      <c r="M776" t="s">
        <v>123</v>
      </c>
      <c r="N776" s="31">
        <f>Project_Data_NYSE[[#This Row],[Gross Profit]]/Project_Data_NYSE[[#This Row],[ Total Revenue ]]</f>
        <v>0.22662230773947983</v>
      </c>
      <c r="O776" s="31">
        <f>Project_Data_NYSE[[#This Row],[Operating Profit]]/Project_Data_NYSE[[#This Row],[ Total Revenue ]]</f>
        <v>0.13505940845243167</v>
      </c>
    </row>
    <row r="777" spans="1:15" x14ac:dyDescent="0.2">
      <c r="A777">
        <v>803</v>
      </c>
      <c r="B777" t="s">
        <v>307</v>
      </c>
      <c r="C777" t="s">
        <v>11</v>
      </c>
      <c r="D777" s="48">
        <v>41453</v>
      </c>
      <c r="E777" s="3">
        <v>5112000000</v>
      </c>
      <c r="F777" s="3">
        <v>3385000000</v>
      </c>
      <c r="G777" s="3">
        <f>Project_Data_NYSE[[#This Row],[ Total Revenue ]]-Project_Data_NYSE[[#This Row],[ Cost of Goods Sold ]]</f>
        <v>1727000000</v>
      </c>
      <c r="H777" s="3">
        <v>914000000</v>
      </c>
      <c r="I777" s="3">
        <v>0</v>
      </c>
      <c r="J777" s="3">
        <v>0</v>
      </c>
      <c r="K777" s="3">
        <f>Project_Data_NYSE[[#This Row],[Gross Profit]]-Project_Data_NYSE[[#This Row],[ Sales, General and Admin. ]]-Project_Data_NYSE[[#This Row],[ Research and Development ]]-Project_Data_NYSE[[#This Row],[ Other Operating Items ]]</f>
        <v>813000000</v>
      </c>
      <c r="L777" t="s">
        <v>21</v>
      </c>
      <c r="M777" t="s">
        <v>308</v>
      </c>
      <c r="N777" s="31">
        <f>Project_Data_NYSE[[#This Row],[Gross Profit]]/Project_Data_NYSE[[#This Row],[ Total Revenue ]]</f>
        <v>0.33783255086071989</v>
      </c>
      <c r="O777" s="31">
        <f>Project_Data_NYSE[[#This Row],[Operating Profit]]/Project_Data_NYSE[[#This Row],[ Total Revenue ]]</f>
        <v>0.159037558685446</v>
      </c>
    </row>
    <row r="778" spans="1:15" x14ac:dyDescent="0.2">
      <c r="A778">
        <v>804</v>
      </c>
      <c r="B778" t="s">
        <v>307</v>
      </c>
      <c r="C778" t="s">
        <v>14</v>
      </c>
      <c r="D778" s="48">
        <v>41817</v>
      </c>
      <c r="E778" s="3">
        <v>5012000000</v>
      </c>
      <c r="F778" s="3">
        <v>3310000000</v>
      </c>
      <c r="G778" s="3">
        <f>Project_Data_NYSE[[#This Row],[ Total Revenue ]]-Project_Data_NYSE[[#This Row],[ Cost of Goods Sold ]]</f>
        <v>1702000000</v>
      </c>
      <c r="H778" s="3">
        <v>820000000</v>
      </c>
      <c r="I778" s="3">
        <v>0</v>
      </c>
      <c r="J778" s="3">
        <v>0</v>
      </c>
      <c r="K778" s="3">
        <f>Project_Data_NYSE[[#This Row],[Gross Profit]]-Project_Data_NYSE[[#This Row],[ Sales, General and Admin. ]]-Project_Data_NYSE[[#This Row],[ Research and Development ]]-Project_Data_NYSE[[#This Row],[ Other Operating Items ]]</f>
        <v>882000000</v>
      </c>
      <c r="L778" t="s">
        <v>21</v>
      </c>
      <c r="M778" t="s">
        <v>308</v>
      </c>
      <c r="N778" s="31">
        <f>Project_Data_NYSE[[#This Row],[Gross Profit]]/Project_Data_NYSE[[#This Row],[ Total Revenue ]]</f>
        <v>0.33958499600957703</v>
      </c>
      <c r="O778" s="31">
        <f>Project_Data_NYSE[[#This Row],[Operating Profit]]/Project_Data_NYSE[[#This Row],[ Total Revenue ]]</f>
        <v>0.17597765363128492</v>
      </c>
    </row>
    <row r="779" spans="1:15" x14ac:dyDescent="0.2">
      <c r="A779">
        <v>805</v>
      </c>
      <c r="B779" t="s">
        <v>307</v>
      </c>
      <c r="C779" t="s">
        <v>15</v>
      </c>
      <c r="D779" s="48">
        <v>42188</v>
      </c>
      <c r="E779" s="3">
        <v>5083000000</v>
      </c>
      <c r="F779" s="3">
        <v>3348000000</v>
      </c>
      <c r="G779" s="3">
        <f>Project_Data_NYSE[[#This Row],[ Total Revenue ]]-Project_Data_NYSE[[#This Row],[ Cost of Goods Sold ]]</f>
        <v>1735000000</v>
      </c>
      <c r="H779" s="3">
        <v>976000000</v>
      </c>
      <c r="I779" s="3">
        <v>0</v>
      </c>
      <c r="J779" s="3">
        <v>0</v>
      </c>
      <c r="K779" s="3">
        <f>Project_Data_NYSE[[#This Row],[Gross Profit]]-Project_Data_NYSE[[#This Row],[ Sales, General and Admin. ]]-Project_Data_NYSE[[#This Row],[ Research and Development ]]-Project_Data_NYSE[[#This Row],[ Other Operating Items ]]</f>
        <v>759000000</v>
      </c>
      <c r="L779" t="s">
        <v>21</v>
      </c>
      <c r="M779" t="s">
        <v>308</v>
      </c>
      <c r="N779" s="31">
        <f>Project_Data_NYSE[[#This Row],[Gross Profit]]/Project_Data_NYSE[[#This Row],[ Total Revenue ]]</f>
        <v>0.34133385795789889</v>
      </c>
      <c r="O779" s="31">
        <f>Project_Data_NYSE[[#This Row],[Operating Profit]]/Project_Data_NYSE[[#This Row],[ Total Revenue ]]</f>
        <v>0.14932126696832579</v>
      </c>
    </row>
    <row r="780" spans="1:15" x14ac:dyDescent="0.2">
      <c r="A780">
        <v>806</v>
      </c>
      <c r="B780" t="s">
        <v>307</v>
      </c>
      <c r="C780" t="s">
        <v>16</v>
      </c>
      <c r="D780" s="48">
        <v>42552</v>
      </c>
      <c r="E780" s="3">
        <v>7467000000</v>
      </c>
      <c r="F780" s="3">
        <v>5132000000</v>
      </c>
      <c r="G780" s="3">
        <f>Project_Data_NYSE[[#This Row],[ Total Revenue ]]-Project_Data_NYSE[[#This Row],[ Cost of Goods Sold ]]</f>
        <v>2335000000</v>
      </c>
      <c r="H780" s="3">
        <v>1186000000</v>
      </c>
      <c r="I780" s="3">
        <v>0</v>
      </c>
      <c r="J780" s="3">
        <v>0</v>
      </c>
      <c r="K780" s="3">
        <f>Project_Data_NYSE[[#This Row],[Gross Profit]]-Project_Data_NYSE[[#This Row],[ Sales, General and Admin. ]]-Project_Data_NYSE[[#This Row],[ Research and Development ]]-Project_Data_NYSE[[#This Row],[ Other Operating Items ]]</f>
        <v>1149000000</v>
      </c>
      <c r="L780" t="s">
        <v>21</v>
      </c>
      <c r="M780" t="s">
        <v>308</v>
      </c>
      <c r="N780" s="31">
        <f>Project_Data_NYSE[[#This Row],[Gross Profit]]/Project_Data_NYSE[[#This Row],[ Total Revenue ]]</f>
        <v>0.3127092540511584</v>
      </c>
      <c r="O780" s="31">
        <f>Project_Data_NYSE[[#This Row],[Operating Profit]]/Project_Data_NYSE[[#This Row],[ Total Revenue ]]</f>
        <v>0.1538770590598634</v>
      </c>
    </row>
    <row r="781" spans="1:15" x14ac:dyDescent="0.2">
      <c r="A781">
        <v>371</v>
      </c>
      <c r="B781" t="s">
        <v>164</v>
      </c>
      <c r="C781" t="s">
        <v>14</v>
      </c>
      <c r="D781" s="48">
        <v>41943</v>
      </c>
      <c r="E781" s="3">
        <v>1717776000</v>
      </c>
      <c r="F781" s="3">
        <v>626206000</v>
      </c>
      <c r="G781" s="3">
        <f>Project_Data_NYSE[[#This Row],[ Total Revenue ]]-Project_Data_NYSE[[#This Row],[ Cost of Goods Sold ]]</f>
        <v>1091570000</v>
      </c>
      <c r="H781" s="3">
        <v>683115000</v>
      </c>
      <c r="I781" s="3">
        <v>66259000</v>
      </c>
      <c r="J781" s="3">
        <v>35710000</v>
      </c>
      <c r="K781" s="3">
        <f>Project_Data_NYSE[[#This Row],[Gross Profit]]-Project_Data_NYSE[[#This Row],[ Sales, General and Admin. ]]-Project_Data_NYSE[[#This Row],[ Research and Development ]]-Project_Data_NYSE[[#This Row],[ Other Operating Items ]]</f>
        <v>306486000</v>
      </c>
      <c r="L781" t="s">
        <v>24</v>
      </c>
      <c r="M781" t="s">
        <v>165</v>
      </c>
      <c r="N781" s="31">
        <f>Project_Data_NYSE[[#This Row],[Gross Profit]]/Project_Data_NYSE[[#This Row],[ Total Revenue ]]</f>
        <v>0.63545537951397624</v>
      </c>
      <c r="O781" s="31">
        <f>Project_Data_NYSE[[#This Row],[Operating Profit]]/Project_Data_NYSE[[#This Row],[ Total Revenue ]]</f>
        <v>0.17842023639869226</v>
      </c>
    </row>
    <row r="782" spans="1:15" x14ac:dyDescent="0.2">
      <c r="A782">
        <v>778</v>
      </c>
      <c r="B782" t="s">
        <v>298</v>
      </c>
      <c r="C782" t="s">
        <v>15</v>
      </c>
      <c r="D782" s="48">
        <v>42273</v>
      </c>
      <c r="E782" s="3">
        <v>2705000000</v>
      </c>
      <c r="F782" s="3">
        <v>1272300000</v>
      </c>
      <c r="G782" s="3">
        <f>Project_Data_NYSE[[#This Row],[ Total Revenue ]]-Project_Data_NYSE[[#This Row],[ Cost of Goods Sold ]]</f>
        <v>1432700000</v>
      </c>
      <c r="H782" s="3">
        <v>624000000</v>
      </c>
      <c r="I782" s="3">
        <v>214900000</v>
      </c>
      <c r="J782" s="3">
        <v>110200000</v>
      </c>
      <c r="K782" s="3">
        <f>Project_Data_NYSE[[#This Row],[Gross Profit]]-Project_Data_NYSE[[#This Row],[ Sales, General and Admin. ]]-Project_Data_NYSE[[#This Row],[ Research and Development ]]-Project_Data_NYSE[[#This Row],[ Other Operating Items ]]</f>
        <v>483600000</v>
      </c>
      <c r="L782" t="s">
        <v>24</v>
      </c>
      <c r="M782" t="s">
        <v>29</v>
      </c>
      <c r="N782" s="31">
        <f>Project_Data_NYSE[[#This Row],[Gross Profit]]/Project_Data_NYSE[[#This Row],[ Total Revenue ]]</f>
        <v>0.5296487985212569</v>
      </c>
      <c r="O782" s="31">
        <f>Project_Data_NYSE[[#This Row],[Operating Profit]]/Project_Data_NYSE[[#This Row],[ Total Revenue ]]</f>
        <v>0.17878003696857672</v>
      </c>
    </row>
    <row r="783" spans="1:15" x14ac:dyDescent="0.2">
      <c r="A783">
        <v>1777</v>
      </c>
      <c r="B783" t="s">
        <v>574</v>
      </c>
      <c r="C783" t="s">
        <v>11</v>
      </c>
      <c r="D783" s="48">
        <v>41639</v>
      </c>
      <c r="E783" s="3">
        <v>4561000000</v>
      </c>
      <c r="F783" s="3">
        <v>1669000000</v>
      </c>
      <c r="G783" s="3">
        <f>Project_Data_NYSE[[#This Row],[ Total Revenue ]]-Project_Data_NYSE[[#This Row],[ Cost of Goods Sold ]]</f>
        <v>2892000000</v>
      </c>
      <c r="H783" s="3">
        <v>1613000000</v>
      </c>
      <c r="I783" s="3">
        <v>399000000</v>
      </c>
      <c r="J783" s="3">
        <v>60000000</v>
      </c>
      <c r="K783" s="3">
        <f>Project_Data_NYSE[[#This Row],[Gross Profit]]-Project_Data_NYSE[[#This Row],[ Sales, General and Admin. ]]-Project_Data_NYSE[[#This Row],[ Research and Development ]]-Project_Data_NYSE[[#This Row],[ Other Operating Items ]]</f>
        <v>820000000</v>
      </c>
      <c r="L783" t="s">
        <v>24</v>
      </c>
      <c r="M783" t="s">
        <v>25</v>
      </c>
      <c r="N783" s="31">
        <f>Project_Data_NYSE[[#This Row],[Gross Profit]]/Project_Data_NYSE[[#This Row],[ Total Revenue ]]</f>
        <v>0.63407147555360666</v>
      </c>
      <c r="O783" s="31">
        <f>Project_Data_NYSE[[#This Row],[Operating Profit]]/Project_Data_NYSE[[#This Row],[ Total Revenue ]]</f>
        <v>0.17978513483885114</v>
      </c>
    </row>
    <row r="784" spans="1:15" x14ac:dyDescent="0.2">
      <c r="A784">
        <v>1127</v>
      </c>
      <c r="B784" t="s">
        <v>404</v>
      </c>
      <c r="C784" t="s">
        <v>11</v>
      </c>
      <c r="D784" s="48">
        <v>42004</v>
      </c>
      <c r="E784" s="3">
        <v>7719600000</v>
      </c>
      <c r="F784" s="3">
        <v>4191600000</v>
      </c>
      <c r="G784" s="3">
        <f>Project_Data_NYSE[[#This Row],[ Total Revenue ]]-Project_Data_NYSE[[#This Row],[ Cost of Goods Sold ]]</f>
        <v>3528000000</v>
      </c>
      <c r="H784" s="3">
        <v>1545700000</v>
      </c>
      <c r="I784" s="3">
        <v>581800000</v>
      </c>
      <c r="J784" s="3">
        <v>0</v>
      </c>
      <c r="K784" s="3">
        <f>Project_Data_NYSE[[#This Row],[Gross Profit]]-Project_Data_NYSE[[#This Row],[ Sales, General and Admin. ]]-Project_Data_NYSE[[#This Row],[ Research and Development ]]-Project_Data_NYSE[[#This Row],[ Other Operating Items ]]</f>
        <v>1400500000</v>
      </c>
      <c r="L784" t="s">
        <v>24</v>
      </c>
      <c r="M784" t="s">
        <v>25</v>
      </c>
      <c r="N784" s="31">
        <f>Project_Data_NYSE[[#This Row],[Gross Profit]]/Project_Data_NYSE[[#This Row],[ Total Revenue ]]</f>
        <v>0.45701849836779107</v>
      </c>
      <c r="O784" s="31">
        <f>Project_Data_NYSE[[#This Row],[Operating Profit]]/Project_Data_NYSE[[#This Row],[ Total Revenue ]]</f>
        <v>0.18142131716669258</v>
      </c>
    </row>
    <row r="785" spans="1:15" x14ac:dyDescent="0.2">
      <c r="A785">
        <v>811</v>
      </c>
      <c r="B785" t="s">
        <v>310</v>
      </c>
      <c r="C785" t="s">
        <v>11</v>
      </c>
      <c r="D785" s="48">
        <v>41274</v>
      </c>
      <c r="E785" s="3">
        <v>5059000000</v>
      </c>
      <c r="F785" s="3">
        <v>1885000000</v>
      </c>
      <c r="G785" s="3">
        <f>Project_Data_NYSE[[#This Row],[ Total Revenue ]]-Project_Data_NYSE[[#This Row],[ Cost of Goods Sold ]]</f>
        <v>3174000000</v>
      </c>
      <c r="H785" s="3">
        <v>2101000000</v>
      </c>
      <c r="I785" s="3">
        <v>0</v>
      </c>
      <c r="J785" s="3">
        <v>722000000</v>
      </c>
      <c r="K785" s="3">
        <f>Project_Data_NYSE[[#This Row],[Gross Profit]]-Project_Data_NYSE[[#This Row],[ Sales, General and Admin. ]]-Project_Data_NYSE[[#This Row],[ Research and Development ]]-Project_Data_NYSE[[#This Row],[ Other Operating Items ]]</f>
        <v>351000000</v>
      </c>
      <c r="L785" t="s">
        <v>51</v>
      </c>
      <c r="M785" t="s">
        <v>52</v>
      </c>
      <c r="N785" s="31">
        <f>Project_Data_NYSE[[#This Row],[Gross Profit]]/Project_Data_NYSE[[#This Row],[ Total Revenue ]]</f>
        <v>0.6273967187191144</v>
      </c>
      <c r="O785" s="31">
        <f>Project_Data_NYSE[[#This Row],[Operating Profit]]/Project_Data_NYSE[[#This Row],[ Total Revenue ]]</f>
        <v>6.938130065230283E-2</v>
      </c>
    </row>
    <row r="786" spans="1:15" x14ac:dyDescent="0.2">
      <c r="A786">
        <v>812</v>
      </c>
      <c r="B786" t="s">
        <v>310</v>
      </c>
      <c r="C786" t="s">
        <v>14</v>
      </c>
      <c r="D786" s="48">
        <v>41639</v>
      </c>
      <c r="E786" s="3">
        <v>5166000000</v>
      </c>
      <c r="F786" s="3">
        <v>1989000000</v>
      </c>
      <c r="G786" s="3">
        <f>Project_Data_NYSE[[#This Row],[ Total Revenue ]]-Project_Data_NYSE[[#This Row],[ Cost of Goods Sold ]]</f>
        <v>3177000000</v>
      </c>
      <c r="H786" s="3">
        <v>1968000000</v>
      </c>
      <c r="I786" s="3">
        <v>0</v>
      </c>
      <c r="J786" s="3">
        <v>697000000</v>
      </c>
      <c r="K786" s="3">
        <f>Project_Data_NYSE[[#This Row],[Gross Profit]]-Project_Data_NYSE[[#This Row],[ Sales, General and Admin. ]]-Project_Data_NYSE[[#This Row],[ Research and Development ]]-Project_Data_NYSE[[#This Row],[ Other Operating Items ]]</f>
        <v>512000000</v>
      </c>
      <c r="L786" t="s">
        <v>51</v>
      </c>
      <c r="M786" t="s">
        <v>52</v>
      </c>
      <c r="N786" s="31">
        <f>Project_Data_NYSE[[#This Row],[Gross Profit]]/Project_Data_NYSE[[#This Row],[ Total Revenue ]]</f>
        <v>0.6149825783972126</v>
      </c>
      <c r="O786" s="31">
        <f>Project_Data_NYSE[[#This Row],[Operating Profit]]/Project_Data_NYSE[[#This Row],[ Total Revenue ]]</f>
        <v>9.910956252419667E-2</v>
      </c>
    </row>
    <row r="787" spans="1:15" x14ac:dyDescent="0.2">
      <c r="A787">
        <v>813</v>
      </c>
      <c r="B787" t="s">
        <v>310</v>
      </c>
      <c r="C787" t="s">
        <v>15</v>
      </c>
      <c r="D787" s="48">
        <v>42004</v>
      </c>
      <c r="E787" s="3">
        <v>5354000000</v>
      </c>
      <c r="F787" s="3">
        <v>2033000000</v>
      </c>
      <c r="G787" s="3">
        <f>Project_Data_NYSE[[#This Row],[ Total Revenue ]]-Project_Data_NYSE[[#This Row],[ Cost of Goods Sold ]]</f>
        <v>3321000000</v>
      </c>
      <c r="H787" s="3">
        <v>1920000000</v>
      </c>
      <c r="I787" s="3">
        <v>0</v>
      </c>
      <c r="J787" s="3">
        <v>701000000</v>
      </c>
      <c r="K787" s="3">
        <f>Project_Data_NYSE[[#This Row],[Gross Profit]]-Project_Data_NYSE[[#This Row],[ Sales, General and Admin. ]]-Project_Data_NYSE[[#This Row],[ Research and Development ]]-Project_Data_NYSE[[#This Row],[ Other Operating Items ]]</f>
        <v>700000000</v>
      </c>
      <c r="L787" t="s">
        <v>51</v>
      </c>
      <c r="M787" t="s">
        <v>52</v>
      </c>
      <c r="N787" s="31">
        <f>Project_Data_NYSE[[#This Row],[Gross Profit]]/Project_Data_NYSE[[#This Row],[ Total Revenue ]]</f>
        <v>0.62028389988793431</v>
      </c>
      <c r="O787" s="31">
        <f>Project_Data_NYSE[[#This Row],[Operating Profit]]/Project_Data_NYSE[[#This Row],[ Total Revenue ]]</f>
        <v>0.13074336944340681</v>
      </c>
    </row>
    <row r="788" spans="1:15" x14ac:dyDescent="0.2">
      <c r="A788">
        <v>814</v>
      </c>
      <c r="B788" t="s">
        <v>310</v>
      </c>
      <c r="C788" t="s">
        <v>16</v>
      </c>
      <c r="D788" s="48">
        <v>42369</v>
      </c>
      <c r="E788" s="3">
        <v>5387000000</v>
      </c>
      <c r="F788" s="3">
        <v>2012000000</v>
      </c>
      <c r="G788" s="3">
        <f>Project_Data_NYSE[[#This Row],[ Total Revenue ]]-Project_Data_NYSE[[#This Row],[ Cost of Goods Sold ]]</f>
        <v>3375000000</v>
      </c>
      <c r="H788" s="3">
        <v>2011000000</v>
      </c>
      <c r="I788" s="3">
        <v>0</v>
      </c>
      <c r="J788" s="3">
        <v>716000000</v>
      </c>
      <c r="K788" s="3">
        <f>Project_Data_NYSE[[#This Row],[Gross Profit]]-Project_Data_NYSE[[#This Row],[ Sales, General and Admin. ]]-Project_Data_NYSE[[#This Row],[ Research and Development ]]-Project_Data_NYSE[[#This Row],[ Other Operating Items ]]</f>
        <v>648000000</v>
      </c>
      <c r="L788" t="s">
        <v>51</v>
      </c>
      <c r="M788" t="s">
        <v>52</v>
      </c>
      <c r="N788" s="31">
        <f>Project_Data_NYSE[[#This Row],[Gross Profit]]/Project_Data_NYSE[[#This Row],[ Total Revenue ]]</f>
        <v>0.62650826062743648</v>
      </c>
      <c r="O788" s="31">
        <f>Project_Data_NYSE[[#This Row],[Operating Profit]]/Project_Data_NYSE[[#This Row],[ Total Revenue ]]</f>
        <v>0.1202895860404678</v>
      </c>
    </row>
    <row r="789" spans="1:15" x14ac:dyDescent="0.2">
      <c r="A789">
        <v>815</v>
      </c>
      <c r="B789" t="s">
        <v>311</v>
      </c>
      <c r="C789" t="s">
        <v>11</v>
      </c>
      <c r="D789" s="48">
        <v>41274</v>
      </c>
      <c r="E789" s="3">
        <v>6644252000</v>
      </c>
      <c r="F789" s="3">
        <v>3784370000</v>
      </c>
      <c r="G789" s="3">
        <f>Project_Data_NYSE[[#This Row],[ Total Revenue ]]-Project_Data_NYSE[[#This Row],[ Cost of Goods Sold ]]</f>
        <v>2859882000</v>
      </c>
      <c r="H789" s="3">
        <v>1703796000</v>
      </c>
      <c r="I789" s="3">
        <v>0</v>
      </c>
      <c r="J789" s="3">
        <v>0</v>
      </c>
      <c r="K789" s="3">
        <f>Project_Data_NYSE[[#This Row],[Gross Profit]]-Project_Data_NYSE[[#This Row],[ Sales, General and Admin. ]]-Project_Data_NYSE[[#This Row],[ Research and Development ]]-Project_Data_NYSE[[#This Row],[ Other Operating Items ]]</f>
        <v>1156086000</v>
      </c>
      <c r="L789" t="s">
        <v>35</v>
      </c>
      <c r="M789" t="s">
        <v>123</v>
      </c>
      <c r="N789" s="31">
        <f>Project_Data_NYSE[[#This Row],[Gross Profit]]/Project_Data_NYSE[[#This Row],[ Total Revenue ]]</f>
        <v>0.43042949003138353</v>
      </c>
      <c r="O789" s="31">
        <f>Project_Data_NYSE[[#This Row],[Operating Profit]]/Project_Data_NYSE[[#This Row],[ Total Revenue ]]</f>
        <v>0.17399791579247748</v>
      </c>
    </row>
    <row r="790" spans="1:15" x14ac:dyDescent="0.2">
      <c r="A790">
        <v>816</v>
      </c>
      <c r="B790" t="s">
        <v>311</v>
      </c>
      <c r="C790" t="s">
        <v>14</v>
      </c>
      <c r="D790" s="48">
        <v>41639</v>
      </c>
      <c r="E790" s="3">
        <v>7146079000</v>
      </c>
      <c r="F790" s="3">
        <v>3865231000</v>
      </c>
      <c r="G790" s="3">
        <f>Project_Data_NYSE[[#This Row],[ Total Revenue ]]-Project_Data_NYSE[[#This Row],[ Cost of Goods Sold ]]</f>
        <v>3280848000</v>
      </c>
      <c r="H790" s="3">
        <v>1924132000</v>
      </c>
      <c r="I790" s="3">
        <v>0</v>
      </c>
      <c r="J790" s="3">
        <v>0</v>
      </c>
      <c r="K790" s="3">
        <f>Project_Data_NYSE[[#This Row],[Gross Profit]]-Project_Data_NYSE[[#This Row],[ Sales, General and Admin. ]]-Project_Data_NYSE[[#This Row],[ Research and Development ]]-Project_Data_NYSE[[#This Row],[ Other Operating Items ]]</f>
        <v>1356716000</v>
      </c>
      <c r="L790" t="s">
        <v>35</v>
      </c>
      <c r="M790" t="s">
        <v>123</v>
      </c>
      <c r="N790" s="31">
        <f>Project_Data_NYSE[[#This Row],[Gross Profit]]/Project_Data_NYSE[[#This Row],[ Total Revenue ]]</f>
        <v>0.45911163310677083</v>
      </c>
      <c r="O790" s="31">
        <f>Project_Data_NYSE[[#This Row],[Operating Profit]]/Project_Data_NYSE[[#This Row],[ Total Revenue ]]</f>
        <v>0.18985460418223757</v>
      </c>
    </row>
    <row r="791" spans="1:15" x14ac:dyDescent="0.2">
      <c r="A791">
        <v>817</v>
      </c>
      <c r="B791" t="s">
        <v>311</v>
      </c>
      <c r="C791" t="s">
        <v>15</v>
      </c>
      <c r="D791" s="48">
        <v>42004</v>
      </c>
      <c r="E791" s="3">
        <v>7421768000</v>
      </c>
      <c r="F791" s="3">
        <v>4085602000</v>
      </c>
      <c r="G791" s="3">
        <f>Project_Data_NYSE[[#This Row],[ Total Revenue ]]-Project_Data_NYSE[[#This Row],[ Cost of Goods Sold ]]</f>
        <v>3336166000</v>
      </c>
      <c r="H791" s="3">
        <v>1898284000</v>
      </c>
      <c r="I791" s="3">
        <v>0</v>
      </c>
      <c r="J791" s="3">
        <v>0</v>
      </c>
      <c r="K791" s="3">
        <f>Project_Data_NYSE[[#This Row],[Gross Profit]]-Project_Data_NYSE[[#This Row],[ Sales, General and Admin. ]]-Project_Data_NYSE[[#This Row],[ Research and Development ]]-Project_Data_NYSE[[#This Row],[ Other Operating Items ]]</f>
        <v>1437882000</v>
      </c>
      <c r="L791" t="s">
        <v>35</v>
      </c>
      <c r="M791" t="s">
        <v>123</v>
      </c>
      <c r="N791" s="31">
        <f>Project_Data_NYSE[[#This Row],[Gross Profit]]/Project_Data_NYSE[[#This Row],[ Total Revenue ]]</f>
        <v>0.44951095210736847</v>
      </c>
      <c r="O791" s="31">
        <f>Project_Data_NYSE[[#This Row],[Operating Profit]]/Project_Data_NYSE[[#This Row],[ Total Revenue ]]</f>
        <v>0.19373847309697637</v>
      </c>
    </row>
    <row r="792" spans="1:15" x14ac:dyDescent="0.2">
      <c r="A792">
        <v>818</v>
      </c>
      <c r="B792" t="s">
        <v>311</v>
      </c>
      <c r="C792" t="s">
        <v>16</v>
      </c>
      <c r="D792" s="48">
        <v>42369</v>
      </c>
      <c r="E792" s="3">
        <v>7386626000</v>
      </c>
      <c r="F792" s="3">
        <v>4003951000</v>
      </c>
      <c r="G792" s="3">
        <f>Project_Data_NYSE[[#This Row],[ Total Revenue ]]-Project_Data_NYSE[[#This Row],[ Cost of Goods Sold ]]</f>
        <v>3382675000</v>
      </c>
      <c r="H792" s="3">
        <v>1969308000</v>
      </c>
      <c r="I792" s="3">
        <v>0</v>
      </c>
      <c r="J792" s="3">
        <v>0</v>
      </c>
      <c r="K792" s="3">
        <f>Project_Data_NYSE[[#This Row],[Gross Profit]]-Project_Data_NYSE[[#This Row],[ Sales, General and Admin. ]]-Project_Data_NYSE[[#This Row],[ Research and Development ]]-Project_Data_NYSE[[#This Row],[ Other Operating Items ]]</f>
        <v>1413367000</v>
      </c>
      <c r="L792" t="s">
        <v>35</v>
      </c>
      <c r="M792" t="s">
        <v>123</v>
      </c>
      <c r="N792" s="31">
        <f>Project_Data_NYSE[[#This Row],[Gross Profit]]/Project_Data_NYSE[[#This Row],[ Total Revenue ]]</f>
        <v>0.45794588760822602</v>
      </c>
      <c r="O792" s="31">
        <f>Project_Data_NYSE[[#This Row],[Operating Profit]]/Project_Data_NYSE[[#This Row],[ Total Revenue ]]</f>
        <v>0.19134135124751139</v>
      </c>
    </row>
    <row r="793" spans="1:15" x14ac:dyDescent="0.2">
      <c r="A793">
        <v>590</v>
      </c>
      <c r="B793" t="s">
        <v>238</v>
      </c>
      <c r="C793" t="s">
        <v>15</v>
      </c>
      <c r="D793" s="48">
        <v>42004</v>
      </c>
      <c r="E793" s="3">
        <v>2322900000</v>
      </c>
      <c r="F793" s="3">
        <v>625600000</v>
      </c>
      <c r="G793" s="3">
        <f>Project_Data_NYSE[[#This Row],[ Total Revenue ]]-Project_Data_NYSE[[#This Row],[ Cost of Goods Sold ]]</f>
        <v>1697300000</v>
      </c>
      <c r="H793" s="3">
        <v>928700000</v>
      </c>
      <c r="I793" s="3">
        <v>346500000</v>
      </c>
      <c r="J793" s="3">
        <v>0</v>
      </c>
      <c r="K793" s="3">
        <f>Project_Data_NYSE[[#This Row],[Gross Profit]]-Project_Data_NYSE[[#This Row],[ Sales, General and Admin. ]]-Project_Data_NYSE[[#This Row],[ Research and Development ]]-Project_Data_NYSE[[#This Row],[ Other Operating Items ]]</f>
        <v>422100000</v>
      </c>
      <c r="L793" t="s">
        <v>24</v>
      </c>
      <c r="M793" t="s">
        <v>29</v>
      </c>
      <c r="N793" s="31">
        <f>Project_Data_NYSE[[#This Row],[Gross Profit]]/Project_Data_NYSE[[#This Row],[ Total Revenue ]]</f>
        <v>0.73068147574152997</v>
      </c>
      <c r="O793" s="31">
        <f>Project_Data_NYSE[[#This Row],[Operating Profit]]/Project_Data_NYSE[[#This Row],[ Total Revenue ]]</f>
        <v>0.18171251452925222</v>
      </c>
    </row>
    <row r="794" spans="1:15" x14ac:dyDescent="0.2">
      <c r="A794">
        <v>951</v>
      </c>
      <c r="B794" t="s">
        <v>351</v>
      </c>
      <c r="C794" t="s">
        <v>11</v>
      </c>
      <c r="D794" s="48">
        <v>41274</v>
      </c>
      <c r="E794" s="3">
        <v>5671400000</v>
      </c>
      <c r="F794" s="3">
        <v>3421700000</v>
      </c>
      <c r="G794" s="3">
        <f>Project_Data_NYSE[[#This Row],[ Total Revenue ]]-Project_Data_NYSE[[#This Row],[ Cost of Goods Sold ]]</f>
        <v>2249700000</v>
      </c>
      <c r="H794" s="3">
        <v>1114600000</v>
      </c>
      <c r="I794" s="3">
        <v>0</v>
      </c>
      <c r="J794" s="3">
        <v>86300000</v>
      </c>
      <c r="K794" s="3">
        <f>Project_Data_NYSE[[#This Row],[Gross Profit]]-Project_Data_NYSE[[#This Row],[ Sales, General and Admin. ]]-Project_Data_NYSE[[#This Row],[ Research and Development ]]-Project_Data_NYSE[[#This Row],[ Other Operating Items ]]</f>
        <v>1048800000</v>
      </c>
      <c r="L794" t="s">
        <v>24</v>
      </c>
      <c r="M794" t="s">
        <v>198</v>
      </c>
      <c r="N794" s="31">
        <f>Project_Data_NYSE[[#This Row],[Gross Profit]]/Project_Data_NYSE[[#This Row],[ Total Revenue ]]</f>
        <v>0.39667454244101985</v>
      </c>
      <c r="O794" s="31">
        <f>Project_Data_NYSE[[#This Row],[Operating Profit]]/Project_Data_NYSE[[#This Row],[ Total Revenue ]]</f>
        <v>0.18492788376767641</v>
      </c>
    </row>
    <row r="795" spans="1:15" x14ac:dyDescent="0.2">
      <c r="A795">
        <v>970</v>
      </c>
      <c r="B795" t="s">
        <v>356</v>
      </c>
      <c r="C795" t="s">
        <v>16</v>
      </c>
      <c r="D795" s="48">
        <v>42369</v>
      </c>
      <c r="E795" s="3">
        <v>19958700000</v>
      </c>
      <c r="F795" s="3">
        <v>5037200000</v>
      </c>
      <c r="G795" s="3">
        <f>Project_Data_NYSE[[#This Row],[ Total Revenue ]]-Project_Data_NYSE[[#This Row],[ Cost of Goods Sold ]]</f>
        <v>14921500000</v>
      </c>
      <c r="H795" s="3">
        <v>6432400000</v>
      </c>
      <c r="I795" s="3">
        <v>4796400000</v>
      </c>
      <c r="J795" s="3">
        <v>0</v>
      </c>
      <c r="K795" s="3">
        <f>Project_Data_NYSE[[#This Row],[Gross Profit]]-Project_Data_NYSE[[#This Row],[ Sales, General and Admin. ]]-Project_Data_NYSE[[#This Row],[ Research and Development ]]-Project_Data_NYSE[[#This Row],[ Other Operating Items ]]</f>
        <v>3692700000</v>
      </c>
      <c r="L795" t="s">
        <v>24</v>
      </c>
      <c r="M795" t="s">
        <v>25</v>
      </c>
      <c r="N795" s="31">
        <f>Project_Data_NYSE[[#This Row],[Gross Profit]]/Project_Data_NYSE[[#This Row],[ Total Revenue ]]</f>
        <v>0.74761883288991771</v>
      </c>
      <c r="O795" s="31">
        <f>Project_Data_NYSE[[#This Row],[Operating Profit]]/Project_Data_NYSE[[#This Row],[ Total Revenue ]]</f>
        <v>0.18501706022937367</v>
      </c>
    </row>
    <row r="796" spans="1:15" x14ac:dyDescent="0.2">
      <c r="A796">
        <v>455</v>
      </c>
      <c r="B796" t="s">
        <v>197</v>
      </c>
      <c r="C796" t="s">
        <v>16</v>
      </c>
      <c r="D796" s="48">
        <v>42369</v>
      </c>
      <c r="E796" s="3">
        <v>7493000000</v>
      </c>
      <c r="F796" s="3">
        <v>4657000000</v>
      </c>
      <c r="G796" s="3">
        <f>Project_Data_NYSE[[#This Row],[ Total Revenue ]]-Project_Data_NYSE[[#This Row],[ Cost of Goods Sold ]]</f>
        <v>2836000000</v>
      </c>
      <c r="H796" s="3">
        <v>1356000000</v>
      </c>
      <c r="I796" s="3">
        <v>0</v>
      </c>
      <c r="J796" s="3">
        <v>81000000</v>
      </c>
      <c r="K796" s="3">
        <f>Project_Data_NYSE[[#This Row],[Gross Profit]]-Project_Data_NYSE[[#This Row],[ Sales, General and Admin. ]]-Project_Data_NYSE[[#This Row],[ Research and Development ]]-Project_Data_NYSE[[#This Row],[ Other Operating Items ]]</f>
        <v>1399000000</v>
      </c>
      <c r="L796" t="s">
        <v>24</v>
      </c>
      <c r="M796" t="s">
        <v>198</v>
      </c>
      <c r="N796" s="31">
        <f>Project_Data_NYSE[[#This Row],[Gross Profit]]/Project_Data_NYSE[[#This Row],[ Total Revenue ]]</f>
        <v>0.37848658748164954</v>
      </c>
      <c r="O796" s="31">
        <f>Project_Data_NYSE[[#This Row],[Operating Profit]]/Project_Data_NYSE[[#This Row],[ Total Revenue ]]</f>
        <v>0.18670759375417056</v>
      </c>
    </row>
    <row r="797" spans="1:15" x14ac:dyDescent="0.2">
      <c r="A797">
        <v>823</v>
      </c>
      <c r="B797" t="s">
        <v>313</v>
      </c>
      <c r="C797" t="s">
        <v>11</v>
      </c>
      <c r="D797" s="48">
        <v>41274</v>
      </c>
      <c r="E797" s="3">
        <v>102874000000</v>
      </c>
      <c r="F797" s="3">
        <v>52513000000</v>
      </c>
      <c r="G797" s="3">
        <f>Project_Data_NYSE[[#This Row],[ Total Revenue ]]-Project_Data_NYSE[[#This Row],[ Cost of Goods Sold ]]</f>
        <v>50361000000</v>
      </c>
      <c r="H797" s="3">
        <v>22389000000</v>
      </c>
      <c r="I797" s="3">
        <v>5816000000</v>
      </c>
      <c r="J797" s="3">
        <v>0</v>
      </c>
      <c r="K797" s="3">
        <f>Project_Data_NYSE[[#This Row],[Gross Profit]]-Project_Data_NYSE[[#This Row],[ Sales, General and Admin. ]]-Project_Data_NYSE[[#This Row],[ Research and Development ]]-Project_Data_NYSE[[#This Row],[ Other Operating Items ]]</f>
        <v>22156000000</v>
      </c>
      <c r="L797" t="s">
        <v>21</v>
      </c>
      <c r="M797" t="s">
        <v>175</v>
      </c>
      <c r="N797" s="31">
        <f>Project_Data_NYSE[[#This Row],[Gross Profit]]/Project_Data_NYSE[[#This Row],[ Total Revenue ]]</f>
        <v>0.48954060306783054</v>
      </c>
      <c r="O797" s="31">
        <f>Project_Data_NYSE[[#This Row],[Operating Profit]]/Project_Data_NYSE[[#This Row],[ Total Revenue ]]</f>
        <v>0.21537025876314714</v>
      </c>
    </row>
    <row r="798" spans="1:15" x14ac:dyDescent="0.2">
      <c r="A798">
        <v>824</v>
      </c>
      <c r="B798" t="s">
        <v>313</v>
      </c>
      <c r="C798" t="s">
        <v>14</v>
      </c>
      <c r="D798" s="48">
        <v>41639</v>
      </c>
      <c r="E798" s="3">
        <v>98367000000</v>
      </c>
      <c r="F798" s="3">
        <v>49683000000</v>
      </c>
      <c r="G798" s="3">
        <f>Project_Data_NYSE[[#This Row],[ Total Revenue ]]-Project_Data_NYSE[[#This Row],[ Cost of Goods Sold ]]</f>
        <v>48684000000</v>
      </c>
      <c r="H798" s="3">
        <v>22629000000</v>
      </c>
      <c r="I798" s="3">
        <v>5743000000</v>
      </c>
      <c r="J798" s="3">
        <v>0</v>
      </c>
      <c r="K798" s="3">
        <f>Project_Data_NYSE[[#This Row],[Gross Profit]]-Project_Data_NYSE[[#This Row],[ Sales, General and Admin. ]]-Project_Data_NYSE[[#This Row],[ Research and Development ]]-Project_Data_NYSE[[#This Row],[ Other Operating Items ]]</f>
        <v>20312000000</v>
      </c>
      <c r="L798" t="s">
        <v>21</v>
      </c>
      <c r="M798" t="s">
        <v>175</v>
      </c>
      <c r="N798" s="31">
        <f>Project_Data_NYSE[[#This Row],[Gross Profit]]/Project_Data_NYSE[[#This Row],[ Total Revenue ]]</f>
        <v>0.49492207752599959</v>
      </c>
      <c r="O798" s="31">
        <f>Project_Data_NYSE[[#This Row],[Operating Profit]]/Project_Data_NYSE[[#This Row],[ Total Revenue ]]</f>
        <v>0.20649201459839173</v>
      </c>
    </row>
    <row r="799" spans="1:15" x14ac:dyDescent="0.2">
      <c r="A799">
        <v>825</v>
      </c>
      <c r="B799" t="s">
        <v>313</v>
      </c>
      <c r="C799" t="s">
        <v>15</v>
      </c>
      <c r="D799" s="48">
        <v>42004</v>
      </c>
      <c r="E799" s="3">
        <v>92793000000</v>
      </c>
      <c r="F799" s="3">
        <v>46386000000</v>
      </c>
      <c r="G799" s="3">
        <f>Project_Data_NYSE[[#This Row],[ Total Revenue ]]-Project_Data_NYSE[[#This Row],[ Cost of Goods Sold ]]</f>
        <v>46407000000</v>
      </c>
      <c r="H799" s="3">
        <v>22438000000</v>
      </c>
      <c r="I799" s="3">
        <v>5437000000</v>
      </c>
      <c r="J799" s="3">
        <v>0</v>
      </c>
      <c r="K799" s="3">
        <f>Project_Data_NYSE[[#This Row],[Gross Profit]]-Project_Data_NYSE[[#This Row],[ Sales, General and Admin. ]]-Project_Data_NYSE[[#This Row],[ Research and Development ]]-Project_Data_NYSE[[#This Row],[ Other Operating Items ]]</f>
        <v>18532000000</v>
      </c>
      <c r="L799" t="s">
        <v>21</v>
      </c>
      <c r="M799" t="s">
        <v>175</v>
      </c>
      <c r="N799" s="31">
        <f>Project_Data_NYSE[[#This Row],[Gross Profit]]/Project_Data_NYSE[[#This Row],[ Total Revenue ]]</f>
        <v>0.50011315508712939</v>
      </c>
      <c r="O799" s="31">
        <f>Project_Data_NYSE[[#This Row],[Operating Profit]]/Project_Data_NYSE[[#This Row],[ Total Revenue ]]</f>
        <v>0.1997133404459388</v>
      </c>
    </row>
    <row r="800" spans="1:15" x14ac:dyDescent="0.2">
      <c r="A800">
        <v>826</v>
      </c>
      <c r="B800" t="s">
        <v>313</v>
      </c>
      <c r="C800" t="s">
        <v>16</v>
      </c>
      <c r="D800" s="48">
        <v>42369</v>
      </c>
      <c r="E800" s="3">
        <v>81741000000</v>
      </c>
      <c r="F800" s="3">
        <v>41057000000</v>
      </c>
      <c r="G800" s="3">
        <f>Project_Data_NYSE[[#This Row],[ Total Revenue ]]-Project_Data_NYSE[[#This Row],[ Cost of Goods Sold ]]</f>
        <v>40684000000</v>
      </c>
      <c r="H800" s="3">
        <v>19748000000</v>
      </c>
      <c r="I800" s="3">
        <v>5247000000</v>
      </c>
      <c r="J800" s="3">
        <v>0</v>
      </c>
      <c r="K800" s="3">
        <f>Project_Data_NYSE[[#This Row],[Gross Profit]]-Project_Data_NYSE[[#This Row],[ Sales, General and Admin. ]]-Project_Data_NYSE[[#This Row],[ Research and Development ]]-Project_Data_NYSE[[#This Row],[ Other Operating Items ]]</f>
        <v>15689000000</v>
      </c>
      <c r="L800" t="s">
        <v>21</v>
      </c>
      <c r="M800" t="s">
        <v>175</v>
      </c>
      <c r="N800" s="31">
        <f>Project_Data_NYSE[[#This Row],[Gross Profit]]/Project_Data_NYSE[[#This Row],[ Total Revenue ]]</f>
        <v>0.4977184032492874</v>
      </c>
      <c r="O800" s="31">
        <f>Project_Data_NYSE[[#This Row],[Operating Profit]]/Project_Data_NYSE[[#This Row],[ Total Revenue ]]</f>
        <v>0.19193550360284312</v>
      </c>
    </row>
    <row r="801" spans="1:15" x14ac:dyDescent="0.2">
      <c r="A801">
        <v>969</v>
      </c>
      <c r="B801" t="s">
        <v>356</v>
      </c>
      <c r="C801" t="s">
        <v>15</v>
      </c>
      <c r="D801" s="48">
        <v>42004</v>
      </c>
      <c r="E801" s="3">
        <v>19615600000</v>
      </c>
      <c r="F801" s="3">
        <v>4932500000</v>
      </c>
      <c r="G801" s="3">
        <f>Project_Data_NYSE[[#This Row],[ Total Revenue ]]-Project_Data_NYSE[[#This Row],[ Cost of Goods Sold ]]</f>
        <v>14683100000</v>
      </c>
      <c r="H801" s="3">
        <v>6280300000</v>
      </c>
      <c r="I801" s="3">
        <v>4733600000</v>
      </c>
      <c r="J801" s="3">
        <v>0</v>
      </c>
      <c r="K801" s="3">
        <f>Project_Data_NYSE[[#This Row],[Gross Profit]]-Project_Data_NYSE[[#This Row],[ Sales, General and Admin. ]]-Project_Data_NYSE[[#This Row],[ Research and Development ]]-Project_Data_NYSE[[#This Row],[ Other Operating Items ]]</f>
        <v>3669200000</v>
      </c>
      <c r="L801" t="s">
        <v>24</v>
      </c>
      <c r="M801" t="s">
        <v>25</v>
      </c>
      <c r="N801" s="31">
        <f>Project_Data_NYSE[[#This Row],[Gross Profit]]/Project_Data_NYSE[[#This Row],[ Total Revenue ]]</f>
        <v>0.74854197679398027</v>
      </c>
      <c r="O801" s="31">
        <f>Project_Data_NYSE[[#This Row],[Operating Profit]]/Project_Data_NYSE[[#This Row],[ Total Revenue ]]</f>
        <v>0.18705520096249922</v>
      </c>
    </row>
    <row r="802" spans="1:15" x14ac:dyDescent="0.2">
      <c r="A802">
        <v>1484</v>
      </c>
      <c r="B802" t="s">
        <v>495</v>
      </c>
      <c r="C802" t="s">
        <v>15</v>
      </c>
      <c r="D802" s="48">
        <v>42369</v>
      </c>
      <c r="E802" s="3">
        <v>9946000000</v>
      </c>
      <c r="F802" s="3">
        <v>3344000000</v>
      </c>
      <c r="G802" s="3">
        <f>Project_Data_NYSE[[#This Row],[ Total Revenue ]]-Project_Data_NYSE[[#This Row],[ Cost of Goods Sold ]]</f>
        <v>6602000000</v>
      </c>
      <c r="H802" s="3">
        <v>3906000000</v>
      </c>
      <c r="I802" s="3">
        <v>625000000</v>
      </c>
      <c r="J802" s="3">
        <v>210000000</v>
      </c>
      <c r="K802" s="3">
        <f>Project_Data_NYSE[[#This Row],[Gross Profit]]-Project_Data_NYSE[[#This Row],[ Sales, General and Admin. ]]-Project_Data_NYSE[[#This Row],[ Research and Development ]]-Project_Data_NYSE[[#This Row],[ Other Operating Items ]]</f>
        <v>1861000000</v>
      </c>
      <c r="L802" t="s">
        <v>24</v>
      </c>
      <c r="M802" t="s">
        <v>29</v>
      </c>
      <c r="N802" s="31">
        <f>Project_Data_NYSE[[#This Row],[Gross Profit]]/Project_Data_NYSE[[#This Row],[ Total Revenue ]]</f>
        <v>0.66378443595415237</v>
      </c>
      <c r="O802" s="31">
        <f>Project_Data_NYSE[[#This Row],[Operating Profit]]/Project_Data_NYSE[[#This Row],[ Total Revenue ]]</f>
        <v>0.18711039613915142</v>
      </c>
    </row>
    <row r="803" spans="1:15" x14ac:dyDescent="0.2">
      <c r="A803">
        <v>1115</v>
      </c>
      <c r="B803" t="s">
        <v>401</v>
      </c>
      <c r="C803" t="s">
        <v>11</v>
      </c>
      <c r="D803" s="48">
        <v>41639</v>
      </c>
      <c r="E803" s="3">
        <v>2378972000</v>
      </c>
      <c r="F803" s="3">
        <v>1097041000</v>
      </c>
      <c r="G803" s="3">
        <f>Project_Data_NYSE[[#This Row],[ Total Revenue ]]-Project_Data_NYSE[[#This Row],[ Cost of Goods Sold ]]</f>
        <v>1281931000</v>
      </c>
      <c r="H803" s="3">
        <v>692693000</v>
      </c>
      <c r="I803" s="3">
        <v>116346000</v>
      </c>
      <c r="J803" s="3">
        <v>24539000</v>
      </c>
      <c r="K803" s="3">
        <f>Project_Data_NYSE[[#This Row],[Gross Profit]]-Project_Data_NYSE[[#This Row],[ Sales, General and Admin. ]]-Project_Data_NYSE[[#This Row],[ Research and Development ]]-Project_Data_NYSE[[#This Row],[ Other Operating Items ]]</f>
        <v>448353000</v>
      </c>
      <c r="L803" t="s">
        <v>24</v>
      </c>
      <c r="M803" t="s">
        <v>317</v>
      </c>
      <c r="N803" s="31">
        <f>Project_Data_NYSE[[#This Row],[Gross Profit]]/Project_Data_NYSE[[#This Row],[ Total Revenue ]]</f>
        <v>0.53885922154611321</v>
      </c>
      <c r="O803" s="31">
        <f>Project_Data_NYSE[[#This Row],[Operating Profit]]/Project_Data_NYSE[[#This Row],[ Total Revenue ]]</f>
        <v>0.18846501766309146</v>
      </c>
    </row>
    <row r="804" spans="1:15" x14ac:dyDescent="0.2">
      <c r="A804">
        <v>14</v>
      </c>
      <c r="B804" t="s">
        <v>23</v>
      </c>
      <c r="C804" t="s">
        <v>15</v>
      </c>
      <c r="D804" s="48">
        <v>42004</v>
      </c>
      <c r="E804" s="3">
        <v>19960000000</v>
      </c>
      <c r="F804" s="3">
        <v>4426000000</v>
      </c>
      <c r="G804" s="3">
        <f>Project_Data_NYSE[[#This Row],[ Total Revenue ]]-Project_Data_NYSE[[#This Row],[ Cost of Goods Sold ]]</f>
        <v>15534000000</v>
      </c>
      <c r="H804" s="3">
        <v>8474000000</v>
      </c>
      <c r="I804" s="3">
        <v>3297000000</v>
      </c>
      <c r="J804" s="3">
        <v>0</v>
      </c>
      <c r="K804" s="3">
        <f>Project_Data_NYSE[[#This Row],[Gross Profit]]-Project_Data_NYSE[[#This Row],[ Sales, General and Admin. ]]-Project_Data_NYSE[[#This Row],[ Research and Development ]]-Project_Data_NYSE[[#This Row],[ Other Operating Items ]]</f>
        <v>3763000000</v>
      </c>
      <c r="L804" t="s">
        <v>24</v>
      </c>
      <c r="M804" t="s">
        <v>25</v>
      </c>
      <c r="N804" s="31">
        <f>Project_Data_NYSE[[#This Row],[Gross Profit]]/Project_Data_NYSE[[#This Row],[ Total Revenue ]]</f>
        <v>0.77825651302605214</v>
      </c>
      <c r="O804" s="31">
        <f>Project_Data_NYSE[[#This Row],[Operating Profit]]/Project_Data_NYSE[[#This Row],[ Total Revenue ]]</f>
        <v>0.18852705410821644</v>
      </c>
    </row>
    <row r="805" spans="1:15" x14ac:dyDescent="0.2">
      <c r="A805">
        <v>831</v>
      </c>
      <c r="B805" t="s">
        <v>315</v>
      </c>
      <c r="C805" t="s">
        <v>11</v>
      </c>
      <c r="D805" s="48">
        <v>41274</v>
      </c>
      <c r="E805" s="3">
        <v>2821446000</v>
      </c>
      <c r="F805" s="3">
        <v>1645912000</v>
      </c>
      <c r="G805" s="3">
        <f>Project_Data_NYSE[[#This Row],[ Total Revenue ]]-Project_Data_NYSE[[#This Row],[ Cost of Goods Sold ]]</f>
        <v>1175534000</v>
      </c>
      <c r="H805" s="3">
        <v>453535000</v>
      </c>
      <c r="I805" s="3">
        <v>233713000</v>
      </c>
      <c r="J805" s="3">
        <v>0</v>
      </c>
      <c r="K805" s="3">
        <f>Project_Data_NYSE[[#This Row],[Gross Profit]]-Project_Data_NYSE[[#This Row],[ Sales, General and Admin. ]]-Project_Data_NYSE[[#This Row],[ Research and Development ]]-Project_Data_NYSE[[#This Row],[ Other Operating Items ]]</f>
        <v>488286000</v>
      </c>
      <c r="L805" t="s">
        <v>58</v>
      </c>
      <c r="M805" t="s">
        <v>59</v>
      </c>
      <c r="N805" s="31">
        <f>Project_Data_NYSE[[#This Row],[Gross Profit]]/Project_Data_NYSE[[#This Row],[ Total Revenue ]]</f>
        <v>0.4166423883356265</v>
      </c>
      <c r="O805" s="31">
        <f>Project_Data_NYSE[[#This Row],[Operating Profit]]/Project_Data_NYSE[[#This Row],[ Total Revenue ]]</f>
        <v>0.17306232336185062</v>
      </c>
    </row>
    <row r="806" spans="1:15" x14ac:dyDescent="0.2">
      <c r="A806">
        <v>832</v>
      </c>
      <c r="B806" t="s">
        <v>315</v>
      </c>
      <c r="C806" t="s">
        <v>14</v>
      </c>
      <c r="D806" s="48">
        <v>41639</v>
      </c>
      <c r="E806" s="3">
        <v>2952896000</v>
      </c>
      <c r="F806" s="3">
        <v>1668691000</v>
      </c>
      <c r="G806" s="3">
        <f>Project_Data_NYSE[[#This Row],[ Total Revenue ]]-Project_Data_NYSE[[#This Row],[ Cost of Goods Sold ]]</f>
        <v>1284205000</v>
      </c>
      <c r="H806" s="3">
        <v>505877000</v>
      </c>
      <c r="I806" s="3">
        <v>259838000</v>
      </c>
      <c r="J806" s="3">
        <v>0</v>
      </c>
      <c r="K806" s="3">
        <f>Project_Data_NYSE[[#This Row],[Gross Profit]]-Project_Data_NYSE[[#This Row],[ Sales, General and Admin. ]]-Project_Data_NYSE[[#This Row],[ Research and Development ]]-Project_Data_NYSE[[#This Row],[ Other Operating Items ]]</f>
        <v>518490000</v>
      </c>
      <c r="L806" t="s">
        <v>58</v>
      </c>
      <c r="M806" t="s">
        <v>59</v>
      </c>
      <c r="N806" s="31">
        <f>Project_Data_NYSE[[#This Row],[Gross Profit]]/Project_Data_NYSE[[#This Row],[ Total Revenue ]]</f>
        <v>0.43489679284336463</v>
      </c>
      <c r="O806" s="31">
        <f>Project_Data_NYSE[[#This Row],[Operating Profit]]/Project_Data_NYSE[[#This Row],[ Total Revenue ]]</f>
        <v>0.17558694921866533</v>
      </c>
    </row>
    <row r="807" spans="1:15" x14ac:dyDescent="0.2">
      <c r="A807">
        <v>833</v>
      </c>
      <c r="B807" t="s">
        <v>315</v>
      </c>
      <c r="C807" t="s">
        <v>15</v>
      </c>
      <c r="D807" s="48">
        <v>42004</v>
      </c>
      <c r="E807" s="3">
        <v>3088533000</v>
      </c>
      <c r="F807" s="3">
        <v>1726383000</v>
      </c>
      <c r="G807" s="3">
        <f>Project_Data_NYSE[[#This Row],[ Total Revenue ]]-Project_Data_NYSE[[#This Row],[ Cost of Goods Sold ]]</f>
        <v>1362150000</v>
      </c>
      <c r="H807" s="3">
        <v>514891000</v>
      </c>
      <c r="I807" s="3">
        <v>253640000</v>
      </c>
      <c r="J807" s="3">
        <v>0</v>
      </c>
      <c r="K807" s="3">
        <f>Project_Data_NYSE[[#This Row],[Gross Profit]]-Project_Data_NYSE[[#This Row],[ Sales, General and Admin. ]]-Project_Data_NYSE[[#This Row],[ Research and Development ]]-Project_Data_NYSE[[#This Row],[ Other Operating Items ]]</f>
        <v>593619000</v>
      </c>
      <c r="L807" t="s">
        <v>58</v>
      </c>
      <c r="M807" t="s">
        <v>59</v>
      </c>
      <c r="N807" s="31">
        <f>Project_Data_NYSE[[#This Row],[Gross Profit]]/Project_Data_NYSE[[#This Row],[ Total Revenue ]]</f>
        <v>0.44103462711908858</v>
      </c>
      <c r="O807" s="31">
        <f>Project_Data_NYSE[[#This Row],[Operating Profit]]/Project_Data_NYSE[[#This Row],[ Total Revenue ]]</f>
        <v>0.19220095754197866</v>
      </c>
    </row>
    <row r="808" spans="1:15" x14ac:dyDescent="0.2">
      <c r="A808">
        <v>834</v>
      </c>
      <c r="B808" t="s">
        <v>315</v>
      </c>
      <c r="C808" t="s">
        <v>16</v>
      </c>
      <c r="D808" s="48">
        <v>42369</v>
      </c>
      <c r="E808" s="3">
        <v>3023189000</v>
      </c>
      <c r="F808" s="3">
        <v>1671590000</v>
      </c>
      <c r="G808" s="3">
        <f>Project_Data_NYSE[[#This Row],[ Total Revenue ]]-Project_Data_NYSE[[#This Row],[ Cost of Goods Sold ]]</f>
        <v>1351599000</v>
      </c>
      <c r="H808" s="3">
        <v>509557000</v>
      </c>
      <c r="I808" s="3">
        <v>246101000</v>
      </c>
      <c r="J808" s="3">
        <v>0</v>
      </c>
      <c r="K808" s="3">
        <f>Project_Data_NYSE[[#This Row],[Gross Profit]]-Project_Data_NYSE[[#This Row],[ Sales, General and Admin. ]]-Project_Data_NYSE[[#This Row],[ Research and Development ]]-Project_Data_NYSE[[#This Row],[ Other Operating Items ]]</f>
        <v>595941000</v>
      </c>
      <c r="L808" t="s">
        <v>58</v>
      </c>
      <c r="M808" t="s">
        <v>59</v>
      </c>
      <c r="N808" s="31">
        <f>Project_Data_NYSE[[#This Row],[Gross Profit]]/Project_Data_NYSE[[#This Row],[ Total Revenue ]]</f>
        <v>0.44707724194550852</v>
      </c>
      <c r="O808" s="31">
        <f>Project_Data_NYSE[[#This Row],[Operating Profit]]/Project_Data_NYSE[[#This Row],[ Total Revenue ]]</f>
        <v>0.19712330257883315</v>
      </c>
    </row>
    <row r="809" spans="1:15" x14ac:dyDescent="0.2">
      <c r="A809">
        <v>235</v>
      </c>
      <c r="B809" t="s">
        <v>117</v>
      </c>
      <c r="C809" t="s">
        <v>14</v>
      </c>
      <c r="D809" s="48">
        <v>41639</v>
      </c>
      <c r="E809" s="3">
        <v>16385000000</v>
      </c>
      <c r="F809" s="3">
        <v>4619000000</v>
      </c>
      <c r="G809" s="3">
        <f>Project_Data_NYSE[[#This Row],[ Total Revenue ]]-Project_Data_NYSE[[#This Row],[ Cost of Goods Sold ]]</f>
        <v>11766000000</v>
      </c>
      <c r="H809" s="3">
        <v>4939000000</v>
      </c>
      <c r="I809" s="3">
        <v>3731000000</v>
      </c>
      <c r="J809" s="3">
        <v>0</v>
      </c>
      <c r="K809" s="3">
        <f>Project_Data_NYSE[[#This Row],[Gross Profit]]-Project_Data_NYSE[[#This Row],[ Sales, General and Admin. ]]-Project_Data_NYSE[[#This Row],[ Research and Development ]]-Project_Data_NYSE[[#This Row],[ Other Operating Items ]]</f>
        <v>3096000000</v>
      </c>
      <c r="L809" t="s">
        <v>24</v>
      </c>
      <c r="M809" t="s">
        <v>27</v>
      </c>
      <c r="N809" s="31">
        <f>Project_Data_NYSE[[#This Row],[Gross Profit]]/Project_Data_NYSE[[#This Row],[ Total Revenue ]]</f>
        <v>0.71809581934696365</v>
      </c>
      <c r="O809" s="31">
        <f>Project_Data_NYSE[[#This Row],[Operating Profit]]/Project_Data_NYSE[[#This Row],[ Total Revenue ]]</f>
        <v>0.1889533109551419</v>
      </c>
    </row>
    <row r="810" spans="1:15" x14ac:dyDescent="0.2">
      <c r="A810">
        <v>289</v>
      </c>
      <c r="B810" t="s">
        <v>134</v>
      </c>
      <c r="C810" t="s">
        <v>16</v>
      </c>
      <c r="D810" s="48">
        <v>42735</v>
      </c>
      <c r="E810" s="3">
        <v>4796473000</v>
      </c>
      <c r="F810" s="3">
        <v>779116000</v>
      </c>
      <c r="G810" s="3">
        <f>Project_Data_NYSE[[#This Row],[ Total Revenue ]]-Project_Data_NYSE[[#This Row],[ Cost of Goods Sold ]]</f>
        <v>4017357000</v>
      </c>
      <c r="H810" s="3">
        <v>2464380000</v>
      </c>
      <c r="I810" s="3">
        <v>551418000</v>
      </c>
      <c r="J810" s="3">
        <v>90546000</v>
      </c>
      <c r="K810" s="3">
        <f>Project_Data_NYSE[[#This Row],[Gross Profit]]-Project_Data_NYSE[[#This Row],[ Sales, General and Admin. ]]-Project_Data_NYSE[[#This Row],[ Research and Development ]]-Project_Data_NYSE[[#This Row],[ Other Operating Items ]]</f>
        <v>911013000</v>
      </c>
      <c r="L810" t="s">
        <v>24</v>
      </c>
      <c r="M810" t="s">
        <v>135</v>
      </c>
      <c r="N810" s="31">
        <f>Project_Data_NYSE[[#This Row],[Gross Profit]]/Project_Data_NYSE[[#This Row],[ Total Revenue ]]</f>
        <v>0.8375648106431538</v>
      </c>
      <c r="O810" s="31">
        <f>Project_Data_NYSE[[#This Row],[Operating Profit]]/Project_Data_NYSE[[#This Row],[ Total Revenue ]]</f>
        <v>0.18993393687403223</v>
      </c>
    </row>
    <row r="811" spans="1:15" x14ac:dyDescent="0.2">
      <c r="A811">
        <v>215</v>
      </c>
      <c r="B811" t="s">
        <v>111</v>
      </c>
      <c r="C811" t="s">
        <v>14</v>
      </c>
      <c r="D811" s="48">
        <v>41912</v>
      </c>
      <c r="E811" s="3">
        <v>8446000000</v>
      </c>
      <c r="F811" s="3">
        <v>4145000000</v>
      </c>
      <c r="G811" s="3">
        <f>Project_Data_NYSE[[#This Row],[ Total Revenue ]]-Project_Data_NYSE[[#This Row],[ Cost of Goods Sold ]]</f>
        <v>4301000000</v>
      </c>
      <c r="H811" s="3">
        <v>2145000000</v>
      </c>
      <c r="I811" s="3">
        <v>550000000</v>
      </c>
      <c r="J811" s="3">
        <v>0</v>
      </c>
      <c r="K811" s="3">
        <f>Project_Data_NYSE[[#This Row],[Gross Profit]]-Project_Data_NYSE[[#This Row],[ Sales, General and Admin. ]]-Project_Data_NYSE[[#This Row],[ Research and Development ]]-Project_Data_NYSE[[#This Row],[ Other Operating Items ]]</f>
        <v>1606000000</v>
      </c>
      <c r="L811" t="s">
        <v>24</v>
      </c>
      <c r="M811" t="s">
        <v>29</v>
      </c>
      <c r="N811" s="31">
        <f>Project_Data_NYSE[[#This Row],[Gross Profit]]/Project_Data_NYSE[[#This Row],[ Total Revenue ]]</f>
        <v>0.50923514089509825</v>
      </c>
      <c r="O811" s="31">
        <f>Project_Data_NYSE[[#This Row],[Operating Profit]]/Project_Data_NYSE[[#This Row],[ Total Revenue ]]</f>
        <v>0.19014918304522851</v>
      </c>
    </row>
    <row r="812" spans="1:15" x14ac:dyDescent="0.2">
      <c r="A812">
        <v>1102</v>
      </c>
      <c r="B812" t="s">
        <v>396</v>
      </c>
      <c r="C812" t="s">
        <v>16</v>
      </c>
      <c r="D812" s="48">
        <v>42369</v>
      </c>
      <c r="E812" s="3">
        <v>39498000000</v>
      </c>
      <c r="F812" s="3">
        <v>14934000000</v>
      </c>
      <c r="G812" s="3">
        <f>Project_Data_NYSE[[#This Row],[ Total Revenue ]]-Project_Data_NYSE[[#This Row],[ Cost of Goods Sold ]]</f>
        <v>24564000000</v>
      </c>
      <c r="H812" s="3">
        <v>10313000000</v>
      </c>
      <c r="I812" s="3">
        <v>6704000000</v>
      </c>
      <c r="J812" s="3">
        <v>0</v>
      </c>
      <c r="K812" s="3">
        <f>Project_Data_NYSE[[#This Row],[Gross Profit]]-Project_Data_NYSE[[#This Row],[ Sales, General and Admin. ]]-Project_Data_NYSE[[#This Row],[ Research and Development ]]-Project_Data_NYSE[[#This Row],[ Other Operating Items ]]</f>
        <v>7547000000</v>
      </c>
      <c r="L812" t="s">
        <v>24</v>
      </c>
      <c r="M812" t="s">
        <v>25</v>
      </c>
      <c r="N812" s="31">
        <f>Project_Data_NYSE[[#This Row],[Gross Profit]]/Project_Data_NYSE[[#This Row],[ Total Revenue ]]</f>
        <v>0.62190490657754827</v>
      </c>
      <c r="O812" s="31">
        <f>Project_Data_NYSE[[#This Row],[Operating Profit]]/Project_Data_NYSE[[#This Row],[ Total Revenue ]]</f>
        <v>0.19107296571978327</v>
      </c>
    </row>
    <row r="813" spans="1:15" x14ac:dyDescent="0.2">
      <c r="A813">
        <v>839</v>
      </c>
      <c r="B813" t="s">
        <v>318</v>
      </c>
      <c r="C813" t="s">
        <v>11</v>
      </c>
      <c r="D813" s="48">
        <v>41636</v>
      </c>
      <c r="E813" s="3">
        <v>52708000000</v>
      </c>
      <c r="F813" s="3">
        <v>21187000000</v>
      </c>
      <c r="G813" s="3">
        <f>Project_Data_NYSE[[#This Row],[ Total Revenue ]]-Project_Data_NYSE[[#This Row],[ Cost of Goods Sold ]]</f>
        <v>31521000000</v>
      </c>
      <c r="H813" s="3">
        <v>8088000000</v>
      </c>
      <c r="I813" s="3">
        <v>10611000000</v>
      </c>
      <c r="J813" s="3">
        <v>291000000</v>
      </c>
      <c r="K813" s="3">
        <f>Project_Data_NYSE[[#This Row],[Gross Profit]]-Project_Data_NYSE[[#This Row],[ Sales, General and Admin. ]]-Project_Data_NYSE[[#This Row],[ Research and Development ]]-Project_Data_NYSE[[#This Row],[ Other Operating Items ]]</f>
        <v>12531000000</v>
      </c>
      <c r="L813" t="s">
        <v>21</v>
      </c>
      <c r="M813" t="s">
        <v>33</v>
      </c>
      <c r="N813" s="31">
        <f>Project_Data_NYSE[[#This Row],[Gross Profit]]/Project_Data_NYSE[[#This Row],[ Total Revenue ]]</f>
        <v>0.5980306594824315</v>
      </c>
      <c r="O813" s="31">
        <f>Project_Data_NYSE[[#This Row],[Operating Profit]]/Project_Data_NYSE[[#This Row],[ Total Revenue ]]</f>
        <v>0.23774379600819609</v>
      </c>
    </row>
    <row r="814" spans="1:15" x14ac:dyDescent="0.2">
      <c r="A814">
        <v>840</v>
      </c>
      <c r="B814" t="s">
        <v>318</v>
      </c>
      <c r="C814" t="s">
        <v>14</v>
      </c>
      <c r="D814" s="48">
        <v>42000</v>
      </c>
      <c r="E814" s="3">
        <v>55870000000</v>
      </c>
      <c r="F814" s="3">
        <v>20261000000</v>
      </c>
      <c r="G814" s="3">
        <f>Project_Data_NYSE[[#This Row],[ Total Revenue ]]-Project_Data_NYSE[[#This Row],[ Cost of Goods Sold ]]</f>
        <v>35609000000</v>
      </c>
      <c r="H814" s="3">
        <v>8136000000</v>
      </c>
      <c r="I814" s="3">
        <v>11537000000</v>
      </c>
      <c r="J814" s="3">
        <v>294000000</v>
      </c>
      <c r="K814" s="3">
        <f>Project_Data_NYSE[[#This Row],[Gross Profit]]-Project_Data_NYSE[[#This Row],[ Sales, General and Admin. ]]-Project_Data_NYSE[[#This Row],[ Research and Development ]]-Project_Data_NYSE[[#This Row],[ Other Operating Items ]]</f>
        <v>15642000000</v>
      </c>
      <c r="L814" t="s">
        <v>21</v>
      </c>
      <c r="M814" t="s">
        <v>33</v>
      </c>
      <c r="N814" s="31">
        <f>Project_Data_NYSE[[#This Row],[Gross Profit]]/Project_Data_NYSE[[#This Row],[ Total Revenue ]]</f>
        <v>0.6373545731161625</v>
      </c>
      <c r="O814" s="31">
        <f>Project_Data_NYSE[[#This Row],[Operating Profit]]/Project_Data_NYSE[[#This Row],[ Total Revenue ]]</f>
        <v>0.27997136209056739</v>
      </c>
    </row>
    <row r="815" spans="1:15" x14ac:dyDescent="0.2">
      <c r="A815">
        <v>841</v>
      </c>
      <c r="B815" t="s">
        <v>318</v>
      </c>
      <c r="C815" t="s">
        <v>15</v>
      </c>
      <c r="D815" s="48">
        <v>42364</v>
      </c>
      <c r="E815" s="3">
        <v>55355000000</v>
      </c>
      <c r="F815" s="3">
        <v>20676000000</v>
      </c>
      <c r="G815" s="3">
        <f>Project_Data_NYSE[[#This Row],[ Total Revenue ]]-Project_Data_NYSE[[#This Row],[ Cost of Goods Sold ]]</f>
        <v>34679000000</v>
      </c>
      <c r="H815" s="3">
        <v>7930000000</v>
      </c>
      <c r="I815" s="3">
        <v>12128000000</v>
      </c>
      <c r="J815" s="3">
        <v>265000000</v>
      </c>
      <c r="K815" s="3">
        <f>Project_Data_NYSE[[#This Row],[Gross Profit]]-Project_Data_NYSE[[#This Row],[ Sales, General and Admin. ]]-Project_Data_NYSE[[#This Row],[ Research and Development ]]-Project_Data_NYSE[[#This Row],[ Other Operating Items ]]</f>
        <v>14356000000</v>
      </c>
      <c r="L815" t="s">
        <v>21</v>
      </c>
      <c r="M815" t="s">
        <v>33</v>
      </c>
      <c r="N815" s="31">
        <f>Project_Data_NYSE[[#This Row],[Gross Profit]]/Project_Data_NYSE[[#This Row],[ Total Revenue ]]</f>
        <v>0.62648360581699936</v>
      </c>
      <c r="O815" s="31">
        <f>Project_Data_NYSE[[#This Row],[Operating Profit]]/Project_Data_NYSE[[#This Row],[ Total Revenue ]]</f>
        <v>0.2593442326799747</v>
      </c>
    </row>
    <row r="816" spans="1:15" x14ac:dyDescent="0.2">
      <c r="A816">
        <v>842</v>
      </c>
      <c r="B816" t="s">
        <v>318</v>
      </c>
      <c r="C816" t="s">
        <v>16</v>
      </c>
      <c r="D816" s="48">
        <v>42735</v>
      </c>
      <c r="E816" s="3">
        <v>59387000000</v>
      </c>
      <c r="F816" s="3">
        <v>23196000000</v>
      </c>
      <c r="G816" s="3">
        <f>Project_Data_NYSE[[#This Row],[ Total Revenue ]]-Project_Data_NYSE[[#This Row],[ Cost of Goods Sold ]]</f>
        <v>36191000000</v>
      </c>
      <c r="H816" s="3">
        <v>8397000000</v>
      </c>
      <c r="I816" s="3">
        <v>12740000000</v>
      </c>
      <c r="J816" s="3">
        <v>294000000</v>
      </c>
      <c r="K816" s="3">
        <f>Project_Data_NYSE[[#This Row],[Gross Profit]]-Project_Data_NYSE[[#This Row],[ Sales, General and Admin. ]]-Project_Data_NYSE[[#This Row],[ Research and Development ]]-Project_Data_NYSE[[#This Row],[ Other Operating Items ]]</f>
        <v>14760000000</v>
      </c>
      <c r="L816" t="s">
        <v>21</v>
      </c>
      <c r="M816" t="s">
        <v>33</v>
      </c>
      <c r="N816" s="31">
        <f>Project_Data_NYSE[[#This Row],[Gross Profit]]/Project_Data_NYSE[[#This Row],[ Total Revenue ]]</f>
        <v>0.60940946671830531</v>
      </c>
      <c r="O816" s="31">
        <f>Project_Data_NYSE[[#This Row],[Operating Profit]]/Project_Data_NYSE[[#This Row],[ Total Revenue ]]</f>
        <v>0.24853924259518076</v>
      </c>
    </row>
    <row r="817" spans="1:15" x14ac:dyDescent="0.2">
      <c r="A817">
        <v>843</v>
      </c>
      <c r="B817" t="s">
        <v>319</v>
      </c>
      <c r="C817" t="s">
        <v>11</v>
      </c>
      <c r="D817" s="48">
        <v>41486</v>
      </c>
      <c r="E817" s="3">
        <v>3946000000</v>
      </c>
      <c r="F817" s="3">
        <v>527000000</v>
      </c>
      <c r="G817" s="3">
        <f>Project_Data_NYSE[[#This Row],[ Total Revenue ]]-Project_Data_NYSE[[#This Row],[ Cost of Goods Sold ]]</f>
        <v>3419000000</v>
      </c>
      <c r="H817" s="3">
        <v>1534000000</v>
      </c>
      <c r="I817" s="3">
        <v>647000000</v>
      </c>
      <c r="J817" s="3">
        <v>30000000</v>
      </c>
      <c r="K817" s="3">
        <f>Project_Data_NYSE[[#This Row],[Gross Profit]]-Project_Data_NYSE[[#This Row],[ Sales, General and Admin. ]]-Project_Data_NYSE[[#This Row],[ Research and Development ]]-Project_Data_NYSE[[#This Row],[ Other Operating Items ]]</f>
        <v>1208000000</v>
      </c>
      <c r="L817" t="s">
        <v>21</v>
      </c>
      <c r="M817" t="s">
        <v>56</v>
      </c>
      <c r="N817" s="31">
        <f>Project_Data_NYSE[[#This Row],[Gross Profit]]/Project_Data_NYSE[[#This Row],[ Total Revenue ]]</f>
        <v>0.86644703497212372</v>
      </c>
      <c r="O817" s="31">
        <f>Project_Data_NYSE[[#This Row],[Operating Profit]]/Project_Data_NYSE[[#This Row],[ Total Revenue ]]</f>
        <v>0.30613279270146987</v>
      </c>
    </row>
    <row r="818" spans="1:15" x14ac:dyDescent="0.2">
      <c r="A818">
        <v>844</v>
      </c>
      <c r="B818" t="s">
        <v>319</v>
      </c>
      <c r="C818" t="s">
        <v>14</v>
      </c>
      <c r="D818" s="48">
        <v>41851</v>
      </c>
      <c r="E818" s="3">
        <v>4243000000</v>
      </c>
      <c r="F818" s="3">
        <v>603000000</v>
      </c>
      <c r="G818" s="3">
        <f>Project_Data_NYSE[[#This Row],[ Total Revenue ]]-Project_Data_NYSE[[#This Row],[ Cost of Goods Sold ]]</f>
        <v>3640000000</v>
      </c>
      <c r="H818" s="3">
        <v>1601000000</v>
      </c>
      <c r="I818" s="3">
        <v>714000000</v>
      </c>
      <c r="J818" s="3">
        <v>25000000</v>
      </c>
      <c r="K818" s="3">
        <f>Project_Data_NYSE[[#This Row],[Gross Profit]]-Project_Data_NYSE[[#This Row],[ Sales, General and Admin. ]]-Project_Data_NYSE[[#This Row],[ Research and Development ]]-Project_Data_NYSE[[#This Row],[ Other Operating Items ]]</f>
        <v>1300000000</v>
      </c>
      <c r="L818" t="s">
        <v>21</v>
      </c>
      <c r="M818" t="s">
        <v>56</v>
      </c>
      <c r="N818" s="31">
        <f>Project_Data_NYSE[[#This Row],[Gross Profit]]/Project_Data_NYSE[[#This Row],[ Total Revenue ]]</f>
        <v>0.8578835729436719</v>
      </c>
      <c r="O818" s="31">
        <f>Project_Data_NYSE[[#This Row],[Operating Profit]]/Project_Data_NYSE[[#This Row],[ Total Revenue ]]</f>
        <v>0.30638699033702571</v>
      </c>
    </row>
    <row r="819" spans="1:15" x14ac:dyDescent="0.2">
      <c r="A819">
        <v>845</v>
      </c>
      <c r="B819" t="s">
        <v>319</v>
      </c>
      <c r="C819" t="s">
        <v>15</v>
      </c>
      <c r="D819" s="48">
        <v>42216</v>
      </c>
      <c r="E819" s="3">
        <v>4192000000</v>
      </c>
      <c r="F819" s="3">
        <v>695000000</v>
      </c>
      <c r="G819" s="3">
        <f>Project_Data_NYSE[[#This Row],[ Total Revenue ]]-Project_Data_NYSE[[#This Row],[ Cost of Goods Sold ]]</f>
        <v>3497000000</v>
      </c>
      <c r="H819" s="3">
        <v>1771000000</v>
      </c>
      <c r="I819" s="3">
        <v>798000000</v>
      </c>
      <c r="J819" s="3">
        <v>42000000</v>
      </c>
      <c r="K819" s="3">
        <f>Project_Data_NYSE[[#This Row],[Gross Profit]]-Project_Data_NYSE[[#This Row],[ Sales, General and Admin. ]]-Project_Data_NYSE[[#This Row],[ Research and Development ]]-Project_Data_NYSE[[#This Row],[ Other Operating Items ]]</f>
        <v>886000000</v>
      </c>
      <c r="L819" t="s">
        <v>21</v>
      </c>
      <c r="M819" t="s">
        <v>56</v>
      </c>
      <c r="N819" s="31">
        <f>Project_Data_NYSE[[#This Row],[Gross Profit]]/Project_Data_NYSE[[#This Row],[ Total Revenue ]]</f>
        <v>0.83420801526717558</v>
      </c>
      <c r="O819" s="31">
        <f>Project_Data_NYSE[[#This Row],[Operating Profit]]/Project_Data_NYSE[[#This Row],[ Total Revenue ]]</f>
        <v>0.21135496183206107</v>
      </c>
    </row>
    <row r="820" spans="1:15" x14ac:dyDescent="0.2">
      <c r="A820">
        <v>846</v>
      </c>
      <c r="B820" t="s">
        <v>319</v>
      </c>
      <c r="C820" t="s">
        <v>16</v>
      </c>
      <c r="D820" s="48">
        <v>42582</v>
      </c>
      <c r="E820" s="3">
        <v>4694000000</v>
      </c>
      <c r="F820" s="3">
        <v>730000000</v>
      </c>
      <c r="G820" s="3">
        <f>Project_Data_NYSE[[#This Row],[ Total Revenue ]]-Project_Data_NYSE[[#This Row],[ Cost of Goods Sold ]]</f>
        <v>3964000000</v>
      </c>
      <c r="H820" s="3">
        <v>1807000000</v>
      </c>
      <c r="I820" s="3">
        <v>881000000</v>
      </c>
      <c r="J820" s="3">
        <v>34000000</v>
      </c>
      <c r="K820" s="3">
        <f>Project_Data_NYSE[[#This Row],[Gross Profit]]-Project_Data_NYSE[[#This Row],[ Sales, General and Admin. ]]-Project_Data_NYSE[[#This Row],[ Research and Development ]]-Project_Data_NYSE[[#This Row],[ Other Operating Items ]]</f>
        <v>1242000000</v>
      </c>
      <c r="L820" t="s">
        <v>21</v>
      </c>
      <c r="M820" t="s">
        <v>56</v>
      </c>
      <c r="N820" s="31">
        <f>Project_Data_NYSE[[#This Row],[Gross Profit]]/Project_Data_NYSE[[#This Row],[ Total Revenue ]]</f>
        <v>0.84448231785257777</v>
      </c>
      <c r="O820" s="31">
        <f>Project_Data_NYSE[[#This Row],[Operating Profit]]/Project_Data_NYSE[[#This Row],[ Total Revenue ]]</f>
        <v>0.26459309757136773</v>
      </c>
    </row>
    <row r="821" spans="1:15" x14ac:dyDescent="0.2">
      <c r="A821">
        <v>847</v>
      </c>
      <c r="B821" t="s">
        <v>320</v>
      </c>
      <c r="C821" t="s">
        <v>11</v>
      </c>
      <c r="D821" s="48">
        <v>41274</v>
      </c>
      <c r="E821" s="3">
        <v>21852000000</v>
      </c>
      <c r="F821" s="3">
        <v>15287000000</v>
      </c>
      <c r="G821" s="3">
        <f>Project_Data_NYSE[[#This Row],[ Total Revenue ]]-Project_Data_NYSE[[#This Row],[ Cost of Goods Sold ]]</f>
        <v>6565000000</v>
      </c>
      <c r="H821" s="3">
        <v>3303000000</v>
      </c>
      <c r="I821" s="3">
        <v>0</v>
      </c>
      <c r="J821" s="3">
        <v>1473000000</v>
      </c>
      <c r="K821" s="3">
        <f>Project_Data_NYSE[[#This Row],[Gross Profit]]-Project_Data_NYSE[[#This Row],[ Sales, General and Admin. ]]-Project_Data_NYSE[[#This Row],[ Research and Development ]]-Project_Data_NYSE[[#This Row],[ Other Operating Items ]]</f>
        <v>1789000000</v>
      </c>
      <c r="L821" t="s">
        <v>58</v>
      </c>
      <c r="M821" t="s">
        <v>95</v>
      </c>
      <c r="N821" s="31">
        <f>Project_Data_NYSE[[#This Row],[Gross Profit]]/Project_Data_NYSE[[#This Row],[ Total Revenue ]]</f>
        <v>0.30043016657514188</v>
      </c>
      <c r="O821" s="31">
        <f>Project_Data_NYSE[[#This Row],[Operating Profit]]/Project_Data_NYSE[[#This Row],[ Total Revenue ]]</f>
        <v>8.1868936481786558E-2</v>
      </c>
    </row>
    <row r="822" spans="1:15" x14ac:dyDescent="0.2">
      <c r="A822">
        <v>848</v>
      </c>
      <c r="B822" t="s">
        <v>320</v>
      </c>
      <c r="C822" t="s">
        <v>14</v>
      </c>
      <c r="D822" s="48">
        <v>41639</v>
      </c>
      <c r="E822" s="3">
        <v>23483000000</v>
      </c>
      <c r="F822" s="3">
        <v>16282000000</v>
      </c>
      <c r="G822" s="3">
        <f>Project_Data_NYSE[[#This Row],[ Total Revenue ]]-Project_Data_NYSE[[#This Row],[ Cost of Goods Sold ]]</f>
        <v>7201000000</v>
      </c>
      <c r="H822" s="3">
        <v>3557000000</v>
      </c>
      <c r="I822" s="3">
        <v>0</v>
      </c>
      <c r="J822" s="3">
        <v>1531000000</v>
      </c>
      <c r="K822" s="3">
        <f>Project_Data_NYSE[[#This Row],[Gross Profit]]-Project_Data_NYSE[[#This Row],[ Sales, General and Admin. ]]-Project_Data_NYSE[[#This Row],[ Research and Development ]]-Project_Data_NYSE[[#This Row],[ Other Operating Items ]]</f>
        <v>2113000000</v>
      </c>
      <c r="L822" t="s">
        <v>58</v>
      </c>
      <c r="M822" t="s">
        <v>95</v>
      </c>
      <c r="N822" s="31">
        <f>Project_Data_NYSE[[#This Row],[Gross Profit]]/Project_Data_NYSE[[#This Row],[ Total Revenue ]]</f>
        <v>0.30664736192138992</v>
      </c>
      <c r="O822" s="31">
        <f>Project_Data_NYSE[[#This Row],[Operating Profit]]/Project_Data_NYSE[[#This Row],[ Total Revenue ]]</f>
        <v>8.9979985521441042E-2</v>
      </c>
    </row>
    <row r="823" spans="1:15" x14ac:dyDescent="0.2">
      <c r="A823">
        <v>849</v>
      </c>
      <c r="B823" t="s">
        <v>320</v>
      </c>
      <c r="C823" t="s">
        <v>15</v>
      </c>
      <c r="D823" s="48">
        <v>42004</v>
      </c>
      <c r="E823" s="3">
        <v>23617000000</v>
      </c>
      <c r="F823" s="3">
        <v>16254000000</v>
      </c>
      <c r="G823" s="3">
        <f>Project_Data_NYSE[[#This Row],[ Total Revenue ]]-Project_Data_NYSE[[#This Row],[ Cost of Goods Sold ]]</f>
        <v>7363000000</v>
      </c>
      <c r="H823" s="3">
        <v>3494000000</v>
      </c>
      <c r="I823" s="3">
        <v>0</v>
      </c>
      <c r="J823" s="3">
        <v>1406000000</v>
      </c>
      <c r="K823" s="3">
        <f>Project_Data_NYSE[[#This Row],[Gross Profit]]-Project_Data_NYSE[[#This Row],[ Sales, General and Admin. ]]-Project_Data_NYSE[[#This Row],[ Research and Development ]]-Project_Data_NYSE[[#This Row],[ Other Operating Items ]]</f>
        <v>2463000000</v>
      </c>
      <c r="L823" t="s">
        <v>58</v>
      </c>
      <c r="M823" t="s">
        <v>95</v>
      </c>
      <c r="N823" s="31">
        <f>Project_Data_NYSE[[#This Row],[Gross Profit]]/Project_Data_NYSE[[#This Row],[ Total Revenue ]]</f>
        <v>0.31176694753779055</v>
      </c>
      <c r="O823" s="31">
        <f>Project_Data_NYSE[[#This Row],[Operating Profit]]/Project_Data_NYSE[[#This Row],[ Total Revenue ]]</f>
        <v>0.10428928314349832</v>
      </c>
    </row>
    <row r="824" spans="1:15" x14ac:dyDescent="0.2">
      <c r="A824">
        <v>850</v>
      </c>
      <c r="B824" t="s">
        <v>320</v>
      </c>
      <c r="C824" t="s">
        <v>16</v>
      </c>
      <c r="D824" s="48">
        <v>42369</v>
      </c>
      <c r="E824" s="3">
        <v>22365000000</v>
      </c>
      <c r="F824" s="3">
        <v>15468000000</v>
      </c>
      <c r="G824" s="3">
        <f>Project_Data_NYSE[[#This Row],[ Total Revenue ]]-Project_Data_NYSE[[#This Row],[ Cost of Goods Sold ]]</f>
        <v>6897000000</v>
      </c>
      <c r="H824" s="3">
        <v>3219000000</v>
      </c>
      <c r="I824" s="3">
        <v>0</v>
      </c>
      <c r="J824" s="3">
        <v>1294000000</v>
      </c>
      <c r="K824" s="3">
        <f>Project_Data_NYSE[[#This Row],[Gross Profit]]-Project_Data_NYSE[[#This Row],[ Sales, General and Admin. ]]-Project_Data_NYSE[[#This Row],[ Research and Development ]]-Project_Data_NYSE[[#This Row],[ Other Operating Items ]]</f>
        <v>2384000000</v>
      </c>
      <c r="L824" t="s">
        <v>58</v>
      </c>
      <c r="M824" t="s">
        <v>95</v>
      </c>
      <c r="N824" s="31">
        <f>Project_Data_NYSE[[#This Row],[Gross Profit]]/Project_Data_NYSE[[#This Row],[ Total Revenue ]]</f>
        <v>0.30838363514419853</v>
      </c>
      <c r="O824" s="31">
        <f>Project_Data_NYSE[[#This Row],[Operating Profit]]/Project_Data_NYSE[[#This Row],[ Total Revenue ]]</f>
        <v>0.10659512631343618</v>
      </c>
    </row>
    <row r="825" spans="1:15" x14ac:dyDescent="0.2">
      <c r="A825">
        <v>851</v>
      </c>
      <c r="B825" t="s">
        <v>321</v>
      </c>
      <c r="C825" t="s">
        <v>11</v>
      </c>
      <c r="D825" s="48">
        <v>41274</v>
      </c>
      <c r="E825" s="3">
        <v>6956200000</v>
      </c>
      <c r="F825" s="3">
        <v>0</v>
      </c>
      <c r="G825" s="3">
        <f>Project_Data_NYSE[[#This Row],[ Total Revenue ]]-Project_Data_NYSE[[#This Row],[ Cost of Goods Sold ]]</f>
        <v>6956200000</v>
      </c>
      <c r="H825" s="3">
        <v>6279100000</v>
      </c>
      <c r="I825" s="3">
        <v>0</v>
      </c>
      <c r="J825" s="3">
        <v>0</v>
      </c>
      <c r="K825" s="3">
        <f>Project_Data_NYSE[[#This Row],[Gross Profit]]-Project_Data_NYSE[[#This Row],[ Sales, General and Admin. ]]-Project_Data_NYSE[[#This Row],[ Research and Development ]]-Project_Data_NYSE[[#This Row],[ Other Operating Items ]]</f>
        <v>677100000</v>
      </c>
      <c r="L825" t="s">
        <v>18</v>
      </c>
      <c r="M825" t="s">
        <v>322</v>
      </c>
      <c r="N825" s="31">
        <f>Project_Data_NYSE[[#This Row],[Gross Profit]]/Project_Data_NYSE[[#This Row],[ Total Revenue ]]</f>
        <v>1</v>
      </c>
      <c r="O825" s="31">
        <f>Project_Data_NYSE[[#This Row],[Operating Profit]]/Project_Data_NYSE[[#This Row],[ Total Revenue ]]</f>
        <v>9.7337626865242513E-2</v>
      </c>
    </row>
    <row r="826" spans="1:15" x14ac:dyDescent="0.2">
      <c r="A826">
        <v>852</v>
      </c>
      <c r="B826" t="s">
        <v>321</v>
      </c>
      <c r="C826" t="s">
        <v>14</v>
      </c>
      <c r="D826" s="48">
        <v>41639</v>
      </c>
      <c r="E826" s="3">
        <v>7122300000</v>
      </c>
      <c r="F826" s="3">
        <v>0</v>
      </c>
      <c r="G826" s="3">
        <f>Project_Data_NYSE[[#This Row],[ Total Revenue ]]-Project_Data_NYSE[[#This Row],[ Cost of Goods Sold ]]</f>
        <v>7122300000</v>
      </c>
      <c r="H826" s="3">
        <v>6463400000</v>
      </c>
      <c r="I826" s="3">
        <v>0</v>
      </c>
      <c r="J826" s="3">
        <v>0</v>
      </c>
      <c r="K826" s="3">
        <f>Project_Data_NYSE[[#This Row],[Gross Profit]]-Project_Data_NYSE[[#This Row],[ Sales, General and Admin. ]]-Project_Data_NYSE[[#This Row],[ Research and Development ]]-Project_Data_NYSE[[#This Row],[ Other Operating Items ]]</f>
        <v>658900000</v>
      </c>
      <c r="L826" t="s">
        <v>18</v>
      </c>
      <c r="M826" t="s">
        <v>322</v>
      </c>
      <c r="N826" s="31">
        <f>Project_Data_NYSE[[#This Row],[Gross Profit]]/Project_Data_NYSE[[#This Row],[ Total Revenue ]]</f>
        <v>1</v>
      </c>
      <c r="O826" s="31">
        <f>Project_Data_NYSE[[#This Row],[Operating Profit]]/Project_Data_NYSE[[#This Row],[ Total Revenue ]]</f>
        <v>9.2512250256237452E-2</v>
      </c>
    </row>
    <row r="827" spans="1:15" x14ac:dyDescent="0.2">
      <c r="A827">
        <v>853</v>
      </c>
      <c r="B827" t="s">
        <v>321</v>
      </c>
      <c r="C827" t="s">
        <v>15</v>
      </c>
      <c r="D827" s="48">
        <v>42004</v>
      </c>
      <c r="E827" s="3">
        <v>7537100000</v>
      </c>
      <c r="F827" s="3">
        <v>0</v>
      </c>
      <c r="G827" s="3">
        <f>Project_Data_NYSE[[#This Row],[ Total Revenue ]]-Project_Data_NYSE[[#This Row],[ Cost of Goods Sold ]]</f>
        <v>7537100000</v>
      </c>
      <c r="H827" s="3">
        <v>6748500000</v>
      </c>
      <c r="I827" s="3">
        <v>0</v>
      </c>
      <c r="J827" s="3">
        <v>0</v>
      </c>
      <c r="K827" s="3">
        <f>Project_Data_NYSE[[#This Row],[Gross Profit]]-Project_Data_NYSE[[#This Row],[ Sales, General and Admin. ]]-Project_Data_NYSE[[#This Row],[ Research and Development ]]-Project_Data_NYSE[[#This Row],[ Other Operating Items ]]</f>
        <v>788600000</v>
      </c>
      <c r="L827" t="s">
        <v>18</v>
      </c>
      <c r="M827" t="s">
        <v>322</v>
      </c>
      <c r="N827" s="31">
        <f>Project_Data_NYSE[[#This Row],[Gross Profit]]/Project_Data_NYSE[[#This Row],[ Total Revenue ]]</f>
        <v>1</v>
      </c>
      <c r="O827" s="31">
        <f>Project_Data_NYSE[[#This Row],[Operating Profit]]/Project_Data_NYSE[[#This Row],[ Total Revenue ]]</f>
        <v>0.10462910137851428</v>
      </c>
    </row>
    <row r="828" spans="1:15" x14ac:dyDescent="0.2">
      <c r="A828">
        <v>854</v>
      </c>
      <c r="B828" t="s">
        <v>321</v>
      </c>
      <c r="C828" t="s">
        <v>16</v>
      </c>
      <c r="D828" s="48">
        <v>42369</v>
      </c>
      <c r="E828" s="3">
        <v>7613800000</v>
      </c>
      <c r="F828" s="3">
        <v>0</v>
      </c>
      <c r="G828" s="3">
        <f>Project_Data_NYSE[[#This Row],[ Total Revenue ]]-Project_Data_NYSE[[#This Row],[ Cost of Goods Sold ]]</f>
        <v>7613800000</v>
      </c>
      <c r="H828" s="3">
        <v>6742700000</v>
      </c>
      <c r="I828" s="3">
        <v>0</v>
      </c>
      <c r="J828" s="3">
        <v>0</v>
      </c>
      <c r="K828" s="3">
        <f>Project_Data_NYSE[[#This Row],[Gross Profit]]-Project_Data_NYSE[[#This Row],[ Sales, General and Admin. ]]-Project_Data_NYSE[[#This Row],[ Research and Development ]]-Project_Data_NYSE[[#This Row],[ Other Operating Items ]]</f>
        <v>871100000</v>
      </c>
      <c r="L828" t="s">
        <v>18</v>
      </c>
      <c r="M828" t="s">
        <v>322</v>
      </c>
      <c r="N828" s="31">
        <f>Project_Data_NYSE[[#This Row],[Gross Profit]]/Project_Data_NYSE[[#This Row],[ Total Revenue ]]</f>
        <v>1</v>
      </c>
      <c r="O828" s="31">
        <f>Project_Data_NYSE[[#This Row],[Operating Profit]]/Project_Data_NYSE[[#This Row],[ Total Revenue ]]</f>
        <v>0.11441067535264914</v>
      </c>
    </row>
    <row r="829" spans="1:15" x14ac:dyDescent="0.2">
      <c r="A829">
        <v>855</v>
      </c>
      <c r="B829" t="s">
        <v>323</v>
      </c>
      <c r="C829" t="s">
        <v>11</v>
      </c>
      <c r="D829" s="48">
        <v>41274</v>
      </c>
      <c r="E829" s="3">
        <v>3003955000</v>
      </c>
      <c r="F829" s="3">
        <v>1277113000</v>
      </c>
      <c r="G829" s="3">
        <f>Project_Data_NYSE[[#This Row],[ Total Revenue ]]-Project_Data_NYSE[[#This Row],[ Cost of Goods Sold ]]</f>
        <v>1726842000</v>
      </c>
      <c r="H829" s="3">
        <v>850371000</v>
      </c>
      <c r="I829" s="3">
        <v>0</v>
      </c>
      <c r="J829" s="3">
        <v>316344000</v>
      </c>
      <c r="K829" s="3">
        <f>Project_Data_NYSE[[#This Row],[Gross Profit]]-Project_Data_NYSE[[#This Row],[ Sales, General and Admin. ]]-Project_Data_NYSE[[#This Row],[ Research and Development ]]-Project_Data_NYSE[[#This Row],[ Other Operating Items ]]</f>
        <v>560127000</v>
      </c>
      <c r="L829" t="s">
        <v>51</v>
      </c>
      <c r="M829" t="s">
        <v>52</v>
      </c>
      <c r="N829" s="31">
        <f>Project_Data_NYSE[[#This Row],[Gross Profit]]/Project_Data_NYSE[[#This Row],[ Total Revenue ]]</f>
        <v>0.57485614797824869</v>
      </c>
      <c r="O829" s="31">
        <f>Project_Data_NYSE[[#This Row],[Operating Profit]]/Project_Data_NYSE[[#This Row],[ Total Revenue ]]</f>
        <v>0.18646317937519039</v>
      </c>
    </row>
    <row r="830" spans="1:15" x14ac:dyDescent="0.2">
      <c r="A830">
        <v>856</v>
      </c>
      <c r="B830" t="s">
        <v>323</v>
      </c>
      <c r="C830" t="s">
        <v>14</v>
      </c>
      <c r="D830" s="48">
        <v>41639</v>
      </c>
      <c r="E830" s="3">
        <v>3024623000</v>
      </c>
      <c r="F830" s="3">
        <v>1288878000</v>
      </c>
      <c r="G830" s="3">
        <f>Project_Data_NYSE[[#This Row],[ Total Revenue ]]-Project_Data_NYSE[[#This Row],[ Cost of Goods Sold ]]</f>
        <v>1735745000</v>
      </c>
      <c r="H830" s="3">
        <v>924031000</v>
      </c>
      <c r="I830" s="3">
        <v>0</v>
      </c>
      <c r="J830" s="3">
        <v>322037000</v>
      </c>
      <c r="K830" s="3">
        <f>Project_Data_NYSE[[#This Row],[Gross Profit]]-Project_Data_NYSE[[#This Row],[ Sales, General and Admin. ]]-Project_Data_NYSE[[#This Row],[ Research and Development ]]-Project_Data_NYSE[[#This Row],[ Other Operating Items ]]</f>
        <v>489677000</v>
      </c>
      <c r="L830" t="s">
        <v>51</v>
      </c>
      <c r="M830" t="s">
        <v>52</v>
      </c>
      <c r="N830" s="31">
        <f>Project_Data_NYSE[[#This Row],[Gross Profit]]/Project_Data_NYSE[[#This Row],[ Total Revenue ]]</f>
        <v>0.57387152051677182</v>
      </c>
      <c r="O830" s="31">
        <f>Project_Data_NYSE[[#This Row],[Operating Profit]]/Project_Data_NYSE[[#This Row],[ Total Revenue ]]</f>
        <v>0.16189687111418513</v>
      </c>
    </row>
    <row r="831" spans="1:15" x14ac:dyDescent="0.2">
      <c r="A831">
        <v>857</v>
      </c>
      <c r="B831" t="s">
        <v>323</v>
      </c>
      <c r="C831" t="s">
        <v>15</v>
      </c>
      <c r="D831" s="48">
        <v>42004</v>
      </c>
      <c r="E831" s="3">
        <v>3117693000</v>
      </c>
      <c r="F831" s="3">
        <v>1344636000</v>
      </c>
      <c r="G831" s="3">
        <f>Project_Data_NYSE[[#This Row],[ Total Revenue ]]-Project_Data_NYSE[[#This Row],[ Cost of Goods Sold ]]</f>
        <v>1773057000</v>
      </c>
      <c r="H831" s="3">
        <v>869572000</v>
      </c>
      <c r="I831" s="3">
        <v>0</v>
      </c>
      <c r="J831" s="3">
        <v>353143000</v>
      </c>
      <c r="K831" s="3">
        <f>Project_Data_NYSE[[#This Row],[Gross Profit]]-Project_Data_NYSE[[#This Row],[ Sales, General and Admin. ]]-Project_Data_NYSE[[#This Row],[ Research and Development ]]-Project_Data_NYSE[[#This Row],[ Other Operating Items ]]</f>
        <v>550342000</v>
      </c>
      <c r="L831" t="s">
        <v>51</v>
      </c>
      <c r="M831" t="s">
        <v>52</v>
      </c>
      <c r="N831" s="31">
        <f>Project_Data_NYSE[[#This Row],[Gross Profit]]/Project_Data_NYSE[[#This Row],[ Total Revenue ]]</f>
        <v>0.56870801583093655</v>
      </c>
      <c r="O831" s="31">
        <f>Project_Data_NYSE[[#This Row],[Operating Profit]]/Project_Data_NYSE[[#This Row],[ Total Revenue ]]</f>
        <v>0.1765221912484648</v>
      </c>
    </row>
    <row r="832" spans="1:15" x14ac:dyDescent="0.2">
      <c r="A832">
        <v>858</v>
      </c>
      <c r="B832" t="s">
        <v>323</v>
      </c>
      <c r="C832" t="s">
        <v>16</v>
      </c>
      <c r="D832" s="48">
        <v>42369</v>
      </c>
      <c r="E832" s="3">
        <v>3007976000</v>
      </c>
      <c r="F832" s="3">
        <v>1290025000</v>
      </c>
      <c r="G832" s="3">
        <f>Project_Data_NYSE[[#This Row],[ Total Revenue ]]-Project_Data_NYSE[[#This Row],[ Cost of Goods Sold ]]</f>
        <v>1717951000</v>
      </c>
      <c r="H832" s="3">
        <v>844960000</v>
      </c>
      <c r="I832" s="3">
        <v>0</v>
      </c>
      <c r="J832" s="3">
        <v>345464000</v>
      </c>
      <c r="K832" s="3">
        <f>Project_Data_NYSE[[#This Row],[Gross Profit]]-Project_Data_NYSE[[#This Row],[ Sales, General and Admin. ]]-Project_Data_NYSE[[#This Row],[ Research and Development ]]-Project_Data_NYSE[[#This Row],[ Other Operating Items ]]</f>
        <v>527527000</v>
      </c>
      <c r="L832" t="s">
        <v>51</v>
      </c>
      <c r="M832" t="s">
        <v>52</v>
      </c>
      <c r="N832" s="31">
        <f>Project_Data_NYSE[[#This Row],[Gross Profit]]/Project_Data_NYSE[[#This Row],[ Total Revenue ]]</f>
        <v>0.57113188403098958</v>
      </c>
      <c r="O832" s="31">
        <f>Project_Data_NYSE[[#This Row],[Operating Profit]]/Project_Data_NYSE[[#This Row],[ Total Revenue ]]</f>
        <v>0.17537606683032045</v>
      </c>
    </row>
    <row r="833" spans="1:15" x14ac:dyDescent="0.2">
      <c r="A833">
        <v>1485</v>
      </c>
      <c r="B833" t="s">
        <v>495</v>
      </c>
      <c r="C833" t="s">
        <v>16</v>
      </c>
      <c r="D833" s="48">
        <v>42735</v>
      </c>
      <c r="E833" s="3">
        <v>11325000000</v>
      </c>
      <c r="F833" s="3">
        <v>3830000000</v>
      </c>
      <c r="G833" s="3">
        <f>Project_Data_NYSE[[#This Row],[ Total Revenue ]]-Project_Data_NYSE[[#This Row],[ Cost of Goods Sold ]]</f>
        <v>7495000000</v>
      </c>
      <c r="H833" s="3">
        <v>4295000000</v>
      </c>
      <c r="I833" s="3">
        <v>715000000</v>
      </c>
      <c r="J833" s="3">
        <v>319000000</v>
      </c>
      <c r="K833" s="3">
        <f>Project_Data_NYSE[[#This Row],[Gross Profit]]-Project_Data_NYSE[[#This Row],[ Sales, General and Admin. ]]-Project_Data_NYSE[[#This Row],[ Research and Development ]]-Project_Data_NYSE[[#This Row],[ Other Operating Items ]]</f>
        <v>2166000000</v>
      </c>
      <c r="L833" t="s">
        <v>24</v>
      </c>
      <c r="M833" t="s">
        <v>29</v>
      </c>
      <c r="N833" s="31">
        <f>Project_Data_NYSE[[#This Row],[Gross Profit]]/Project_Data_NYSE[[#This Row],[ Total Revenue ]]</f>
        <v>0.66181015452538627</v>
      </c>
      <c r="O833" s="31">
        <f>Project_Data_NYSE[[#This Row],[Operating Profit]]/Project_Data_NYSE[[#This Row],[ Total Revenue ]]</f>
        <v>0.19125827814569538</v>
      </c>
    </row>
    <row r="834" spans="1:15" x14ac:dyDescent="0.2">
      <c r="A834">
        <v>1116</v>
      </c>
      <c r="B834" t="s">
        <v>401</v>
      </c>
      <c r="C834" t="s">
        <v>14</v>
      </c>
      <c r="D834" s="48">
        <v>42004</v>
      </c>
      <c r="E834" s="3">
        <v>2485983000</v>
      </c>
      <c r="F834" s="3">
        <v>1127233000</v>
      </c>
      <c r="G834" s="3">
        <f>Project_Data_NYSE[[#This Row],[ Total Revenue ]]-Project_Data_NYSE[[#This Row],[ Cost of Goods Sold ]]</f>
        <v>1358750000</v>
      </c>
      <c r="H834" s="3">
        <v>728582000</v>
      </c>
      <c r="I834" s="3">
        <v>123297000</v>
      </c>
      <c r="J834" s="3">
        <v>29185000</v>
      </c>
      <c r="K834" s="3">
        <f>Project_Data_NYSE[[#This Row],[Gross Profit]]-Project_Data_NYSE[[#This Row],[ Sales, General and Admin. ]]-Project_Data_NYSE[[#This Row],[ Research and Development ]]-Project_Data_NYSE[[#This Row],[ Other Operating Items ]]</f>
        <v>477686000</v>
      </c>
      <c r="L834" t="s">
        <v>24</v>
      </c>
      <c r="M834" t="s">
        <v>317</v>
      </c>
      <c r="N834" s="31">
        <f>Project_Data_NYSE[[#This Row],[Gross Profit]]/Project_Data_NYSE[[#This Row],[ Total Revenue ]]</f>
        <v>0.54656447771364491</v>
      </c>
      <c r="O834" s="31">
        <f>Project_Data_NYSE[[#This Row],[Operating Profit]]/Project_Data_NYSE[[#This Row],[ Total Revenue ]]</f>
        <v>0.19215175646816571</v>
      </c>
    </row>
    <row r="835" spans="1:15" x14ac:dyDescent="0.2">
      <c r="A835">
        <v>830</v>
      </c>
      <c r="B835" t="s">
        <v>314</v>
      </c>
      <c r="C835" t="s">
        <v>16</v>
      </c>
      <c r="D835" s="48">
        <v>42369</v>
      </c>
      <c r="E835" s="3">
        <v>1601892000</v>
      </c>
      <c r="F835" s="3">
        <v>711622000</v>
      </c>
      <c r="G835" s="3">
        <f>Project_Data_NYSE[[#This Row],[ Total Revenue ]]-Project_Data_NYSE[[#This Row],[ Cost of Goods Sold ]]</f>
        <v>890270000</v>
      </c>
      <c r="H835" s="3">
        <v>482465000</v>
      </c>
      <c r="I835" s="3">
        <v>99681000</v>
      </c>
      <c r="J835" s="3">
        <v>0</v>
      </c>
      <c r="K835" s="3">
        <f>Project_Data_NYSE[[#This Row],[Gross Profit]]-Project_Data_NYSE[[#This Row],[ Sales, General and Admin. ]]-Project_Data_NYSE[[#This Row],[ Research and Development ]]-Project_Data_NYSE[[#This Row],[ Other Operating Items ]]</f>
        <v>308124000</v>
      </c>
      <c r="L835" t="s">
        <v>24</v>
      </c>
      <c r="M835" t="s">
        <v>29</v>
      </c>
      <c r="N835" s="31">
        <f>Project_Data_NYSE[[#This Row],[Gross Profit]]/Project_Data_NYSE[[#This Row],[ Total Revenue ]]</f>
        <v>0.55576156195299053</v>
      </c>
      <c r="O835" s="31">
        <f>Project_Data_NYSE[[#This Row],[Operating Profit]]/Project_Data_NYSE[[#This Row],[ Total Revenue ]]</f>
        <v>0.19235004607052161</v>
      </c>
    </row>
    <row r="836" spans="1:15" x14ac:dyDescent="0.2">
      <c r="A836">
        <v>828</v>
      </c>
      <c r="B836" t="s">
        <v>314</v>
      </c>
      <c r="C836" t="s">
        <v>14</v>
      </c>
      <c r="D836" s="48">
        <v>41639</v>
      </c>
      <c r="E836" s="3">
        <v>1377058000</v>
      </c>
      <c r="F836" s="3">
        <v>620940000</v>
      </c>
      <c r="G836" s="3">
        <f>Project_Data_NYSE[[#This Row],[ Total Revenue ]]-Project_Data_NYSE[[#This Row],[ Cost of Goods Sold ]]</f>
        <v>756118000</v>
      </c>
      <c r="H836" s="3">
        <v>401353000</v>
      </c>
      <c r="I836" s="3">
        <v>88003000</v>
      </c>
      <c r="J836" s="3">
        <v>0</v>
      </c>
      <c r="K836" s="3">
        <f>Project_Data_NYSE[[#This Row],[Gross Profit]]-Project_Data_NYSE[[#This Row],[ Sales, General and Admin. ]]-Project_Data_NYSE[[#This Row],[ Research and Development ]]-Project_Data_NYSE[[#This Row],[ Other Operating Items ]]</f>
        <v>266762000</v>
      </c>
      <c r="L836" t="s">
        <v>24</v>
      </c>
      <c r="M836" t="s">
        <v>29</v>
      </c>
      <c r="N836" s="31">
        <f>Project_Data_NYSE[[#This Row],[Gross Profit]]/Project_Data_NYSE[[#This Row],[ Total Revenue ]]</f>
        <v>0.54908217373560153</v>
      </c>
      <c r="O836" s="31">
        <f>Project_Data_NYSE[[#This Row],[Operating Profit]]/Project_Data_NYSE[[#This Row],[ Total Revenue ]]</f>
        <v>0.19371878308684165</v>
      </c>
    </row>
    <row r="837" spans="1:15" x14ac:dyDescent="0.2">
      <c r="A837">
        <v>863</v>
      </c>
      <c r="B837" t="s">
        <v>325</v>
      </c>
      <c r="C837" t="s">
        <v>11</v>
      </c>
      <c r="D837" s="48">
        <v>41639</v>
      </c>
      <c r="E837" s="3">
        <v>14135000000</v>
      </c>
      <c r="F837" s="3">
        <v>8554000000</v>
      </c>
      <c r="G837" s="3">
        <f>Project_Data_NYSE[[#This Row],[ Total Revenue ]]-Project_Data_NYSE[[#This Row],[ Cost of Goods Sold ]]</f>
        <v>5581000000</v>
      </c>
      <c r="H837" s="3">
        <v>2815000000</v>
      </c>
      <c r="I837" s="3">
        <v>0</v>
      </c>
      <c r="J837" s="3">
        <v>250000000</v>
      </c>
      <c r="K837" s="3">
        <f>Project_Data_NYSE[[#This Row],[Gross Profit]]-Project_Data_NYSE[[#This Row],[ Sales, General and Admin. ]]-Project_Data_NYSE[[#This Row],[ Research and Development ]]-Project_Data_NYSE[[#This Row],[ Other Operating Items ]]</f>
        <v>2516000000</v>
      </c>
      <c r="L837" t="s">
        <v>12</v>
      </c>
      <c r="M837" t="s">
        <v>156</v>
      </c>
      <c r="N837" s="31">
        <f>Project_Data_NYSE[[#This Row],[Gross Profit]]/Project_Data_NYSE[[#This Row],[ Total Revenue ]]</f>
        <v>0.39483551467987266</v>
      </c>
      <c r="O837" s="31">
        <f>Project_Data_NYSE[[#This Row],[Operating Profit]]/Project_Data_NYSE[[#This Row],[ Total Revenue ]]</f>
        <v>0.17799787760877256</v>
      </c>
    </row>
    <row r="838" spans="1:15" x14ac:dyDescent="0.2">
      <c r="A838">
        <v>864</v>
      </c>
      <c r="B838" t="s">
        <v>325</v>
      </c>
      <c r="C838" t="s">
        <v>14</v>
      </c>
      <c r="D838" s="48">
        <v>42004</v>
      </c>
      <c r="E838" s="3">
        <v>14484000000</v>
      </c>
      <c r="F838" s="3">
        <v>8673000000</v>
      </c>
      <c r="G838" s="3">
        <f>Project_Data_NYSE[[#This Row],[ Total Revenue ]]-Project_Data_NYSE[[#This Row],[ Cost of Goods Sold ]]</f>
        <v>5811000000</v>
      </c>
      <c r="H838" s="3">
        <v>2678000000</v>
      </c>
      <c r="I838" s="3">
        <v>0</v>
      </c>
      <c r="J838" s="3">
        <v>245000000</v>
      </c>
      <c r="K838" s="3">
        <f>Project_Data_NYSE[[#This Row],[Gross Profit]]-Project_Data_NYSE[[#This Row],[ Sales, General and Admin. ]]-Project_Data_NYSE[[#This Row],[ Research and Development ]]-Project_Data_NYSE[[#This Row],[ Other Operating Items ]]</f>
        <v>2888000000</v>
      </c>
      <c r="L838" t="s">
        <v>12</v>
      </c>
      <c r="M838" t="s">
        <v>156</v>
      </c>
      <c r="N838" s="31">
        <f>Project_Data_NYSE[[#This Row],[Gross Profit]]/Project_Data_NYSE[[#This Row],[ Total Revenue ]]</f>
        <v>0.40120132560066279</v>
      </c>
      <c r="O838" s="31">
        <f>Project_Data_NYSE[[#This Row],[Operating Profit]]/Project_Data_NYSE[[#This Row],[ Total Revenue ]]</f>
        <v>0.19939243302954984</v>
      </c>
    </row>
    <row r="839" spans="1:15" x14ac:dyDescent="0.2">
      <c r="A839">
        <v>865</v>
      </c>
      <c r="B839" t="s">
        <v>325</v>
      </c>
      <c r="C839" t="s">
        <v>15</v>
      </c>
      <c r="D839" s="48">
        <v>42369</v>
      </c>
      <c r="E839" s="3">
        <v>13405000000</v>
      </c>
      <c r="F839" s="3">
        <v>7888000000</v>
      </c>
      <c r="G839" s="3">
        <f>Project_Data_NYSE[[#This Row],[ Total Revenue ]]-Project_Data_NYSE[[#This Row],[ Cost of Goods Sold ]]</f>
        <v>5517000000</v>
      </c>
      <c r="H839" s="3">
        <v>2417000000</v>
      </c>
      <c r="I839" s="3">
        <v>0</v>
      </c>
      <c r="J839" s="3">
        <v>233000000</v>
      </c>
      <c r="K839" s="3">
        <f>Project_Data_NYSE[[#This Row],[Gross Profit]]-Project_Data_NYSE[[#This Row],[ Sales, General and Admin. ]]-Project_Data_NYSE[[#This Row],[ Research and Development ]]-Project_Data_NYSE[[#This Row],[ Other Operating Items ]]</f>
        <v>2867000000</v>
      </c>
      <c r="L839" t="s">
        <v>12</v>
      </c>
      <c r="M839" t="s">
        <v>156</v>
      </c>
      <c r="N839" s="31">
        <f>Project_Data_NYSE[[#This Row],[Gross Profit]]/Project_Data_NYSE[[#This Row],[ Total Revenue ]]</f>
        <v>0.41156284968295415</v>
      </c>
      <c r="O839" s="31">
        <f>Project_Data_NYSE[[#This Row],[Operating Profit]]/Project_Data_NYSE[[#This Row],[ Total Revenue ]]</f>
        <v>0.21387541961954495</v>
      </c>
    </row>
    <row r="840" spans="1:15" x14ac:dyDescent="0.2">
      <c r="A840">
        <v>866</v>
      </c>
      <c r="B840" t="s">
        <v>325</v>
      </c>
      <c r="C840" t="s">
        <v>16</v>
      </c>
      <c r="D840" s="48">
        <v>42735</v>
      </c>
      <c r="E840" s="3">
        <v>13599000000</v>
      </c>
      <c r="F840" s="3">
        <v>7896000000</v>
      </c>
      <c r="G840" s="3">
        <f>Project_Data_NYSE[[#This Row],[ Total Revenue ]]-Project_Data_NYSE[[#This Row],[ Cost of Goods Sold ]]</f>
        <v>5703000000</v>
      </c>
      <c r="H840" s="3">
        <v>2415000000</v>
      </c>
      <c r="I840" s="3">
        <v>0</v>
      </c>
      <c r="J840" s="3">
        <v>224000000</v>
      </c>
      <c r="K840" s="3">
        <f>Project_Data_NYSE[[#This Row],[Gross Profit]]-Project_Data_NYSE[[#This Row],[ Sales, General and Admin. ]]-Project_Data_NYSE[[#This Row],[ Research and Development ]]-Project_Data_NYSE[[#This Row],[ Other Operating Items ]]</f>
        <v>3064000000</v>
      </c>
      <c r="L840" t="s">
        <v>12</v>
      </c>
      <c r="M840" t="s">
        <v>156</v>
      </c>
      <c r="N840" s="31">
        <f>Project_Data_NYSE[[#This Row],[Gross Profit]]/Project_Data_NYSE[[#This Row],[ Total Revenue ]]</f>
        <v>0.41936907125523937</v>
      </c>
      <c r="O840" s="31">
        <f>Project_Data_NYSE[[#This Row],[Operating Profit]]/Project_Data_NYSE[[#This Row],[ Total Revenue ]]</f>
        <v>0.22531068460916243</v>
      </c>
    </row>
    <row r="841" spans="1:15" x14ac:dyDescent="0.2">
      <c r="A841">
        <v>867</v>
      </c>
      <c r="B841" t="s">
        <v>326</v>
      </c>
      <c r="C841" t="s">
        <v>11</v>
      </c>
      <c r="D841" s="48">
        <v>41274</v>
      </c>
      <c r="E841" s="3">
        <v>4050400000</v>
      </c>
      <c r="F841" s="3">
        <v>0</v>
      </c>
      <c r="G841" s="3">
        <f>Project_Data_NYSE[[#This Row],[ Total Revenue ]]-Project_Data_NYSE[[#This Row],[ Cost of Goods Sold ]]</f>
        <v>4050400000</v>
      </c>
      <c r="H841" s="3">
        <v>3207800000</v>
      </c>
      <c r="I841" s="3">
        <v>0</v>
      </c>
      <c r="J841" s="3">
        <v>0</v>
      </c>
      <c r="K841" s="3">
        <f>Project_Data_NYSE[[#This Row],[Gross Profit]]-Project_Data_NYSE[[#This Row],[ Sales, General and Admin. ]]-Project_Data_NYSE[[#This Row],[ Research and Development ]]-Project_Data_NYSE[[#This Row],[ Other Operating Items ]]</f>
        <v>842600000</v>
      </c>
      <c r="L841" t="s">
        <v>46</v>
      </c>
      <c r="M841" t="s">
        <v>72</v>
      </c>
      <c r="N841" s="31">
        <f>Project_Data_NYSE[[#This Row],[Gross Profit]]/Project_Data_NYSE[[#This Row],[ Total Revenue ]]</f>
        <v>1</v>
      </c>
      <c r="O841" s="31">
        <f>Project_Data_NYSE[[#This Row],[Operating Profit]]/Project_Data_NYSE[[#This Row],[ Total Revenue ]]</f>
        <v>0.20802883665810784</v>
      </c>
    </row>
    <row r="842" spans="1:15" x14ac:dyDescent="0.2">
      <c r="A842">
        <v>868</v>
      </c>
      <c r="B842" t="s">
        <v>326</v>
      </c>
      <c r="C842" t="s">
        <v>14</v>
      </c>
      <c r="D842" s="48">
        <v>41639</v>
      </c>
      <c r="E842" s="3">
        <v>4644600000</v>
      </c>
      <c r="F842" s="3">
        <v>0</v>
      </c>
      <c r="G842" s="3">
        <f>Project_Data_NYSE[[#This Row],[ Total Revenue ]]-Project_Data_NYSE[[#This Row],[ Cost of Goods Sold ]]</f>
        <v>4644600000</v>
      </c>
      <c r="H842" s="3">
        <v>3524400000</v>
      </c>
      <c r="I842" s="3">
        <v>0</v>
      </c>
      <c r="J842" s="3">
        <v>0</v>
      </c>
      <c r="K842" s="3">
        <f>Project_Data_NYSE[[#This Row],[Gross Profit]]-Project_Data_NYSE[[#This Row],[ Sales, General and Admin. ]]-Project_Data_NYSE[[#This Row],[ Research and Development ]]-Project_Data_NYSE[[#This Row],[ Other Operating Items ]]</f>
        <v>1120200000</v>
      </c>
      <c r="L842" t="s">
        <v>46</v>
      </c>
      <c r="M842" t="s">
        <v>72</v>
      </c>
      <c r="N842" s="31">
        <f>Project_Data_NYSE[[#This Row],[Gross Profit]]/Project_Data_NYSE[[#This Row],[ Total Revenue ]]</f>
        <v>1</v>
      </c>
      <c r="O842" s="31">
        <f>Project_Data_NYSE[[#This Row],[Operating Profit]]/Project_Data_NYSE[[#This Row],[ Total Revenue ]]</f>
        <v>0.24118330964991602</v>
      </c>
    </row>
    <row r="843" spans="1:15" x14ac:dyDescent="0.2">
      <c r="A843">
        <v>869</v>
      </c>
      <c r="B843" t="s">
        <v>326</v>
      </c>
      <c r="C843" t="s">
        <v>15</v>
      </c>
      <c r="D843" s="48">
        <v>42004</v>
      </c>
      <c r="E843" s="3">
        <v>5147100000</v>
      </c>
      <c r="F843" s="3">
        <v>0</v>
      </c>
      <c r="G843" s="3">
        <f>Project_Data_NYSE[[#This Row],[ Total Revenue ]]-Project_Data_NYSE[[#This Row],[ Cost of Goods Sold ]]</f>
        <v>5147100000</v>
      </c>
      <c r="H843" s="3">
        <v>3870200000</v>
      </c>
      <c r="I843" s="3">
        <v>0</v>
      </c>
      <c r="J843" s="3">
        <v>0</v>
      </c>
      <c r="K843" s="3">
        <f>Project_Data_NYSE[[#This Row],[Gross Profit]]-Project_Data_NYSE[[#This Row],[ Sales, General and Admin. ]]-Project_Data_NYSE[[#This Row],[ Research and Development ]]-Project_Data_NYSE[[#This Row],[ Other Operating Items ]]</f>
        <v>1276900000</v>
      </c>
      <c r="L843" t="s">
        <v>46</v>
      </c>
      <c r="M843" t="s">
        <v>72</v>
      </c>
      <c r="N843" s="31">
        <f>Project_Data_NYSE[[#This Row],[Gross Profit]]/Project_Data_NYSE[[#This Row],[ Total Revenue ]]</f>
        <v>1</v>
      </c>
      <c r="O843" s="31">
        <f>Project_Data_NYSE[[#This Row],[Operating Profit]]/Project_Data_NYSE[[#This Row],[ Total Revenue ]]</f>
        <v>0.24808144391987721</v>
      </c>
    </row>
    <row r="844" spans="1:15" x14ac:dyDescent="0.2">
      <c r="A844">
        <v>870</v>
      </c>
      <c r="B844" t="s">
        <v>326</v>
      </c>
      <c r="C844" t="s">
        <v>16</v>
      </c>
      <c r="D844" s="48">
        <v>42369</v>
      </c>
      <c r="E844" s="3">
        <v>5122900000</v>
      </c>
      <c r="F844" s="3">
        <v>0</v>
      </c>
      <c r="G844" s="3">
        <f>Project_Data_NYSE[[#This Row],[ Total Revenue ]]-Project_Data_NYSE[[#This Row],[ Cost of Goods Sold ]]</f>
        <v>5122900000</v>
      </c>
      <c r="H844" s="3">
        <v>3764500000</v>
      </c>
      <c r="I844" s="3">
        <v>0</v>
      </c>
      <c r="J844" s="3">
        <v>0</v>
      </c>
      <c r="K844" s="3">
        <f>Project_Data_NYSE[[#This Row],[Gross Profit]]-Project_Data_NYSE[[#This Row],[ Sales, General and Admin. ]]-Project_Data_NYSE[[#This Row],[ Research and Development ]]-Project_Data_NYSE[[#This Row],[ Other Operating Items ]]</f>
        <v>1358400000</v>
      </c>
      <c r="L844" t="s">
        <v>46</v>
      </c>
      <c r="M844" t="s">
        <v>72</v>
      </c>
      <c r="N844" s="31">
        <f>Project_Data_NYSE[[#This Row],[Gross Profit]]/Project_Data_NYSE[[#This Row],[ Total Revenue ]]</f>
        <v>1</v>
      </c>
      <c r="O844" s="31">
        <f>Project_Data_NYSE[[#This Row],[Operating Profit]]/Project_Data_NYSE[[#This Row],[ Total Revenue ]]</f>
        <v>0.26516231041011928</v>
      </c>
    </row>
    <row r="845" spans="1:15" x14ac:dyDescent="0.2">
      <c r="A845">
        <v>871</v>
      </c>
      <c r="B845" t="s">
        <v>327</v>
      </c>
      <c r="C845" t="s">
        <v>11</v>
      </c>
      <c r="D845" s="48">
        <v>41274</v>
      </c>
      <c r="E845" s="3">
        <v>5054980000</v>
      </c>
      <c r="F845" s="3">
        <v>3230857000</v>
      </c>
      <c r="G845" s="3">
        <f>Project_Data_NYSE[[#This Row],[ Total Revenue ]]-Project_Data_NYSE[[#This Row],[ Cost of Goods Sold ]]</f>
        <v>1824123000</v>
      </c>
      <c r="H845" s="3">
        <v>1064757000</v>
      </c>
      <c r="I845" s="3">
        <v>0</v>
      </c>
      <c r="J845" s="3">
        <v>229166000</v>
      </c>
      <c r="K845" s="3">
        <f>Project_Data_NYSE[[#This Row],[Gross Profit]]-Project_Data_NYSE[[#This Row],[ Sales, General and Admin. ]]-Project_Data_NYSE[[#This Row],[ Research and Development ]]-Project_Data_NYSE[[#This Row],[ Other Operating Items ]]</f>
        <v>530200000</v>
      </c>
      <c r="L845" t="s">
        <v>12</v>
      </c>
      <c r="M845" t="s">
        <v>328</v>
      </c>
      <c r="N845" s="31">
        <f>Project_Data_NYSE[[#This Row],[Gross Profit]]/Project_Data_NYSE[[#This Row],[ Total Revenue ]]</f>
        <v>0.36085662059988366</v>
      </c>
      <c r="O845" s="31">
        <f>Project_Data_NYSE[[#This Row],[Operating Profit]]/Project_Data_NYSE[[#This Row],[ Total Revenue ]]</f>
        <v>0.10488666621826397</v>
      </c>
    </row>
    <row r="846" spans="1:15" x14ac:dyDescent="0.2">
      <c r="A846">
        <v>872</v>
      </c>
      <c r="B846" t="s">
        <v>327</v>
      </c>
      <c r="C846" t="s">
        <v>14</v>
      </c>
      <c r="D846" s="48">
        <v>41639</v>
      </c>
      <c r="E846" s="3">
        <v>5584571000</v>
      </c>
      <c r="F846" s="3">
        <v>3570801000</v>
      </c>
      <c r="G846" s="3">
        <f>Project_Data_NYSE[[#This Row],[ Total Revenue ]]-Project_Data_NYSE[[#This Row],[ Cost of Goods Sold ]]</f>
        <v>2013770000</v>
      </c>
      <c r="H846" s="3">
        <v>1183682000</v>
      </c>
      <c r="I846" s="3">
        <v>0</v>
      </c>
      <c r="J846" s="3">
        <v>253380000</v>
      </c>
      <c r="K846" s="3">
        <f>Project_Data_NYSE[[#This Row],[Gross Profit]]-Project_Data_NYSE[[#This Row],[ Sales, General and Admin. ]]-Project_Data_NYSE[[#This Row],[ Research and Development ]]-Project_Data_NYSE[[#This Row],[ Other Operating Items ]]</f>
        <v>576708000</v>
      </c>
      <c r="L846" t="s">
        <v>12</v>
      </c>
      <c r="M846" t="s">
        <v>328</v>
      </c>
      <c r="N846" s="31">
        <f>Project_Data_NYSE[[#This Row],[Gross Profit]]/Project_Data_NYSE[[#This Row],[ Total Revenue ]]</f>
        <v>0.36059529013061165</v>
      </c>
      <c r="O846" s="31">
        <f>Project_Data_NYSE[[#This Row],[Operating Profit]]/Project_Data_NYSE[[#This Row],[ Total Revenue ]]</f>
        <v>0.10326809346680345</v>
      </c>
    </row>
    <row r="847" spans="1:15" x14ac:dyDescent="0.2">
      <c r="A847">
        <v>873</v>
      </c>
      <c r="B847" t="s">
        <v>327</v>
      </c>
      <c r="C847" t="s">
        <v>15</v>
      </c>
      <c r="D847" s="48">
        <v>42004</v>
      </c>
      <c r="E847" s="3">
        <v>6165441000</v>
      </c>
      <c r="F847" s="3">
        <v>3898403000</v>
      </c>
      <c r="G847" s="3">
        <f>Project_Data_NYSE[[#This Row],[ Total Revenue ]]-Project_Data_NYSE[[#This Row],[ Cost of Goods Sold ]]</f>
        <v>2267038000</v>
      </c>
      <c r="H847" s="3">
        <v>1341000000</v>
      </c>
      <c r="I847" s="3">
        <v>0</v>
      </c>
      <c r="J847" s="3">
        <v>294496000</v>
      </c>
      <c r="K847" s="3">
        <f>Project_Data_NYSE[[#This Row],[Gross Profit]]-Project_Data_NYSE[[#This Row],[ Sales, General and Admin. ]]-Project_Data_NYSE[[#This Row],[ Research and Development ]]-Project_Data_NYSE[[#This Row],[ Other Operating Items ]]</f>
        <v>631542000</v>
      </c>
      <c r="L847" t="s">
        <v>12</v>
      </c>
      <c r="M847" t="s">
        <v>328</v>
      </c>
      <c r="N847" s="31">
        <f>Project_Data_NYSE[[#This Row],[Gross Profit]]/Project_Data_NYSE[[#This Row],[ Total Revenue ]]</f>
        <v>0.36770086681552866</v>
      </c>
      <c r="O847" s="31">
        <f>Project_Data_NYSE[[#This Row],[Operating Profit]]/Project_Data_NYSE[[#This Row],[ Total Revenue ]]</f>
        <v>0.10243257538268552</v>
      </c>
    </row>
    <row r="848" spans="1:15" x14ac:dyDescent="0.2">
      <c r="A848">
        <v>874</v>
      </c>
      <c r="B848" t="s">
        <v>327</v>
      </c>
      <c r="C848" t="s">
        <v>16</v>
      </c>
      <c r="D848" s="48">
        <v>42369</v>
      </c>
      <c r="E848" s="3">
        <v>6187646000</v>
      </c>
      <c r="F848" s="3">
        <v>3665578000</v>
      </c>
      <c r="G848" s="3">
        <f>Project_Data_NYSE[[#This Row],[ Total Revenue ]]-Project_Data_NYSE[[#This Row],[ Cost of Goods Sold ]]</f>
        <v>2522068000</v>
      </c>
      <c r="H848" s="3">
        <v>1466761000</v>
      </c>
      <c r="I848" s="3">
        <v>0</v>
      </c>
      <c r="J848" s="3">
        <v>339613000</v>
      </c>
      <c r="K848" s="3">
        <f>Project_Data_NYSE[[#This Row],[Gross Profit]]-Project_Data_NYSE[[#This Row],[ Sales, General and Admin. ]]-Project_Data_NYSE[[#This Row],[ Research and Development ]]-Project_Data_NYSE[[#This Row],[ Other Operating Items ]]</f>
        <v>715694000</v>
      </c>
      <c r="L848" t="s">
        <v>12</v>
      </c>
      <c r="M848" t="s">
        <v>328</v>
      </c>
      <c r="N848" s="31">
        <f>Project_Data_NYSE[[#This Row],[Gross Profit]]/Project_Data_NYSE[[#This Row],[ Total Revenue ]]</f>
        <v>0.40759733184477587</v>
      </c>
      <c r="O848" s="31">
        <f>Project_Data_NYSE[[#This Row],[Operating Profit]]/Project_Data_NYSE[[#This Row],[ Total Revenue ]]</f>
        <v>0.11566498794533495</v>
      </c>
    </row>
    <row r="849" spans="1:15" x14ac:dyDescent="0.2">
      <c r="A849">
        <v>875</v>
      </c>
      <c r="B849" t="s">
        <v>329</v>
      </c>
      <c r="C849" t="s">
        <v>11</v>
      </c>
      <c r="D849" s="48">
        <v>41544</v>
      </c>
      <c r="E849" s="3">
        <v>11818376000</v>
      </c>
      <c r="F849" s="3">
        <v>9976057000</v>
      </c>
      <c r="G849" s="3">
        <f>Project_Data_NYSE[[#This Row],[ Total Revenue ]]-Project_Data_NYSE[[#This Row],[ Cost of Goods Sold ]]</f>
        <v>1842319000</v>
      </c>
      <c r="H849" s="3">
        <v>1173340000</v>
      </c>
      <c r="I849" s="3">
        <v>0</v>
      </c>
      <c r="J849" s="3">
        <v>0</v>
      </c>
      <c r="K849" s="3">
        <f>Project_Data_NYSE[[#This Row],[Gross Profit]]-Project_Data_NYSE[[#This Row],[ Sales, General and Admin. ]]-Project_Data_NYSE[[#This Row],[ Research and Development ]]-Project_Data_NYSE[[#This Row],[ Other Operating Items ]]</f>
        <v>668979000</v>
      </c>
      <c r="L849" t="s">
        <v>12</v>
      </c>
      <c r="M849" t="s">
        <v>163</v>
      </c>
      <c r="N849" s="31">
        <f>Project_Data_NYSE[[#This Row],[Gross Profit]]/Project_Data_NYSE[[#This Row],[ Total Revenue ]]</f>
        <v>0.15588596944284053</v>
      </c>
      <c r="O849" s="31">
        <f>Project_Data_NYSE[[#This Row],[Operating Profit]]/Project_Data_NYSE[[#This Row],[ Total Revenue ]]</f>
        <v>5.6604985321164258E-2</v>
      </c>
    </row>
    <row r="850" spans="1:15" x14ac:dyDescent="0.2">
      <c r="A850">
        <v>876</v>
      </c>
      <c r="B850" t="s">
        <v>329</v>
      </c>
      <c r="C850" t="s">
        <v>14</v>
      </c>
      <c r="D850" s="48">
        <v>41908</v>
      </c>
      <c r="E850" s="3">
        <v>12695157000</v>
      </c>
      <c r="F850" s="3">
        <v>10621373000</v>
      </c>
      <c r="G850" s="3">
        <f>Project_Data_NYSE[[#This Row],[ Total Revenue ]]-Project_Data_NYSE[[#This Row],[ Cost of Goods Sold ]]</f>
        <v>2073784000</v>
      </c>
      <c r="H850" s="3">
        <v>1545716000</v>
      </c>
      <c r="I850" s="3">
        <v>0</v>
      </c>
      <c r="J850" s="3">
        <v>0</v>
      </c>
      <c r="K850" s="3">
        <f>Project_Data_NYSE[[#This Row],[Gross Profit]]-Project_Data_NYSE[[#This Row],[ Sales, General and Admin. ]]-Project_Data_NYSE[[#This Row],[ Research and Development ]]-Project_Data_NYSE[[#This Row],[ Other Operating Items ]]</f>
        <v>528068000</v>
      </c>
      <c r="L850" t="s">
        <v>12</v>
      </c>
      <c r="M850" t="s">
        <v>163</v>
      </c>
      <c r="N850" s="31">
        <f>Project_Data_NYSE[[#This Row],[Gross Profit]]/Project_Data_NYSE[[#This Row],[ Total Revenue ]]</f>
        <v>0.16335237130190669</v>
      </c>
      <c r="O850" s="31">
        <f>Project_Data_NYSE[[#This Row],[Operating Profit]]/Project_Data_NYSE[[#This Row],[ Total Revenue ]]</f>
        <v>4.1596019647492349E-2</v>
      </c>
    </row>
    <row r="851" spans="1:15" x14ac:dyDescent="0.2">
      <c r="A851">
        <v>877</v>
      </c>
      <c r="B851" t="s">
        <v>329</v>
      </c>
      <c r="C851" t="s">
        <v>15</v>
      </c>
      <c r="D851" s="48">
        <v>42279</v>
      </c>
      <c r="E851" s="3">
        <v>12114832000</v>
      </c>
      <c r="F851" s="3">
        <v>10146494000</v>
      </c>
      <c r="G851" s="3">
        <f>Project_Data_NYSE[[#This Row],[ Total Revenue ]]-Project_Data_NYSE[[#This Row],[ Cost of Goods Sold ]]</f>
        <v>1968338000</v>
      </c>
      <c r="H851" s="3">
        <v>1522811000</v>
      </c>
      <c r="I851" s="3">
        <v>0</v>
      </c>
      <c r="J851" s="3">
        <v>0</v>
      </c>
      <c r="K851" s="3">
        <f>Project_Data_NYSE[[#This Row],[Gross Profit]]-Project_Data_NYSE[[#This Row],[ Sales, General and Admin. ]]-Project_Data_NYSE[[#This Row],[ Research and Development ]]-Project_Data_NYSE[[#This Row],[ Other Operating Items ]]</f>
        <v>445527000</v>
      </c>
      <c r="L851" t="s">
        <v>12</v>
      </c>
      <c r="M851" t="s">
        <v>163</v>
      </c>
      <c r="N851" s="31">
        <f>Project_Data_NYSE[[#This Row],[Gross Profit]]/Project_Data_NYSE[[#This Row],[ Total Revenue ]]</f>
        <v>0.16247340450119324</v>
      </c>
      <c r="O851" s="31">
        <f>Project_Data_NYSE[[#This Row],[Operating Profit]]/Project_Data_NYSE[[#This Row],[ Total Revenue ]]</f>
        <v>3.6775334565101687E-2</v>
      </c>
    </row>
    <row r="852" spans="1:15" x14ac:dyDescent="0.2">
      <c r="A852">
        <v>878</v>
      </c>
      <c r="B852" t="s">
        <v>329</v>
      </c>
      <c r="C852" t="s">
        <v>16</v>
      </c>
      <c r="D852" s="48">
        <v>42643</v>
      </c>
      <c r="E852" s="3">
        <v>10964157000</v>
      </c>
      <c r="F852" s="3">
        <v>9196326000</v>
      </c>
      <c r="G852" s="3">
        <f>Project_Data_NYSE[[#This Row],[ Total Revenue ]]-Project_Data_NYSE[[#This Row],[ Cost of Goods Sold ]]</f>
        <v>1767831000</v>
      </c>
      <c r="H852" s="3">
        <v>1429233000</v>
      </c>
      <c r="I852" s="3">
        <v>0</v>
      </c>
      <c r="J852" s="3">
        <v>0</v>
      </c>
      <c r="K852" s="3">
        <f>Project_Data_NYSE[[#This Row],[Gross Profit]]-Project_Data_NYSE[[#This Row],[ Sales, General and Admin. ]]-Project_Data_NYSE[[#This Row],[ Research and Development ]]-Project_Data_NYSE[[#This Row],[ Other Operating Items ]]</f>
        <v>338598000</v>
      </c>
      <c r="L852" t="s">
        <v>12</v>
      </c>
      <c r="M852" t="s">
        <v>163</v>
      </c>
      <c r="N852" s="31">
        <f>Project_Data_NYSE[[#This Row],[Gross Profit]]/Project_Data_NYSE[[#This Row],[ Total Revenue ]]</f>
        <v>0.16123729348275476</v>
      </c>
      <c r="O852" s="31">
        <f>Project_Data_NYSE[[#This Row],[Operating Profit]]/Project_Data_NYSE[[#This Row],[ Total Revenue ]]</f>
        <v>3.0882264819812412E-2</v>
      </c>
    </row>
    <row r="853" spans="1:15" x14ac:dyDescent="0.2">
      <c r="A853">
        <v>879</v>
      </c>
      <c r="B853" t="s">
        <v>330</v>
      </c>
      <c r="C853" t="s">
        <v>11</v>
      </c>
      <c r="D853" s="48">
        <v>41274</v>
      </c>
      <c r="E853" s="3">
        <v>4365400000</v>
      </c>
      <c r="F853" s="3">
        <v>1656600000</v>
      </c>
      <c r="G853" s="3">
        <f>Project_Data_NYSE[[#This Row],[ Total Revenue ]]-Project_Data_NYSE[[#This Row],[ Cost of Goods Sold ]]</f>
        <v>2708800000</v>
      </c>
      <c r="H853" s="3">
        <v>1252300000</v>
      </c>
      <c r="I853" s="3">
        <v>1101600000</v>
      </c>
      <c r="J853" s="3">
        <v>0</v>
      </c>
      <c r="K853" s="3">
        <f>Project_Data_NYSE[[#This Row],[Gross Profit]]-Project_Data_NYSE[[#This Row],[ Sales, General and Admin. ]]-Project_Data_NYSE[[#This Row],[ Research and Development ]]-Project_Data_NYSE[[#This Row],[ Other Operating Items ]]</f>
        <v>354900000</v>
      </c>
      <c r="L853" t="s">
        <v>21</v>
      </c>
      <c r="M853" t="s">
        <v>173</v>
      </c>
      <c r="N853" s="31">
        <f>Project_Data_NYSE[[#This Row],[Gross Profit]]/Project_Data_NYSE[[#This Row],[ Total Revenue ]]</f>
        <v>0.62051587483392134</v>
      </c>
      <c r="O853" s="31">
        <f>Project_Data_NYSE[[#This Row],[Operating Profit]]/Project_Data_NYSE[[#This Row],[ Total Revenue ]]</f>
        <v>8.1298391899940439E-2</v>
      </c>
    </row>
    <row r="854" spans="1:15" x14ac:dyDescent="0.2">
      <c r="A854">
        <v>880</v>
      </c>
      <c r="B854" t="s">
        <v>330</v>
      </c>
      <c r="C854" t="s">
        <v>14</v>
      </c>
      <c r="D854" s="48">
        <v>41639</v>
      </c>
      <c r="E854" s="3">
        <v>4669100000</v>
      </c>
      <c r="F854" s="3">
        <v>1727700000</v>
      </c>
      <c r="G854" s="3">
        <f>Project_Data_NYSE[[#This Row],[ Total Revenue ]]-Project_Data_NYSE[[#This Row],[ Cost of Goods Sold ]]</f>
        <v>2941400000</v>
      </c>
      <c r="H854" s="3">
        <v>1293200000</v>
      </c>
      <c r="I854" s="3">
        <v>1043200000</v>
      </c>
      <c r="J854" s="3">
        <v>0</v>
      </c>
      <c r="K854" s="3">
        <f>Project_Data_NYSE[[#This Row],[Gross Profit]]-Project_Data_NYSE[[#This Row],[ Sales, General and Admin. ]]-Project_Data_NYSE[[#This Row],[ Research and Development ]]-Project_Data_NYSE[[#This Row],[ Other Operating Items ]]</f>
        <v>605000000</v>
      </c>
      <c r="L854" t="s">
        <v>21</v>
      </c>
      <c r="M854" t="s">
        <v>173</v>
      </c>
      <c r="N854" s="31">
        <f>Project_Data_NYSE[[#This Row],[Gross Profit]]/Project_Data_NYSE[[#This Row],[ Total Revenue ]]</f>
        <v>0.62997151485296954</v>
      </c>
      <c r="O854" s="31">
        <f>Project_Data_NYSE[[#This Row],[Operating Profit]]/Project_Data_NYSE[[#This Row],[ Total Revenue ]]</f>
        <v>0.12957529288299671</v>
      </c>
    </row>
    <row r="855" spans="1:15" x14ac:dyDescent="0.2">
      <c r="A855">
        <v>881</v>
      </c>
      <c r="B855" t="s">
        <v>330</v>
      </c>
      <c r="C855" t="s">
        <v>15</v>
      </c>
      <c r="D855" s="48">
        <v>42004</v>
      </c>
      <c r="E855" s="3">
        <v>4627100000</v>
      </c>
      <c r="F855" s="3">
        <v>1768900000</v>
      </c>
      <c r="G855" s="3">
        <f>Project_Data_NYSE[[#This Row],[ Total Revenue ]]-Project_Data_NYSE[[#This Row],[ Cost of Goods Sold ]]</f>
        <v>2858200000</v>
      </c>
      <c r="H855" s="3">
        <v>1254700000</v>
      </c>
      <c r="I855" s="3">
        <v>1006200000</v>
      </c>
      <c r="J855" s="3">
        <v>0</v>
      </c>
      <c r="K855" s="3">
        <f>Project_Data_NYSE[[#This Row],[Gross Profit]]-Project_Data_NYSE[[#This Row],[ Sales, General and Admin. ]]-Project_Data_NYSE[[#This Row],[ Research and Development ]]-Project_Data_NYSE[[#This Row],[ Other Operating Items ]]</f>
        <v>597300000</v>
      </c>
      <c r="L855" t="s">
        <v>21</v>
      </c>
      <c r="M855" t="s">
        <v>173</v>
      </c>
      <c r="N855" s="31">
        <f>Project_Data_NYSE[[#This Row],[Gross Profit]]/Project_Data_NYSE[[#This Row],[ Total Revenue ]]</f>
        <v>0.61770871604244559</v>
      </c>
      <c r="O855" s="31">
        <f>Project_Data_NYSE[[#This Row],[Operating Profit]]/Project_Data_NYSE[[#This Row],[ Total Revenue ]]</f>
        <v>0.12908733331892547</v>
      </c>
    </row>
    <row r="856" spans="1:15" x14ac:dyDescent="0.2">
      <c r="A856">
        <v>882</v>
      </c>
      <c r="B856" t="s">
        <v>330</v>
      </c>
      <c r="C856" t="s">
        <v>16</v>
      </c>
      <c r="D856" s="48">
        <v>42369</v>
      </c>
      <c r="E856" s="3">
        <v>4857800000</v>
      </c>
      <c r="F856" s="3">
        <v>1779200000</v>
      </c>
      <c r="G856" s="3">
        <f>Project_Data_NYSE[[#This Row],[ Total Revenue ]]-Project_Data_NYSE[[#This Row],[ Cost of Goods Sold ]]</f>
        <v>3078600000</v>
      </c>
      <c r="H856" s="3">
        <v>1172700000</v>
      </c>
      <c r="I856" s="3">
        <v>994500000</v>
      </c>
      <c r="J856" s="3">
        <v>0</v>
      </c>
      <c r="K856" s="3">
        <f>Project_Data_NYSE[[#This Row],[Gross Profit]]-Project_Data_NYSE[[#This Row],[ Sales, General and Admin. ]]-Project_Data_NYSE[[#This Row],[ Research and Development ]]-Project_Data_NYSE[[#This Row],[ Other Operating Items ]]</f>
        <v>911400000</v>
      </c>
      <c r="L856" t="s">
        <v>21</v>
      </c>
      <c r="M856" t="s">
        <v>173</v>
      </c>
      <c r="N856" s="31">
        <f>Project_Data_NYSE[[#This Row],[Gross Profit]]/Project_Data_NYSE[[#This Row],[ Total Revenue ]]</f>
        <v>0.63374366997406228</v>
      </c>
      <c r="O856" s="31">
        <f>Project_Data_NYSE[[#This Row],[Operating Profit]]/Project_Data_NYSE[[#This Row],[ Total Revenue ]]</f>
        <v>0.18761579315739635</v>
      </c>
    </row>
    <row r="857" spans="1:15" x14ac:dyDescent="0.2">
      <c r="A857">
        <v>883</v>
      </c>
      <c r="B857" t="s">
        <v>331</v>
      </c>
      <c r="C857" t="s">
        <v>11</v>
      </c>
      <c r="D857" s="48">
        <v>41274</v>
      </c>
      <c r="E857" s="3">
        <v>93646000000</v>
      </c>
      <c r="F857" s="3">
        <v>0</v>
      </c>
      <c r="G857" s="3">
        <f>Project_Data_NYSE[[#This Row],[ Total Revenue ]]-Project_Data_NYSE[[#This Row],[ Cost of Goods Sold ]]</f>
        <v>93646000000</v>
      </c>
      <c r="H857" s="3">
        <v>64729000000</v>
      </c>
      <c r="I857" s="3">
        <v>0</v>
      </c>
      <c r="J857" s="3">
        <v>3385000000</v>
      </c>
      <c r="K857" s="3">
        <f>Project_Data_NYSE[[#This Row],[Gross Profit]]-Project_Data_NYSE[[#This Row],[ Sales, General and Admin. ]]-Project_Data_NYSE[[#This Row],[ Research and Development ]]-Project_Data_NYSE[[#This Row],[ Other Operating Items ]]</f>
        <v>25532000000</v>
      </c>
      <c r="L857" t="s">
        <v>46</v>
      </c>
      <c r="M857" t="s">
        <v>104</v>
      </c>
      <c r="N857" s="31">
        <f>Project_Data_NYSE[[#This Row],[Gross Profit]]/Project_Data_NYSE[[#This Row],[ Total Revenue ]]</f>
        <v>1</v>
      </c>
      <c r="O857" s="31">
        <f>Project_Data_NYSE[[#This Row],[Operating Profit]]/Project_Data_NYSE[[#This Row],[ Total Revenue ]]</f>
        <v>0.27264378617346174</v>
      </c>
    </row>
    <row r="858" spans="1:15" x14ac:dyDescent="0.2">
      <c r="A858">
        <v>884</v>
      </c>
      <c r="B858" t="s">
        <v>331</v>
      </c>
      <c r="C858" t="s">
        <v>14</v>
      </c>
      <c r="D858" s="48">
        <v>41639</v>
      </c>
      <c r="E858" s="3">
        <v>97142000000</v>
      </c>
      <c r="F858" s="3">
        <v>0</v>
      </c>
      <c r="G858" s="3">
        <f>Project_Data_NYSE[[#This Row],[ Total Revenue ]]-Project_Data_NYSE[[#This Row],[ Cost of Goods Sold ]]</f>
        <v>97142000000</v>
      </c>
      <c r="H858" s="3">
        <v>70467000000</v>
      </c>
      <c r="I858" s="3">
        <v>0</v>
      </c>
      <c r="J858" s="3">
        <v>225000000</v>
      </c>
      <c r="K858" s="3">
        <f>Project_Data_NYSE[[#This Row],[Gross Profit]]-Project_Data_NYSE[[#This Row],[ Sales, General and Admin. ]]-Project_Data_NYSE[[#This Row],[ Research and Development ]]-Project_Data_NYSE[[#This Row],[ Other Operating Items ]]</f>
        <v>26450000000</v>
      </c>
      <c r="L858" t="s">
        <v>46</v>
      </c>
      <c r="M858" t="s">
        <v>104</v>
      </c>
      <c r="N858" s="31">
        <f>Project_Data_NYSE[[#This Row],[Gross Profit]]/Project_Data_NYSE[[#This Row],[ Total Revenue ]]</f>
        <v>1</v>
      </c>
      <c r="O858" s="31">
        <f>Project_Data_NYSE[[#This Row],[Operating Profit]]/Project_Data_NYSE[[#This Row],[ Total Revenue ]]</f>
        <v>0.27228181425130221</v>
      </c>
    </row>
    <row r="859" spans="1:15" x14ac:dyDescent="0.2">
      <c r="A859">
        <v>885</v>
      </c>
      <c r="B859" t="s">
        <v>331</v>
      </c>
      <c r="C859" t="s">
        <v>15</v>
      </c>
      <c r="D859" s="48">
        <v>42004</v>
      </c>
      <c r="E859" s="3">
        <v>91973000000</v>
      </c>
      <c r="F859" s="3">
        <v>0</v>
      </c>
      <c r="G859" s="3">
        <f>Project_Data_NYSE[[#This Row],[ Total Revenue ]]-Project_Data_NYSE[[#This Row],[ Cost of Goods Sold ]]</f>
        <v>91973000000</v>
      </c>
      <c r="H859" s="3">
        <v>61274000000</v>
      </c>
      <c r="I859" s="3">
        <v>0</v>
      </c>
      <c r="J859" s="3">
        <v>3139000000</v>
      </c>
      <c r="K859" s="3">
        <f>Project_Data_NYSE[[#This Row],[Gross Profit]]-Project_Data_NYSE[[#This Row],[ Sales, General and Admin. ]]-Project_Data_NYSE[[#This Row],[ Research and Development ]]-Project_Data_NYSE[[#This Row],[ Other Operating Items ]]</f>
        <v>27560000000</v>
      </c>
      <c r="L859" t="s">
        <v>46</v>
      </c>
      <c r="M859" t="s">
        <v>104</v>
      </c>
      <c r="N859" s="31">
        <f>Project_Data_NYSE[[#This Row],[Gross Profit]]/Project_Data_NYSE[[#This Row],[ Total Revenue ]]</f>
        <v>1</v>
      </c>
      <c r="O859" s="31">
        <f>Project_Data_NYSE[[#This Row],[Operating Profit]]/Project_Data_NYSE[[#This Row],[ Total Revenue ]]</f>
        <v>0.29965315907929502</v>
      </c>
    </row>
    <row r="860" spans="1:15" x14ac:dyDescent="0.2">
      <c r="A860">
        <v>886</v>
      </c>
      <c r="B860" t="s">
        <v>331</v>
      </c>
      <c r="C860" t="s">
        <v>16</v>
      </c>
      <c r="D860" s="48">
        <v>42369</v>
      </c>
      <c r="E860" s="3">
        <v>89716000000</v>
      </c>
      <c r="F860" s="3">
        <v>0</v>
      </c>
      <c r="G860" s="3">
        <f>Project_Data_NYSE[[#This Row],[ Total Revenue ]]-Project_Data_NYSE[[#This Row],[ Cost of Goods Sold ]]</f>
        <v>89716000000</v>
      </c>
      <c r="H860" s="3">
        <v>59014000000</v>
      </c>
      <c r="I860" s="3">
        <v>0</v>
      </c>
      <c r="J860" s="3">
        <v>3827000000</v>
      </c>
      <c r="K860" s="3">
        <f>Project_Data_NYSE[[#This Row],[Gross Profit]]-Project_Data_NYSE[[#This Row],[ Sales, General and Admin. ]]-Project_Data_NYSE[[#This Row],[ Research and Development ]]-Project_Data_NYSE[[#This Row],[ Other Operating Items ]]</f>
        <v>26875000000</v>
      </c>
      <c r="L860" t="s">
        <v>46</v>
      </c>
      <c r="M860" t="s">
        <v>104</v>
      </c>
      <c r="N860" s="31">
        <f>Project_Data_NYSE[[#This Row],[Gross Profit]]/Project_Data_NYSE[[#This Row],[ Total Revenue ]]</f>
        <v>1</v>
      </c>
      <c r="O860" s="31">
        <f>Project_Data_NYSE[[#This Row],[Operating Profit]]/Project_Data_NYSE[[#This Row],[ Total Revenue ]]</f>
        <v>0.29955637790360695</v>
      </c>
    </row>
    <row r="861" spans="1:15" x14ac:dyDescent="0.2">
      <c r="A861">
        <v>887</v>
      </c>
      <c r="B861" t="s">
        <v>332</v>
      </c>
      <c r="C861" t="s">
        <v>11</v>
      </c>
      <c r="D861" s="48">
        <v>41307</v>
      </c>
      <c r="E861" s="3">
        <v>12134000000</v>
      </c>
      <c r="F861" s="3">
        <v>7432000000</v>
      </c>
      <c r="G861" s="3">
        <f>Project_Data_NYSE[[#This Row],[ Total Revenue ]]-Project_Data_NYSE[[#This Row],[ Cost of Goods Sold ]]</f>
        <v>4702000000</v>
      </c>
      <c r="H861" s="3">
        <v>3357000000</v>
      </c>
      <c r="I861" s="3">
        <v>0</v>
      </c>
      <c r="J861" s="3">
        <v>0</v>
      </c>
      <c r="K861" s="3">
        <f>Project_Data_NYSE[[#This Row],[Gross Profit]]-Project_Data_NYSE[[#This Row],[ Sales, General and Admin. ]]-Project_Data_NYSE[[#This Row],[ Research and Development ]]-Project_Data_NYSE[[#This Row],[ Other Operating Items ]]</f>
        <v>1345000000</v>
      </c>
      <c r="L861" t="s">
        <v>18</v>
      </c>
      <c r="M861" t="s">
        <v>333</v>
      </c>
      <c r="N861" s="31">
        <f>Project_Data_NYSE[[#This Row],[Gross Profit]]/Project_Data_NYSE[[#This Row],[ Total Revenue ]]</f>
        <v>0.38750618097906708</v>
      </c>
      <c r="O861" s="31">
        <f>Project_Data_NYSE[[#This Row],[Operating Profit]]/Project_Data_NYSE[[#This Row],[ Total Revenue ]]</f>
        <v>0.11084555793637713</v>
      </c>
    </row>
    <row r="862" spans="1:15" x14ac:dyDescent="0.2">
      <c r="A862">
        <v>888</v>
      </c>
      <c r="B862" t="s">
        <v>332</v>
      </c>
      <c r="C862" t="s">
        <v>14</v>
      </c>
      <c r="D862" s="48">
        <v>41671</v>
      </c>
      <c r="E862" s="3">
        <v>12540000000</v>
      </c>
      <c r="F862" s="3">
        <v>7737000000</v>
      </c>
      <c r="G862" s="3">
        <f>Project_Data_NYSE[[#This Row],[ Total Revenue ]]-Project_Data_NYSE[[#This Row],[ Cost of Goods Sold ]]</f>
        <v>4803000000</v>
      </c>
      <c r="H862" s="3">
        <v>3453000000</v>
      </c>
      <c r="I862" s="3">
        <v>0</v>
      </c>
      <c r="J862" s="3">
        <v>0</v>
      </c>
      <c r="K862" s="3">
        <f>Project_Data_NYSE[[#This Row],[Gross Profit]]-Project_Data_NYSE[[#This Row],[ Sales, General and Admin. ]]-Project_Data_NYSE[[#This Row],[ Research and Development ]]-Project_Data_NYSE[[#This Row],[ Other Operating Items ]]</f>
        <v>1350000000</v>
      </c>
      <c r="L862" t="s">
        <v>18</v>
      </c>
      <c r="M862" t="s">
        <v>333</v>
      </c>
      <c r="N862" s="31">
        <f>Project_Data_NYSE[[#This Row],[Gross Profit]]/Project_Data_NYSE[[#This Row],[ Total Revenue ]]</f>
        <v>0.38301435406698564</v>
      </c>
      <c r="O862" s="31">
        <f>Project_Data_NYSE[[#This Row],[Operating Profit]]/Project_Data_NYSE[[#This Row],[ Total Revenue ]]</f>
        <v>0.1076555023923445</v>
      </c>
    </row>
    <row r="863" spans="1:15" x14ac:dyDescent="0.2">
      <c r="A863">
        <v>889</v>
      </c>
      <c r="B863" t="s">
        <v>332</v>
      </c>
      <c r="C863" t="s">
        <v>15</v>
      </c>
      <c r="D863" s="48">
        <v>42035</v>
      </c>
      <c r="E863" s="3">
        <v>13506000000</v>
      </c>
      <c r="F863" s="3">
        <v>8406000000</v>
      </c>
      <c r="G863" s="3">
        <f>Project_Data_NYSE[[#This Row],[ Total Revenue ]]-Project_Data_NYSE[[#This Row],[ Cost of Goods Sold ]]</f>
        <v>5100000000</v>
      </c>
      <c r="H863" s="3">
        <v>3777000000</v>
      </c>
      <c r="I863" s="3">
        <v>0</v>
      </c>
      <c r="J863" s="3">
        <v>0</v>
      </c>
      <c r="K863" s="3">
        <f>Project_Data_NYSE[[#This Row],[Gross Profit]]-Project_Data_NYSE[[#This Row],[ Sales, General and Admin. ]]-Project_Data_NYSE[[#This Row],[ Research and Development ]]-Project_Data_NYSE[[#This Row],[ Other Operating Items ]]</f>
        <v>1323000000</v>
      </c>
      <c r="L863" t="s">
        <v>18</v>
      </c>
      <c r="M863" t="s">
        <v>333</v>
      </c>
      <c r="N863" s="31">
        <f>Project_Data_NYSE[[#This Row],[Gross Profit]]/Project_Data_NYSE[[#This Row],[ Total Revenue ]]</f>
        <v>0.37760995113282986</v>
      </c>
      <c r="O863" s="31">
        <f>Project_Data_NYSE[[#This Row],[Operating Profit]]/Project_Data_NYSE[[#This Row],[ Total Revenue ]]</f>
        <v>9.7956463793869394E-2</v>
      </c>
    </row>
    <row r="864" spans="1:15" x14ac:dyDescent="0.2">
      <c r="A864">
        <v>890</v>
      </c>
      <c r="B864" t="s">
        <v>332</v>
      </c>
      <c r="C864" t="s">
        <v>16</v>
      </c>
      <c r="D864" s="48">
        <v>42399</v>
      </c>
      <c r="E864" s="3">
        <v>14437000000</v>
      </c>
      <c r="F864" s="3">
        <v>9168000000</v>
      </c>
      <c r="G864" s="3">
        <f>Project_Data_NYSE[[#This Row],[ Total Revenue ]]-Project_Data_NYSE[[#This Row],[ Cost of Goods Sold ]]</f>
        <v>5269000000</v>
      </c>
      <c r="H864" s="3">
        <v>4168000000</v>
      </c>
      <c r="I864" s="3">
        <v>0</v>
      </c>
      <c r="J864" s="3">
        <v>0</v>
      </c>
      <c r="K864" s="3">
        <f>Project_Data_NYSE[[#This Row],[Gross Profit]]-Project_Data_NYSE[[#This Row],[ Sales, General and Admin. ]]-Project_Data_NYSE[[#This Row],[ Research and Development ]]-Project_Data_NYSE[[#This Row],[ Other Operating Items ]]</f>
        <v>1101000000</v>
      </c>
      <c r="L864" t="s">
        <v>18</v>
      </c>
      <c r="M864" t="s">
        <v>333</v>
      </c>
      <c r="N864" s="31">
        <f>Project_Data_NYSE[[#This Row],[Gross Profit]]/Project_Data_NYSE[[#This Row],[ Total Revenue ]]</f>
        <v>0.36496502043360807</v>
      </c>
      <c r="O864" s="31">
        <f>Project_Data_NYSE[[#This Row],[Operating Profit]]/Project_Data_NYSE[[#This Row],[ Total Revenue ]]</f>
        <v>7.6262381381173375E-2</v>
      </c>
    </row>
    <row r="865" spans="1:15" x14ac:dyDescent="0.2">
      <c r="A865">
        <v>891</v>
      </c>
      <c r="B865" t="s">
        <v>334</v>
      </c>
      <c r="C865" t="s">
        <v>11</v>
      </c>
      <c r="D865" s="48">
        <v>41272</v>
      </c>
      <c r="E865" s="3">
        <v>14197000000</v>
      </c>
      <c r="F865" s="3">
        <v>8763000000</v>
      </c>
      <c r="G865" s="3">
        <f>Project_Data_NYSE[[#This Row],[ Total Revenue ]]-Project_Data_NYSE[[#This Row],[ Cost of Goods Sold ]]</f>
        <v>5434000000</v>
      </c>
      <c r="H865" s="3">
        <v>3872000000</v>
      </c>
      <c r="I865" s="3">
        <v>0</v>
      </c>
      <c r="J865" s="3">
        <v>0</v>
      </c>
      <c r="K865" s="3">
        <f>Project_Data_NYSE[[#This Row],[Gross Profit]]-Project_Data_NYSE[[#This Row],[ Sales, General and Admin. ]]-Project_Data_NYSE[[#This Row],[ Research and Development ]]-Project_Data_NYSE[[#This Row],[ Other Operating Items ]]</f>
        <v>1562000000</v>
      </c>
      <c r="L865" t="s">
        <v>35</v>
      </c>
      <c r="M865" t="s">
        <v>123</v>
      </c>
      <c r="N865" s="31">
        <f>Project_Data_NYSE[[#This Row],[Gross Profit]]/Project_Data_NYSE[[#This Row],[ Total Revenue ]]</f>
        <v>0.38275692047615695</v>
      </c>
      <c r="O865" s="31">
        <f>Project_Data_NYSE[[#This Row],[Operating Profit]]/Project_Data_NYSE[[#This Row],[ Total Revenue ]]</f>
        <v>0.11002324434739734</v>
      </c>
    </row>
    <row r="866" spans="1:15" x14ac:dyDescent="0.2">
      <c r="A866">
        <v>892</v>
      </c>
      <c r="B866" t="s">
        <v>334</v>
      </c>
      <c r="C866" t="s">
        <v>14</v>
      </c>
      <c r="D866" s="48">
        <v>41636</v>
      </c>
      <c r="E866" s="3">
        <v>14792000000</v>
      </c>
      <c r="F866" s="3">
        <v>8689000000</v>
      </c>
      <c r="G866" s="3">
        <f>Project_Data_NYSE[[#This Row],[ Total Revenue ]]-Project_Data_NYSE[[#This Row],[ Cost of Goods Sold ]]</f>
        <v>6103000000</v>
      </c>
      <c r="H866" s="3">
        <v>3266000000</v>
      </c>
      <c r="I866" s="3">
        <v>0</v>
      </c>
      <c r="J866" s="3">
        <v>0</v>
      </c>
      <c r="K866" s="3">
        <f>Project_Data_NYSE[[#This Row],[Gross Profit]]-Project_Data_NYSE[[#This Row],[ Sales, General and Admin. ]]-Project_Data_NYSE[[#This Row],[ Research and Development ]]-Project_Data_NYSE[[#This Row],[ Other Operating Items ]]</f>
        <v>2837000000</v>
      </c>
      <c r="L866" t="s">
        <v>35</v>
      </c>
      <c r="M866" t="s">
        <v>123</v>
      </c>
      <c r="N866" s="31">
        <f>Project_Data_NYSE[[#This Row],[Gross Profit]]/Project_Data_NYSE[[#This Row],[ Total Revenue ]]</f>
        <v>0.41258788534342888</v>
      </c>
      <c r="O866" s="31">
        <f>Project_Data_NYSE[[#This Row],[Operating Profit]]/Project_Data_NYSE[[#This Row],[ Total Revenue ]]</f>
        <v>0.19179286100594917</v>
      </c>
    </row>
    <row r="867" spans="1:15" x14ac:dyDescent="0.2">
      <c r="A867">
        <v>893</v>
      </c>
      <c r="B867" t="s">
        <v>334</v>
      </c>
      <c r="C867" t="s">
        <v>15</v>
      </c>
      <c r="D867" s="48">
        <v>42007</v>
      </c>
      <c r="E867" s="3">
        <v>14580000000</v>
      </c>
      <c r="F867" s="3">
        <v>9517000000</v>
      </c>
      <c r="G867" s="3">
        <f>Project_Data_NYSE[[#This Row],[ Total Revenue ]]-Project_Data_NYSE[[#This Row],[ Cost of Goods Sold ]]</f>
        <v>5063000000</v>
      </c>
      <c r="H867" s="3">
        <v>4039000000</v>
      </c>
      <c r="I867" s="3">
        <v>0</v>
      </c>
      <c r="J867" s="3">
        <v>0</v>
      </c>
      <c r="K867" s="3">
        <f>Project_Data_NYSE[[#This Row],[Gross Profit]]-Project_Data_NYSE[[#This Row],[ Sales, General and Admin. ]]-Project_Data_NYSE[[#This Row],[ Research and Development ]]-Project_Data_NYSE[[#This Row],[ Other Operating Items ]]</f>
        <v>1024000000</v>
      </c>
      <c r="L867" t="s">
        <v>35</v>
      </c>
      <c r="M867" t="s">
        <v>123</v>
      </c>
      <c r="N867" s="31">
        <f>Project_Data_NYSE[[#This Row],[Gross Profit]]/Project_Data_NYSE[[#This Row],[ Total Revenue ]]</f>
        <v>0.3472565157750343</v>
      </c>
      <c r="O867" s="31">
        <f>Project_Data_NYSE[[#This Row],[Operating Profit]]/Project_Data_NYSE[[#This Row],[ Total Revenue ]]</f>
        <v>7.0233196159122088E-2</v>
      </c>
    </row>
    <row r="868" spans="1:15" x14ac:dyDescent="0.2">
      <c r="A868">
        <v>894</v>
      </c>
      <c r="B868" t="s">
        <v>334</v>
      </c>
      <c r="C868" t="s">
        <v>16</v>
      </c>
      <c r="D868" s="48">
        <v>42371</v>
      </c>
      <c r="E868" s="3">
        <v>13525000000</v>
      </c>
      <c r="F868" s="3">
        <v>8844000000</v>
      </c>
      <c r="G868" s="3">
        <f>Project_Data_NYSE[[#This Row],[ Total Revenue ]]-Project_Data_NYSE[[#This Row],[ Cost of Goods Sold ]]</f>
        <v>4681000000</v>
      </c>
      <c r="H868" s="3">
        <v>3590000000</v>
      </c>
      <c r="I868" s="3">
        <v>0</v>
      </c>
      <c r="J868" s="3">
        <v>0</v>
      </c>
      <c r="K868" s="3">
        <f>Project_Data_NYSE[[#This Row],[Gross Profit]]-Project_Data_NYSE[[#This Row],[ Sales, General and Admin. ]]-Project_Data_NYSE[[#This Row],[ Research and Development ]]-Project_Data_NYSE[[#This Row],[ Other Operating Items ]]</f>
        <v>1091000000</v>
      </c>
      <c r="L868" t="s">
        <v>35</v>
      </c>
      <c r="M868" t="s">
        <v>123</v>
      </c>
      <c r="N868" s="31">
        <f>Project_Data_NYSE[[#This Row],[Gross Profit]]/Project_Data_NYSE[[#This Row],[ Total Revenue ]]</f>
        <v>0.34609981515711646</v>
      </c>
      <c r="O868" s="31">
        <f>Project_Data_NYSE[[#This Row],[Operating Profit]]/Project_Data_NYSE[[#This Row],[ Total Revenue ]]</f>
        <v>8.0665434380776335E-2</v>
      </c>
    </row>
    <row r="869" spans="1:15" x14ac:dyDescent="0.2">
      <c r="A869">
        <v>895</v>
      </c>
      <c r="B869" t="s">
        <v>335</v>
      </c>
      <c r="C869" t="s">
        <v>11</v>
      </c>
      <c r="D869" s="48">
        <v>41547</v>
      </c>
      <c r="E869" s="3">
        <v>1287577000</v>
      </c>
      <c r="F869" s="3">
        <v>1073447000</v>
      </c>
      <c r="G869" s="3">
        <f>Project_Data_NYSE[[#This Row],[ Total Revenue ]]-Project_Data_NYSE[[#This Row],[ Cost of Goods Sold ]]</f>
        <v>214130000</v>
      </c>
      <c r="H869" s="3">
        <v>174085000</v>
      </c>
      <c r="I869" s="3">
        <v>0</v>
      </c>
      <c r="J869" s="3">
        <v>12784000</v>
      </c>
      <c r="K869" s="3">
        <f>Project_Data_NYSE[[#This Row],[Gross Profit]]-Project_Data_NYSE[[#This Row],[ Sales, General and Admin. ]]-Project_Data_NYSE[[#This Row],[ Research and Development ]]-Project_Data_NYSE[[#This Row],[ Other Operating Items ]]</f>
        <v>27261000</v>
      </c>
      <c r="L869" t="s">
        <v>46</v>
      </c>
      <c r="M869" t="s">
        <v>104</v>
      </c>
      <c r="N869" s="31">
        <f>Project_Data_NYSE[[#This Row],[Gross Profit]]/Project_Data_NYSE[[#This Row],[ Total Revenue ]]</f>
        <v>0.16630461712192746</v>
      </c>
      <c r="O869" s="31">
        <f>Project_Data_NYSE[[#This Row],[Operating Profit]]/Project_Data_NYSE[[#This Row],[ Total Revenue ]]</f>
        <v>2.1172326004580695E-2</v>
      </c>
    </row>
    <row r="870" spans="1:15" x14ac:dyDescent="0.2">
      <c r="A870">
        <v>896</v>
      </c>
      <c r="B870" t="s">
        <v>335</v>
      </c>
      <c r="C870" t="s">
        <v>14</v>
      </c>
      <c r="D870" s="48">
        <v>41912</v>
      </c>
      <c r="E870" s="3">
        <v>1463767000</v>
      </c>
      <c r="F870" s="3">
        <v>1200308000</v>
      </c>
      <c r="G870" s="3">
        <f>Project_Data_NYSE[[#This Row],[ Total Revenue ]]-Project_Data_NYSE[[#This Row],[ Cost of Goods Sold ]]</f>
        <v>263459000</v>
      </c>
      <c r="H870" s="3">
        <v>194491000</v>
      </c>
      <c r="I870" s="3">
        <v>0</v>
      </c>
      <c r="J870" s="3">
        <v>13279000</v>
      </c>
      <c r="K870" s="3">
        <f>Project_Data_NYSE[[#This Row],[Gross Profit]]-Project_Data_NYSE[[#This Row],[ Sales, General and Admin. ]]-Project_Data_NYSE[[#This Row],[ Research and Development ]]-Project_Data_NYSE[[#This Row],[ Other Operating Items ]]</f>
        <v>55689000</v>
      </c>
      <c r="L870" t="s">
        <v>46</v>
      </c>
      <c r="M870" t="s">
        <v>104</v>
      </c>
      <c r="N870" s="31">
        <f>Project_Data_NYSE[[#This Row],[Gross Profit]]/Project_Data_NYSE[[#This Row],[ Total Revenue ]]</f>
        <v>0.17998697880195413</v>
      </c>
      <c r="O870" s="31">
        <f>Project_Data_NYSE[[#This Row],[Operating Profit]]/Project_Data_NYSE[[#This Row],[ Total Revenue ]]</f>
        <v>3.8044989400635484E-2</v>
      </c>
    </row>
    <row r="871" spans="1:15" x14ac:dyDescent="0.2">
      <c r="A871">
        <v>897</v>
      </c>
      <c r="B871" t="s">
        <v>335</v>
      </c>
      <c r="C871" t="s">
        <v>15</v>
      </c>
      <c r="D871" s="48">
        <v>42277</v>
      </c>
      <c r="E871" s="3">
        <v>1627413000</v>
      </c>
      <c r="F871" s="3">
        <v>1354969000</v>
      </c>
      <c r="G871" s="3">
        <f>Project_Data_NYSE[[#This Row],[ Total Revenue ]]-Project_Data_NYSE[[#This Row],[ Cost of Goods Sold ]]</f>
        <v>272444000</v>
      </c>
      <c r="H871" s="3">
        <v>207519000</v>
      </c>
      <c r="I871" s="3">
        <v>0</v>
      </c>
      <c r="J871" s="3">
        <v>13338000</v>
      </c>
      <c r="K871" s="3">
        <f>Project_Data_NYSE[[#This Row],[Gross Profit]]-Project_Data_NYSE[[#This Row],[ Sales, General and Admin. ]]-Project_Data_NYSE[[#This Row],[ Research and Development ]]-Project_Data_NYSE[[#This Row],[ Other Operating Items ]]</f>
        <v>51587000</v>
      </c>
      <c r="L871" t="s">
        <v>46</v>
      </c>
      <c r="M871" t="s">
        <v>104</v>
      </c>
      <c r="N871" s="31">
        <f>Project_Data_NYSE[[#This Row],[Gross Profit]]/Project_Data_NYSE[[#This Row],[ Total Revenue ]]</f>
        <v>0.1674092562858967</v>
      </c>
      <c r="O871" s="31">
        <f>Project_Data_NYSE[[#This Row],[Operating Profit]]/Project_Data_NYSE[[#This Row],[ Total Revenue ]]</f>
        <v>3.1698775909987202E-2</v>
      </c>
    </row>
    <row r="872" spans="1:15" x14ac:dyDescent="0.2">
      <c r="A872">
        <v>898</v>
      </c>
      <c r="B872" t="s">
        <v>335</v>
      </c>
      <c r="C872" t="s">
        <v>16</v>
      </c>
      <c r="D872" s="48">
        <v>42643</v>
      </c>
      <c r="E872" s="3">
        <v>1822114000</v>
      </c>
      <c r="F872" s="3">
        <v>1524907000</v>
      </c>
      <c r="G872" s="3">
        <f>Project_Data_NYSE[[#This Row],[ Total Revenue ]]-Project_Data_NYSE[[#This Row],[ Cost of Goods Sold ]]</f>
        <v>297207000</v>
      </c>
      <c r="H872" s="3">
        <v>224088000</v>
      </c>
      <c r="I872" s="3">
        <v>0</v>
      </c>
      <c r="J872" s="3">
        <v>13794000</v>
      </c>
      <c r="K872" s="3">
        <f>Project_Data_NYSE[[#This Row],[Gross Profit]]-Project_Data_NYSE[[#This Row],[ Sales, General and Admin. ]]-Project_Data_NYSE[[#This Row],[ Research and Development ]]-Project_Data_NYSE[[#This Row],[ Other Operating Items ]]</f>
        <v>59325000</v>
      </c>
      <c r="L872" t="s">
        <v>46</v>
      </c>
      <c r="M872" t="s">
        <v>104</v>
      </c>
      <c r="N872" s="31">
        <f>Project_Data_NYSE[[#This Row],[Gross Profit]]/Project_Data_NYSE[[#This Row],[ Total Revenue ]]</f>
        <v>0.16311108964642168</v>
      </c>
      <c r="O872" s="31">
        <f>Project_Data_NYSE[[#This Row],[Operating Profit]]/Project_Data_NYSE[[#This Row],[ Total Revenue ]]</f>
        <v>3.2558336086545625E-2</v>
      </c>
    </row>
    <row r="873" spans="1:15" x14ac:dyDescent="0.2">
      <c r="A873">
        <v>899</v>
      </c>
      <c r="B873" t="s">
        <v>336</v>
      </c>
      <c r="C873" t="s">
        <v>11</v>
      </c>
      <c r="D873" s="48">
        <v>41274</v>
      </c>
      <c r="E873" s="3">
        <v>793373000</v>
      </c>
      <c r="F873" s="3">
        <v>206974000</v>
      </c>
      <c r="G873" s="3">
        <f>Project_Data_NYSE[[#This Row],[ Total Revenue ]]-Project_Data_NYSE[[#This Row],[ Cost of Goods Sold ]]</f>
        <v>586399000</v>
      </c>
      <c r="H873" s="3">
        <v>123524000</v>
      </c>
      <c r="I873" s="3">
        <v>0</v>
      </c>
      <c r="J873" s="3">
        <v>214827000</v>
      </c>
      <c r="K873" s="3">
        <f>Project_Data_NYSE[[#This Row],[Gross Profit]]-Project_Data_NYSE[[#This Row],[ Sales, General and Admin. ]]-Project_Data_NYSE[[#This Row],[ Research and Development ]]-Project_Data_NYSE[[#This Row],[ Other Operating Items ]]</f>
        <v>248048000</v>
      </c>
      <c r="L873" t="s">
        <v>51</v>
      </c>
      <c r="M873" t="s">
        <v>52</v>
      </c>
      <c r="N873" s="31">
        <f>Project_Data_NYSE[[#This Row],[Gross Profit]]/Project_Data_NYSE[[#This Row],[ Total Revenue ]]</f>
        <v>0.7391214472889801</v>
      </c>
      <c r="O873" s="31">
        <f>Project_Data_NYSE[[#This Row],[Operating Profit]]/Project_Data_NYSE[[#This Row],[ Total Revenue ]]</f>
        <v>0.31264991372280126</v>
      </c>
    </row>
    <row r="874" spans="1:15" x14ac:dyDescent="0.2">
      <c r="A874">
        <v>900</v>
      </c>
      <c r="B874" t="s">
        <v>336</v>
      </c>
      <c r="C874" t="s">
        <v>14</v>
      </c>
      <c r="D874" s="48">
        <v>41639</v>
      </c>
      <c r="E874" s="3">
        <v>861527000</v>
      </c>
      <c r="F874" s="3">
        <v>221498000</v>
      </c>
      <c r="G874" s="3">
        <f>Project_Data_NYSE[[#This Row],[ Total Revenue ]]-Project_Data_NYSE[[#This Row],[ Cost of Goods Sold ]]</f>
        <v>640029000</v>
      </c>
      <c r="H874" s="3">
        <v>127470000</v>
      </c>
      <c r="I874" s="3">
        <v>0</v>
      </c>
      <c r="J874" s="3">
        <v>224713000</v>
      </c>
      <c r="K874" s="3">
        <f>Project_Data_NYSE[[#This Row],[Gross Profit]]-Project_Data_NYSE[[#This Row],[ Sales, General and Admin. ]]-Project_Data_NYSE[[#This Row],[ Research and Development ]]-Project_Data_NYSE[[#This Row],[ Other Operating Items ]]</f>
        <v>287846000</v>
      </c>
      <c r="L874" t="s">
        <v>51</v>
      </c>
      <c r="M874" t="s">
        <v>52</v>
      </c>
      <c r="N874" s="31">
        <f>Project_Data_NYSE[[#This Row],[Gross Profit]]/Project_Data_NYSE[[#This Row],[ Total Revenue ]]</f>
        <v>0.74290068680377985</v>
      </c>
      <c r="O874" s="31">
        <f>Project_Data_NYSE[[#This Row],[Operating Profit]]/Project_Data_NYSE[[#This Row],[ Total Revenue ]]</f>
        <v>0.33411140916071114</v>
      </c>
    </row>
    <row r="875" spans="1:15" x14ac:dyDescent="0.2">
      <c r="A875">
        <v>901</v>
      </c>
      <c r="B875" t="s">
        <v>336</v>
      </c>
      <c r="C875" t="s">
        <v>15</v>
      </c>
      <c r="D875" s="48">
        <v>42004</v>
      </c>
      <c r="E875" s="3">
        <v>993897000</v>
      </c>
      <c r="F875" s="3">
        <v>258617000</v>
      </c>
      <c r="G875" s="3">
        <f>Project_Data_NYSE[[#This Row],[ Total Revenue ]]-Project_Data_NYSE[[#This Row],[ Cost of Goods Sold ]]</f>
        <v>735280000</v>
      </c>
      <c r="H875" s="3">
        <v>122201000</v>
      </c>
      <c r="I875" s="3">
        <v>0</v>
      </c>
      <c r="J875" s="3">
        <v>258074000</v>
      </c>
      <c r="K875" s="3">
        <f>Project_Data_NYSE[[#This Row],[Gross Profit]]-Project_Data_NYSE[[#This Row],[ Sales, General and Admin. ]]-Project_Data_NYSE[[#This Row],[ Research and Development ]]-Project_Data_NYSE[[#This Row],[ Other Operating Items ]]</f>
        <v>355005000</v>
      </c>
      <c r="L875" t="s">
        <v>51</v>
      </c>
      <c r="M875" t="s">
        <v>52</v>
      </c>
      <c r="N875" s="31">
        <f>Project_Data_NYSE[[#This Row],[Gross Profit]]/Project_Data_NYSE[[#This Row],[ Total Revenue ]]</f>
        <v>0.73979496869393913</v>
      </c>
      <c r="O875" s="31">
        <f>Project_Data_NYSE[[#This Row],[Operating Profit]]/Project_Data_NYSE[[#This Row],[ Total Revenue ]]</f>
        <v>0.35718489944129017</v>
      </c>
    </row>
    <row r="876" spans="1:15" x14ac:dyDescent="0.2">
      <c r="A876">
        <v>902</v>
      </c>
      <c r="B876" t="s">
        <v>336</v>
      </c>
      <c r="C876" t="s">
        <v>16</v>
      </c>
      <c r="D876" s="48">
        <v>42369</v>
      </c>
      <c r="E876" s="3">
        <v>1166769000</v>
      </c>
      <c r="F876" s="3">
        <v>304477000</v>
      </c>
      <c r="G876" s="3">
        <f>Project_Data_NYSE[[#This Row],[ Total Revenue ]]-Project_Data_NYSE[[#This Row],[ Cost of Goods Sold ]]</f>
        <v>862292000</v>
      </c>
      <c r="H876" s="3">
        <v>122735000</v>
      </c>
      <c r="I876" s="3">
        <v>0</v>
      </c>
      <c r="J876" s="3">
        <v>344527000</v>
      </c>
      <c r="K876" s="3">
        <f>Project_Data_NYSE[[#This Row],[Gross Profit]]-Project_Data_NYSE[[#This Row],[ Sales, General and Admin. ]]-Project_Data_NYSE[[#This Row],[ Research and Development ]]-Project_Data_NYSE[[#This Row],[ Other Operating Items ]]</f>
        <v>395030000</v>
      </c>
      <c r="L876" t="s">
        <v>51</v>
      </c>
      <c r="M876" t="s">
        <v>52</v>
      </c>
      <c r="N876" s="31">
        <f>Project_Data_NYSE[[#This Row],[Gross Profit]]/Project_Data_NYSE[[#This Row],[ Total Revenue ]]</f>
        <v>0.73904260397730825</v>
      </c>
      <c r="O876" s="31">
        <f>Project_Data_NYSE[[#This Row],[Operating Profit]]/Project_Data_NYSE[[#This Row],[ Total Revenue ]]</f>
        <v>0.33856744565548108</v>
      </c>
    </row>
    <row r="877" spans="1:15" x14ac:dyDescent="0.2">
      <c r="A877">
        <v>903</v>
      </c>
      <c r="B877" t="s">
        <v>337</v>
      </c>
      <c r="C877" t="s">
        <v>11</v>
      </c>
      <c r="D877" s="48">
        <v>41455</v>
      </c>
      <c r="E877" s="3">
        <v>2842781000</v>
      </c>
      <c r="F877" s="3">
        <v>1237452000</v>
      </c>
      <c r="G877" s="3">
        <f>Project_Data_NYSE[[#This Row],[ Total Revenue ]]-Project_Data_NYSE[[#This Row],[ Cost of Goods Sold ]]</f>
        <v>1605329000</v>
      </c>
      <c r="H877" s="3">
        <v>387812000</v>
      </c>
      <c r="I877" s="3">
        <v>487832000</v>
      </c>
      <c r="J877" s="3">
        <v>0</v>
      </c>
      <c r="K877" s="3">
        <f>Project_Data_NYSE[[#This Row],[Gross Profit]]-Project_Data_NYSE[[#This Row],[ Sales, General and Admin. ]]-Project_Data_NYSE[[#This Row],[ Research and Development ]]-Project_Data_NYSE[[#This Row],[ Other Operating Items ]]</f>
        <v>729685000</v>
      </c>
      <c r="L877" t="s">
        <v>21</v>
      </c>
      <c r="M877" t="s">
        <v>67</v>
      </c>
      <c r="N877" s="31">
        <f>Project_Data_NYSE[[#This Row],[Gross Profit]]/Project_Data_NYSE[[#This Row],[ Total Revenue ]]</f>
        <v>0.56470371794380225</v>
      </c>
      <c r="O877" s="31">
        <f>Project_Data_NYSE[[#This Row],[Operating Profit]]/Project_Data_NYSE[[#This Row],[ Total Revenue ]]</f>
        <v>0.25667999047411671</v>
      </c>
    </row>
    <row r="878" spans="1:15" x14ac:dyDescent="0.2">
      <c r="A878">
        <v>904</v>
      </c>
      <c r="B878" t="s">
        <v>337</v>
      </c>
      <c r="C878" t="s">
        <v>14</v>
      </c>
      <c r="D878" s="48">
        <v>41820</v>
      </c>
      <c r="E878" s="3">
        <v>2929408000</v>
      </c>
      <c r="F878" s="3">
        <v>1232962000</v>
      </c>
      <c r="G878" s="3">
        <f>Project_Data_NYSE[[#This Row],[ Total Revenue ]]-Project_Data_NYSE[[#This Row],[ Cost of Goods Sold ]]</f>
        <v>1696446000</v>
      </c>
      <c r="H878" s="3">
        <v>384907000</v>
      </c>
      <c r="I878" s="3">
        <v>539469000</v>
      </c>
      <c r="J878" s="3">
        <v>0</v>
      </c>
      <c r="K878" s="3">
        <f>Project_Data_NYSE[[#This Row],[Gross Profit]]-Project_Data_NYSE[[#This Row],[ Sales, General and Admin. ]]-Project_Data_NYSE[[#This Row],[ Research and Development ]]-Project_Data_NYSE[[#This Row],[ Other Operating Items ]]</f>
        <v>772070000</v>
      </c>
      <c r="L878" t="s">
        <v>21</v>
      </c>
      <c r="M878" t="s">
        <v>67</v>
      </c>
      <c r="N878" s="31">
        <f>Project_Data_NYSE[[#This Row],[Gross Profit]]/Project_Data_NYSE[[#This Row],[ Total Revenue ]]</f>
        <v>0.5791088165253867</v>
      </c>
      <c r="O878" s="31">
        <f>Project_Data_NYSE[[#This Row],[Operating Profit]]/Project_Data_NYSE[[#This Row],[ Total Revenue ]]</f>
        <v>0.26355837083806694</v>
      </c>
    </row>
    <row r="879" spans="1:15" x14ac:dyDescent="0.2">
      <c r="A879">
        <v>905</v>
      </c>
      <c r="B879" t="s">
        <v>337</v>
      </c>
      <c r="C879" t="s">
        <v>15</v>
      </c>
      <c r="D879" s="48">
        <v>42185</v>
      </c>
      <c r="E879" s="3">
        <v>2814049000</v>
      </c>
      <c r="F879" s="3">
        <v>1215229000</v>
      </c>
      <c r="G879" s="3">
        <f>Project_Data_NYSE[[#This Row],[ Total Revenue ]]-Project_Data_NYSE[[#This Row],[ Cost of Goods Sold ]]</f>
        <v>1598820000</v>
      </c>
      <c r="H879" s="3">
        <v>406864000</v>
      </c>
      <c r="I879" s="3">
        <v>530616000</v>
      </c>
      <c r="J879" s="3">
        <v>0</v>
      </c>
      <c r="K879" s="3">
        <f>Project_Data_NYSE[[#This Row],[Gross Profit]]-Project_Data_NYSE[[#This Row],[ Sales, General and Admin. ]]-Project_Data_NYSE[[#This Row],[ Research and Development ]]-Project_Data_NYSE[[#This Row],[ Other Operating Items ]]</f>
        <v>661340000</v>
      </c>
      <c r="L879" t="s">
        <v>21</v>
      </c>
      <c r="M879" t="s">
        <v>67</v>
      </c>
      <c r="N879" s="31">
        <f>Project_Data_NYSE[[#This Row],[Gross Profit]]/Project_Data_NYSE[[#This Row],[ Total Revenue ]]</f>
        <v>0.56815641802967898</v>
      </c>
      <c r="O879" s="31">
        <f>Project_Data_NYSE[[#This Row],[Operating Profit]]/Project_Data_NYSE[[#This Row],[ Total Revenue ]]</f>
        <v>0.2350136760234097</v>
      </c>
    </row>
    <row r="880" spans="1:15" x14ac:dyDescent="0.2">
      <c r="A880">
        <v>906</v>
      </c>
      <c r="B880" t="s">
        <v>337</v>
      </c>
      <c r="C880" t="s">
        <v>16</v>
      </c>
      <c r="D880" s="48">
        <v>42551</v>
      </c>
      <c r="E880" s="3">
        <v>2984493000</v>
      </c>
      <c r="F880" s="3">
        <v>1163391000</v>
      </c>
      <c r="G880" s="3">
        <f>Project_Data_NYSE[[#This Row],[ Total Revenue ]]-Project_Data_NYSE[[#This Row],[ Cost of Goods Sold ]]</f>
        <v>1821102000</v>
      </c>
      <c r="H880" s="3">
        <v>379399000</v>
      </c>
      <c r="I880" s="3">
        <v>481258000</v>
      </c>
      <c r="J880" s="3">
        <v>0</v>
      </c>
      <c r="K880" s="3">
        <f>Project_Data_NYSE[[#This Row],[Gross Profit]]-Project_Data_NYSE[[#This Row],[ Sales, General and Admin. ]]-Project_Data_NYSE[[#This Row],[ Research and Development ]]-Project_Data_NYSE[[#This Row],[ Other Operating Items ]]</f>
        <v>960445000</v>
      </c>
      <c r="L880" t="s">
        <v>21</v>
      </c>
      <c r="M880" t="s">
        <v>67</v>
      </c>
      <c r="N880" s="31">
        <f>Project_Data_NYSE[[#This Row],[Gross Profit]]/Project_Data_NYSE[[#This Row],[ Total Revenue ]]</f>
        <v>0.61018806209295851</v>
      </c>
      <c r="O880" s="31">
        <f>Project_Data_NYSE[[#This Row],[Operating Profit]]/Project_Data_NYSE[[#This Row],[ Total Revenue ]]</f>
        <v>0.32181177841596548</v>
      </c>
    </row>
    <row r="881" spans="1:15" x14ac:dyDescent="0.2">
      <c r="A881">
        <v>907</v>
      </c>
      <c r="B881" t="s">
        <v>338</v>
      </c>
      <c r="C881" t="s">
        <v>11</v>
      </c>
      <c r="D881" s="48">
        <v>41639</v>
      </c>
      <c r="E881" s="3">
        <v>19561000000</v>
      </c>
      <c r="F881" s="3">
        <v>12952000000</v>
      </c>
      <c r="G881" s="3">
        <f>Project_Data_NYSE[[#This Row],[ Total Revenue ]]-Project_Data_NYSE[[#This Row],[ Cost of Goods Sold ]]</f>
        <v>6609000000</v>
      </c>
      <c r="H881" s="3">
        <v>3706000000</v>
      </c>
      <c r="I881" s="3">
        <v>0</v>
      </c>
      <c r="J881" s="3">
        <v>0</v>
      </c>
      <c r="K881" s="3">
        <f>Project_Data_NYSE[[#This Row],[Gross Profit]]-Project_Data_NYSE[[#This Row],[ Sales, General and Admin. ]]-Project_Data_NYSE[[#This Row],[ Research and Development ]]-Project_Data_NYSE[[#This Row],[ Other Operating Items ]]</f>
        <v>2903000000</v>
      </c>
      <c r="L881" t="s">
        <v>35</v>
      </c>
      <c r="M881" t="s">
        <v>141</v>
      </c>
      <c r="N881" s="31">
        <f>Project_Data_NYSE[[#This Row],[Gross Profit]]/Project_Data_NYSE[[#This Row],[ Total Revenue ]]</f>
        <v>0.33786616226164307</v>
      </c>
      <c r="O881" s="31">
        <f>Project_Data_NYSE[[#This Row],[Operating Profit]]/Project_Data_NYSE[[#This Row],[ Total Revenue ]]</f>
        <v>0.14840754562650171</v>
      </c>
    </row>
    <row r="882" spans="1:15" x14ac:dyDescent="0.2">
      <c r="A882">
        <v>908</v>
      </c>
      <c r="B882" t="s">
        <v>338</v>
      </c>
      <c r="C882" t="s">
        <v>14</v>
      </c>
      <c r="D882" s="48">
        <v>42004</v>
      </c>
      <c r="E882" s="3">
        <v>19724000000</v>
      </c>
      <c r="F882" s="3">
        <v>13041000000</v>
      </c>
      <c r="G882" s="3">
        <f>Project_Data_NYSE[[#This Row],[ Total Revenue ]]-Project_Data_NYSE[[#This Row],[ Cost of Goods Sold ]]</f>
        <v>6683000000</v>
      </c>
      <c r="H882" s="3">
        <v>4162000000</v>
      </c>
      <c r="I882" s="3">
        <v>0</v>
      </c>
      <c r="J882" s="3">
        <v>0</v>
      </c>
      <c r="K882" s="3">
        <f>Project_Data_NYSE[[#This Row],[Gross Profit]]-Project_Data_NYSE[[#This Row],[ Sales, General and Admin. ]]-Project_Data_NYSE[[#This Row],[ Research and Development ]]-Project_Data_NYSE[[#This Row],[ Other Operating Items ]]</f>
        <v>2521000000</v>
      </c>
      <c r="L882" t="s">
        <v>35</v>
      </c>
      <c r="M882" t="s">
        <v>141</v>
      </c>
      <c r="N882" s="31">
        <f>Project_Data_NYSE[[#This Row],[Gross Profit]]/Project_Data_NYSE[[#This Row],[ Total Revenue ]]</f>
        <v>0.33882579598458729</v>
      </c>
      <c r="O882" s="31">
        <f>Project_Data_NYSE[[#This Row],[Operating Profit]]/Project_Data_NYSE[[#This Row],[ Total Revenue ]]</f>
        <v>0.12781383086595011</v>
      </c>
    </row>
    <row r="883" spans="1:15" x14ac:dyDescent="0.2">
      <c r="A883">
        <v>909</v>
      </c>
      <c r="B883" t="s">
        <v>338</v>
      </c>
      <c r="C883" t="s">
        <v>15</v>
      </c>
      <c r="D883" s="48">
        <v>42369</v>
      </c>
      <c r="E883" s="3">
        <v>18591000000</v>
      </c>
      <c r="F883" s="3">
        <v>11967000000</v>
      </c>
      <c r="G883" s="3">
        <f>Project_Data_NYSE[[#This Row],[ Total Revenue ]]-Project_Data_NYSE[[#This Row],[ Cost of Goods Sold ]]</f>
        <v>6624000000</v>
      </c>
      <c r="H883" s="3">
        <v>5011000000</v>
      </c>
      <c r="I883" s="3">
        <v>0</v>
      </c>
      <c r="J883" s="3">
        <v>0</v>
      </c>
      <c r="K883" s="3">
        <f>Project_Data_NYSE[[#This Row],[Gross Profit]]-Project_Data_NYSE[[#This Row],[ Sales, General and Admin. ]]-Project_Data_NYSE[[#This Row],[ Research and Development ]]-Project_Data_NYSE[[#This Row],[ Other Operating Items ]]</f>
        <v>1613000000</v>
      </c>
      <c r="L883" t="s">
        <v>35</v>
      </c>
      <c r="M883" t="s">
        <v>141</v>
      </c>
      <c r="N883" s="31">
        <f>Project_Data_NYSE[[#This Row],[Gross Profit]]/Project_Data_NYSE[[#This Row],[ Total Revenue ]]</f>
        <v>0.35630143617879617</v>
      </c>
      <c r="O883" s="31">
        <f>Project_Data_NYSE[[#This Row],[Operating Profit]]/Project_Data_NYSE[[#This Row],[ Total Revenue ]]</f>
        <v>8.676241191974611E-2</v>
      </c>
    </row>
    <row r="884" spans="1:15" x14ac:dyDescent="0.2">
      <c r="A884">
        <v>910</v>
      </c>
      <c r="B884" t="s">
        <v>338</v>
      </c>
      <c r="C884" t="s">
        <v>16</v>
      </c>
      <c r="D884" s="48">
        <v>42735</v>
      </c>
      <c r="E884" s="3">
        <v>18202000000</v>
      </c>
      <c r="F884" s="3">
        <v>11551000000</v>
      </c>
      <c r="G884" s="3">
        <f>Project_Data_NYSE[[#This Row],[ Total Revenue ]]-Project_Data_NYSE[[#This Row],[ Cost of Goods Sold ]]</f>
        <v>6651000000</v>
      </c>
      <c r="H884" s="3">
        <v>3334000000</v>
      </c>
      <c r="I884" s="3">
        <v>0</v>
      </c>
      <c r="J884" s="3">
        <v>0</v>
      </c>
      <c r="K884" s="3">
        <f>Project_Data_NYSE[[#This Row],[Gross Profit]]-Project_Data_NYSE[[#This Row],[ Sales, General and Admin. ]]-Project_Data_NYSE[[#This Row],[ Research and Development ]]-Project_Data_NYSE[[#This Row],[ Other Operating Items ]]</f>
        <v>3317000000</v>
      </c>
      <c r="L884" t="s">
        <v>35</v>
      </c>
      <c r="M884" t="s">
        <v>141</v>
      </c>
      <c r="N884" s="31">
        <f>Project_Data_NYSE[[#This Row],[Gross Profit]]/Project_Data_NYSE[[#This Row],[ Total Revenue ]]</f>
        <v>0.36539940665860893</v>
      </c>
      <c r="O884" s="31">
        <f>Project_Data_NYSE[[#This Row],[Operating Profit]]/Project_Data_NYSE[[#This Row],[ Total Revenue ]]</f>
        <v>0.18223272167893639</v>
      </c>
    </row>
    <row r="885" spans="1:15" x14ac:dyDescent="0.2">
      <c r="A885">
        <v>911</v>
      </c>
      <c r="B885" t="s">
        <v>339</v>
      </c>
      <c r="C885" t="s">
        <v>11</v>
      </c>
      <c r="D885" s="48">
        <v>41639</v>
      </c>
      <c r="E885" s="3">
        <v>14070000000</v>
      </c>
      <c r="F885" s="3">
        <v>7365000000</v>
      </c>
      <c r="G885" s="3">
        <f>Project_Data_NYSE[[#This Row],[ Total Revenue ]]-Project_Data_NYSE[[#This Row],[ Cost of Goods Sold ]]</f>
        <v>6705000000</v>
      </c>
      <c r="H885" s="3">
        <v>1007000000</v>
      </c>
      <c r="I885" s="3">
        <v>0</v>
      </c>
      <c r="J885" s="3">
        <v>1806000000</v>
      </c>
      <c r="K885" s="3">
        <f>Project_Data_NYSE[[#This Row],[Gross Profit]]-Project_Data_NYSE[[#This Row],[ Sales, General and Admin. ]]-Project_Data_NYSE[[#This Row],[ Research and Development ]]-Project_Data_NYSE[[#This Row],[ Other Operating Items ]]</f>
        <v>3892000000</v>
      </c>
      <c r="L885" t="s">
        <v>82</v>
      </c>
      <c r="M885" t="s">
        <v>340</v>
      </c>
      <c r="N885" s="31">
        <f>Project_Data_NYSE[[#This Row],[Gross Profit]]/Project_Data_NYSE[[#This Row],[ Total Revenue ]]</f>
        <v>0.47654584221748403</v>
      </c>
      <c r="O885" s="31">
        <f>Project_Data_NYSE[[#This Row],[Operating Profit]]/Project_Data_NYSE[[#This Row],[ Total Revenue ]]</f>
        <v>0.27661691542288558</v>
      </c>
    </row>
    <row r="886" spans="1:15" x14ac:dyDescent="0.2">
      <c r="A886">
        <v>912</v>
      </c>
      <c r="B886" t="s">
        <v>339</v>
      </c>
      <c r="C886" t="s">
        <v>14</v>
      </c>
      <c r="D886" s="48">
        <v>42004</v>
      </c>
      <c r="E886" s="3">
        <v>16226000000</v>
      </c>
      <c r="F886" s="3">
        <v>8435000000</v>
      </c>
      <c r="G886" s="3">
        <f>Project_Data_NYSE[[#This Row],[ Total Revenue ]]-Project_Data_NYSE[[#This Row],[ Cost of Goods Sold ]]</f>
        <v>7791000000</v>
      </c>
      <c r="H886" s="3">
        <v>1029000000</v>
      </c>
      <c r="I886" s="3">
        <v>0</v>
      </c>
      <c r="J886" s="3">
        <v>2040000000</v>
      </c>
      <c r="K886" s="3">
        <f>Project_Data_NYSE[[#This Row],[Gross Profit]]-Project_Data_NYSE[[#This Row],[ Sales, General and Admin. ]]-Project_Data_NYSE[[#This Row],[ Research and Development ]]-Project_Data_NYSE[[#This Row],[ Other Operating Items ]]</f>
        <v>4722000000</v>
      </c>
      <c r="L886" t="s">
        <v>82</v>
      </c>
      <c r="M886" t="s">
        <v>340</v>
      </c>
      <c r="N886" s="31">
        <f>Project_Data_NYSE[[#This Row],[Gross Profit]]/Project_Data_NYSE[[#This Row],[ Total Revenue ]]</f>
        <v>0.4801553062985332</v>
      </c>
      <c r="O886" s="31">
        <f>Project_Data_NYSE[[#This Row],[Operating Profit]]/Project_Data_NYSE[[#This Row],[ Total Revenue ]]</f>
        <v>0.29101442129914951</v>
      </c>
    </row>
    <row r="887" spans="1:15" x14ac:dyDescent="0.2">
      <c r="A887">
        <v>913</v>
      </c>
      <c r="B887" t="s">
        <v>339</v>
      </c>
      <c r="C887" t="s">
        <v>15</v>
      </c>
      <c r="D887" s="48">
        <v>42369</v>
      </c>
      <c r="E887" s="3">
        <v>14403000000</v>
      </c>
      <c r="F887" s="3">
        <v>6452000000</v>
      </c>
      <c r="G887" s="3">
        <f>Project_Data_NYSE[[#This Row],[ Total Revenue ]]-Project_Data_NYSE[[#This Row],[ Cost of Goods Sold ]]</f>
        <v>7951000000</v>
      </c>
      <c r="H887" s="3">
        <v>1126000000</v>
      </c>
      <c r="I887" s="3">
        <v>0</v>
      </c>
      <c r="J887" s="3">
        <v>2309000000</v>
      </c>
      <c r="K887" s="3">
        <f>Project_Data_NYSE[[#This Row],[Gross Profit]]-Project_Data_NYSE[[#This Row],[ Sales, General and Admin. ]]-Project_Data_NYSE[[#This Row],[ Research and Development ]]-Project_Data_NYSE[[#This Row],[ Other Operating Items ]]</f>
        <v>4516000000</v>
      </c>
      <c r="L887" t="s">
        <v>82</v>
      </c>
      <c r="M887" t="s">
        <v>340</v>
      </c>
      <c r="N887" s="31">
        <f>Project_Data_NYSE[[#This Row],[Gross Profit]]/Project_Data_NYSE[[#This Row],[ Total Revenue ]]</f>
        <v>0.55203776990904674</v>
      </c>
      <c r="O887" s="31">
        <f>Project_Data_NYSE[[#This Row],[Operating Profit]]/Project_Data_NYSE[[#This Row],[ Total Revenue ]]</f>
        <v>0.31354578907172115</v>
      </c>
    </row>
    <row r="888" spans="1:15" x14ac:dyDescent="0.2">
      <c r="A888">
        <v>914</v>
      </c>
      <c r="B888" t="s">
        <v>339</v>
      </c>
      <c r="C888" t="s">
        <v>16</v>
      </c>
      <c r="D888" s="48">
        <v>42735</v>
      </c>
      <c r="E888" s="3">
        <v>13058000000</v>
      </c>
      <c r="F888" s="3">
        <v>5801000000</v>
      </c>
      <c r="G888" s="3">
        <f>Project_Data_NYSE[[#This Row],[ Total Revenue ]]-Project_Data_NYSE[[#This Row],[ Cost of Goods Sold ]]</f>
        <v>7257000000</v>
      </c>
      <c r="H888" s="3">
        <v>1089000000</v>
      </c>
      <c r="I888" s="3">
        <v>0</v>
      </c>
      <c r="J888" s="3">
        <v>2209000000</v>
      </c>
      <c r="K888" s="3">
        <f>Project_Data_NYSE[[#This Row],[Gross Profit]]-Project_Data_NYSE[[#This Row],[ Sales, General and Admin. ]]-Project_Data_NYSE[[#This Row],[ Research and Development ]]-Project_Data_NYSE[[#This Row],[ Other Operating Items ]]</f>
        <v>3959000000</v>
      </c>
      <c r="L888" t="s">
        <v>82</v>
      </c>
      <c r="M888" t="s">
        <v>340</v>
      </c>
      <c r="N888" s="31">
        <f>Project_Data_NYSE[[#This Row],[Gross Profit]]/Project_Data_NYSE[[#This Row],[ Total Revenue ]]</f>
        <v>0.5557512635931996</v>
      </c>
      <c r="O888" s="31">
        <f>Project_Data_NYSE[[#This Row],[Operating Profit]]/Project_Data_NYSE[[#This Row],[ Total Revenue ]]</f>
        <v>0.30318578649104</v>
      </c>
    </row>
    <row r="889" spans="1:15" x14ac:dyDescent="0.2">
      <c r="A889">
        <v>915</v>
      </c>
      <c r="B889" t="s">
        <v>341</v>
      </c>
      <c r="C889" t="s">
        <v>11</v>
      </c>
      <c r="D889" s="48">
        <v>41333</v>
      </c>
      <c r="E889" s="3">
        <v>10962818000</v>
      </c>
      <c r="F889" s="3">
        <v>9498456000</v>
      </c>
      <c r="G889" s="3">
        <f>Project_Data_NYSE[[#This Row],[ Total Revenue ]]-Project_Data_NYSE[[#This Row],[ Cost of Goods Sold ]]</f>
        <v>1464362000</v>
      </c>
      <c r="H889" s="3">
        <v>731767000</v>
      </c>
      <c r="I889" s="3">
        <v>0</v>
      </c>
      <c r="J889" s="3">
        <v>0</v>
      </c>
      <c r="K889" s="3">
        <f>Project_Data_NYSE[[#This Row],[Gross Profit]]-Project_Data_NYSE[[#This Row],[ Sales, General and Admin. ]]-Project_Data_NYSE[[#This Row],[ Research and Development ]]-Project_Data_NYSE[[#This Row],[ Other Operating Items ]]</f>
        <v>732595000</v>
      </c>
      <c r="L889" t="s">
        <v>18</v>
      </c>
      <c r="M889" t="s">
        <v>78</v>
      </c>
      <c r="N889" s="31">
        <f>Project_Data_NYSE[[#This Row],[Gross Profit]]/Project_Data_NYSE[[#This Row],[ Total Revenue ]]</f>
        <v>0.13357532707375055</v>
      </c>
      <c r="O889" s="31">
        <f>Project_Data_NYSE[[#This Row],[Operating Profit]]/Project_Data_NYSE[[#This Row],[ Total Revenue ]]</f>
        <v>6.6825427549741315E-2</v>
      </c>
    </row>
    <row r="890" spans="1:15" x14ac:dyDescent="0.2">
      <c r="A890">
        <v>916</v>
      </c>
      <c r="B890" t="s">
        <v>341</v>
      </c>
      <c r="C890" t="s">
        <v>14</v>
      </c>
      <c r="D890" s="48">
        <v>41698</v>
      </c>
      <c r="E890" s="3">
        <v>12574299000</v>
      </c>
      <c r="F890" s="3">
        <v>10925598000</v>
      </c>
      <c r="G890" s="3">
        <f>Project_Data_NYSE[[#This Row],[ Total Revenue ]]-Project_Data_NYSE[[#This Row],[ Cost of Goods Sold ]]</f>
        <v>1648701000</v>
      </c>
      <c r="H890" s="3">
        <v>819048000</v>
      </c>
      <c r="I890" s="3">
        <v>0</v>
      </c>
      <c r="J890" s="3">
        <v>0</v>
      </c>
      <c r="K890" s="3">
        <f>Project_Data_NYSE[[#This Row],[Gross Profit]]-Project_Data_NYSE[[#This Row],[ Sales, General and Admin. ]]-Project_Data_NYSE[[#This Row],[ Research and Development ]]-Project_Data_NYSE[[#This Row],[ Other Operating Items ]]</f>
        <v>829653000</v>
      </c>
      <c r="L890" t="s">
        <v>18</v>
      </c>
      <c r="M890" t="s">
        <v>78</v>
      </c>
      <c r="N890" s="31">
        <f>Project_Data_NYSE[[#This Row],[Gross Profit]]/Project_Data_NYSE[[#This Row],[ Total Revenue ]]</f>
        <v>0.13111673263058243</v>
      </c>
      <c r="O890" s="31">
        <f>Project_Data_NYSE[[#This Row],[Operating Profit]]/Project_Data_NYSE[[#This Row],[ Total Revenue ]]</f>
        <v>6.5980059802936128E-2</v>
      </c>
    </row>
    <row r="891" spans="1:15" x14ac:dyDescent="0.2">
      <c r="A891">
        <v>917</v>
      </c>
      <c r="B891" t="s">
        <v>341</v>
      </c>
      <c r="C891" t="s">
        <v>15</v>
      </c>
      <c r="D891" s="48">
        <v>42063</v>
      </c>
      <c r="E891" s="3">
        <v>14268716000</v>
      </c>
      <c r="F891" s="3">
        <v>12381189000</v>
      </c>
      <c r="G891" s="3">
        <f>Project_Data_NYSE[[#This Row],[ Total Revenue ]]-Project_Data_NYSE[[#This Row],[ Cost of Goods Sold ]]</f>
        <v>1887527000</v>
      </c>
      <c r="H891" s="3">
        <v>890431000</v>
      </c>
      <c r="I891" s="3">
        <v>0</v>
      </c>
      <c r="J891" s="3">
        <v>0</v>
      </c>
      <c r="K891" s="3">
        <f>Project_Data_NYSE[[#This Row],[Gross Profit]]-Project_Data_NYSE[[#This Row],[ Sales, General and Admin. ]]-Project_Data_NYSE[[#This Row],[ Research and Development ]]-Project_Data_NYSE[[#This Row],[ Other Operating Items ]]</f>
        <v>997096000</v>
      </c>
      <c r="L891" t="s">
        <v>18</v>
      </c>
      <c r="M891" t="s">
        <v>78</v>
      </c>
      <c r="N891" s="31">
        <f>Project_Data_NYSE[[#This Row],[Gross Profit]]/Project_Data_NYSE[[#This Row],[ Total Revenue ]]</f>
        <v>0.13228429243388123</v>
      </c>
      <c r="O891" s="31">
        <f>Project_Data_NYSE[[#This Row],[Operating Profit]]/Project_Data_NYSE[[#This Row],[ Total Revenue ]]</f>
        <v>6.9879868658118918E-2</v>
      </c>
    </row>
    <row r="892" spans="1:15" x14ac:dyDescent="0.2">
      <c r="A892">
        <v>918</v>
      </c>
      <c r="B892" t="s">
        <v>341</v>
      </c>
      <c r="C892" t="s">
        <v>16</v>
      </c>
      <c r="D892" s="48">
        <v>42429</v>
      </c>
      <c r="E892" s="3">
        <v>15149675000</v>
      </c>
      <c r="F892" s="3">
        <v>13130915000</v>
      </c>
      <c r="G892" s="3">
        <f>Project_Data_NYSE[[#This Row],[ Total Revenue ]]-Project_Data_NYSE[[#This Row],[ Cost of Goods Sold ]]</f>
        <v>2018760000</v>
      </c>
      <c r="H892" s="3">
        <v>959899000</v>
      </c>
      <c r="I892" s="3">
        <v>0</v>
      </c>
      <c r="J892" s="3">
        <v>0</v>
      </c>
      <c r="K892" s="3">
        <f>Project_Data_NYSE[[#This Row],[Gross Profit]]-Project_Data_NYSE[[#This Row],[ Sales, General and Admin. ]]-Project_Data_NYSE[[#This Row],[ Research and Development ]]-Project_Data_NYSE[[#This Row],[ Other Operating Items ]]</f>
        <v>1058861000</v>
      </c>
      <c r="L892" t="s">
        <v>18</v>
      </c>
      <c r="M892" t="s">
        <v>78</v>
      </c>
      <c r="N892" s="31">
        <f>Project_Data_NYSE[[#This Row],[Gross Profit]]/Project_Data_NYSE[[#This Row],[ Total Revenue ]]</f>
        <v>0.13325434374004722</v>
      </c>
      <c r="O892" s="31">
        <f>Project_Data_NYSE[[#This Row],[Operating Profit]]/Project_Data_NYSE[[#This Row],[ Total Revenue ]]</f>
        <v>6.9893314543051255E-2</v>
      </c>
    </row>
    <row r="893" spans="1:15" x14ac:dyDescent="0.2">
      <c r="A893">
        <v>919</v>
      </c>
      <c r="B893" t="s">
        <v>342</v>
      </c>
      <c r="C893" t="s">
        <v>11</v>
      </c>
      <c r="D893" s="48">
        <v>41274</v>
      </c>
      <c r="E893" s="3">
        <v>48017000000</v>
      </c>
      <c r="F893" s="3">
        <v>19053000000</v>
      </c>
      <c r="G893" s="3">
        <f>Project_Data_NYSE[[#This Row],[ Total Revenue ]]-Project_Data_NYSE[[#This Row],[ Cost of Goods Sold ]]</f>
        <v>28964000000</v>
      </c>
      <c r="H893" s="3">
        <v>18185000000</v>
      </c>
      <c r="I893" s="3">
        <v>0</v>
      </c>
      <c r="J893" s="3">
        <v>0</v>
      </c>
      <c r="K893" s="3">
        <f>Project_Data_NYSE[[#This Row],[Gross Profit]]-Project_Data_NYSE[[#This Row],[ Sales, General and Admin. ]]-Project_Data_NYSE[[#This Row],[ Research and Development ]]-Project_Data_NYSE[[#This Row],[ Other Operating Items ]]</f>
        <v>10779000000</v>
      </c>
      <c r="L893" t="s">
        <v>35</v>
      </c>
      <c r="M893" t="s">
        <v>213</v>
      </c>
      <c r="N893" s="31">
        <f>Project_Data_NYSE[[#This Row],[Gross Profit]]/Project_Data_NYSE[[#This Row],[ Total Revenue ]]</f>
        <v>0.60320303225940808</v>
      </c>
      <c r="O893" s="31">
        <f>Project_Data_NYSE[[#This Row],[Operating Profit]]/Project_Data_NYSE[[#This Row],[ Total Revenue ]]</f>
        <v>0.22448299560572296</v>
      </c>
    </row>
    <row r="894" spans="1:15" x14ac:dyDescent="0.2">
      <c r="A894">
        <v>920</v>
      </c>
      <c r="B894" t="s">
        <v>342</v>
      </c>
      <c r="C894" t="s">
        <v>14</v>
      </c>
      <c r="D894" s="48">
        <v>41639</v>
      </c>
      <c r="E894" s="3">
        <v>46854000000</v>
      </c>
      <c r="F894" s="3">
        <v>18421000000</v>
      </c>
      <c r="G894" s="3">
        <f>Project_Data_NYSE[[#This Row],[ Total Revenue ]]-Project_Data_NYSE[[#This Row],[ Cost of Goods Sold ]]</f>
        <v>28433000000</v>
      </c>
      <c r="H894" s="3">
        <v>18205000000</v>
      </c>
      <c r="I894" s="3">
        <v>0</v>
      </c>
      <c r="J894" s="3">
        <v>0</v>
      </c>
      <c r="K894" s="3">
        <f>Project_Data_NYSE[[#This Row],[Gross Profit]]-Project_Data_NYSE[[#This Row],[ Sales, General and Admin. ]]-Project_Data_NYSE[[#This Row],[ Research and Development ]]-Project_Data_NYSE[[#This Row],[ Other Operating Items ]]</f>
        <v>10228000000</v>
      </c>
      <c r="L894" t="s">
        <v>35</v>
      </c>
      <c r="M894" t="s">
        <v>213</v>
      </c>
      <c r="N894" s="31">
        <f>Project_Data_NYSE[[#This Row],[Gross Profit]]/Project_Data_NYSE[[#This Row],[ Total Revenue ]]</f>
        <v>0.60684253212105688</v>
      </c>
      <c r="O894" s="31">
        <f>Project_Data_NYSE[[#This Row],[Operating Profit]]/Project_Data_NYSE[[#This Row],[ Total Revenue ]]</f>
        <v>0.21829512955137234</v>
      </c>
    </row>
    <row r="895" spans="1:15" x14ac:dyDescent="0.2">
      <c r="A895">
        <v>921</v>
      </c>
      <c r="B895" t="s">
        <v>342</v>
      </c>
      <c r="C895" t="s">
        <v>15</v>
      </c>
      <c r="D895" s="48">
        <v>42004</v>
      </c>
      <c r="E895" s="3">
        <v>45998000000</v>
      </c>
      <c r="F895" s="3">
        <v>17889000000</v>
      </c>
      <c r="G895" s="3">
        <f>Project_Data_NYSE[[#This Row],[ Total Revenue ]]-Project_Data_NYSE[[#This Row],[ Cost of Goods Sold ]]</f>
        <v>28109000000</v>
      </c>
      <c r="H895" s="3">
        <v>18401000000</v>
      </c>
      <c r="I895" s="3">
        <v>0</v>
      </c>
      <c r="J895" s="3">
        <v>0</v>
      </c>
      <c r="K895" s="3">
        <f>Project_Data_NYSE[[#This Row],[Gross Profit]]-Project_Data_NYSE[[#This Row],[ Sales, General and Admin. ]]-Project_Data_NYSE[[#This Row],[ Research and Development ]]-Project_Data_NYSE[[#This Row],[ Other Operating Items ]]</f>
        <v>9708000000</v>
      </c>
      <c r="L895" t="s">
        <v>35</v>
      </c>
      <c r="M895" t="s">
        <v>213</v>
      </c>
      <c r="N895" s="31">
        <f>Project_Data_NYSE[[#This Row],[Gross Profit]]/Project_Data_NYSE[[#This Row],[ Total Revenue ]]</f>
        <v>0.61109178659941732</v>
      </c>
      <c r="O895" s="31">
        <f>Project_Data_NYSE[[#This Row],[Operating Profit]]/Project_Data_NYSE[[#This Row],[ Total Revenue ]]</f>
        <v>0.21105265446323754</v>
      </c>
    </row>
    <row r="896" spans="1:15" x14ac:dyDescent="0.2">
      <c r="A896">
        <v>922</v>
      </c>
      <c r="B896" t="s">
        <v>342</v>
      </c>
      <c r="C896" t="s">
        <v>16</v>
      </c>
      <c r="D896" s="48">
        <v>42369</v>
      </c>
      <c r="E896" s="3">
        <v>44294000000</v>
      </c>
      <c r="F896" s="3">
        <v>17482000000</v>
      </c>
      <c r="G896" s="3">
        <f>Project_Data_NYSE[[#This Row],[ Total Revenue ]]-Project_Data_NYSE[[#This Row],[ Cost of Goods Sold ]]</f>
        <v>26812000000</v>
      </c>
      <c r="H896" s="3">
        <v>18084000000</v>
      </c>
      <c r="I896" s="3">
        <v>0</v>
      </c>
      <c r="J896" s="3">
        <v>0</v>
      </c>
      <c r="K896" s="3">
        <f>Project_Data_NYSE[[#This Row],[Gross Profit]]-Project_Data_NYSE[[#This Row],[ Sales, General and Admin. ]]-Project_Data_NYSE[[#This Row],[ Research and Development ]]-Project_Data_NYSE[[#This Row],[ Other Operating Items ]]</f>
        <v>8728000000</v>
      </c>
      <c r="L896" t="s">
        <v>35</v>
      </c>
      <c r="M896" t="s">
        <v>213</v>
      </c>
      <c r="N896" s="31">
        <f>Project_Data_NYSE[[#This Row],[Gross Profit]]/Project_Data_NYSE[[#This Row],[ Total Revenue ]]</f>
        <v>0.60531900483135415</v>
      </c>
      <c r="O896" s="31">
        <f>Project_Data_NYSE[[#This Row],[Operating Profit]]/Project_Data_NYSE[[#This Row],[ Total Revenue ]]</f>
        <v>0.19704700410890866</v>
      </c>
    </row>
    <row r="897" spans="1:15" x14ac:dyDescent="0.2">
      <c r="A897">
        <v>923</v>
      </c>
      <c r="B897" t="s">
        <v>343</v>
      </c>
      <c r="C897" t="s">
        <v>11</v>
      </c>
      <c r="D897" s="48">
        <v>41363</v>
      </c>
      <c r="E897" s="3">
        <v>2181732000</v>
      </c>
      <c r="F897" s="3">
        <v>875166000</v>
      </c>
      <c r="G897" s="3">
        <f>Project_Data_NYSE[[#This Row],[ Total Revenue ]]-Project_Data_NYSE[[#This Row],[ Cost of Goods Sold ]]</f>
        <v>1306566000</v>
      </c>
      <c r="H897" s="3">
        <v>621536000</v>
      </c>
      <c r="I897" s="3">
        <v>0</v>
      </c>
      <c r="J897" s="3">
        <v>54291000</v>
      </c>
      <c r="K897" s="3">
        <f>Project_Data_NYSE[[#This Row],[Gross Profit]]-Project_Data_NYSE[[#This Row],[ Sales, General and Admin. ]]-Project_Data_NYSE[[#This Row],[ Research and Development ]]-Project_Data_NYSE[[#This Row],[ Other Operating Items ]]</f>
        <v>630739000</v>
      </c>
      <c r="L897" t="s">
        <v>18</v>
      </c>
      <c r="M897" t="s">
        <v>288</v>
      </c>
      <c r="N897" s="31">
        <f>Project_Data_NYSE[[#This Row],[Gross Profit]]/Project_Data_NYSE[[#This Row],[ Total Revenue ]]</f>
        <v>0.59886640522300627</v>
      </c>
      <c r="O897" s="31">
        <f>Project_Data_NYSE[[#This Row],[Operating Profit]]/Project_Data_NYSE[[#This Row],[ Total Revenue ]]</f>
        <v>0.28910012778838096</v>
      </c>
    </row>
    <row r="898" spans="1:15" x14ac:dyDescent="0.2">
      <c r="A898">
        <v>924</v>
      </c>
      <c r="B898" t="s">
        <v>343</v>
      </c>
      <c r="C898" t="s">
        <v>14</v>
      </c>
      <c r="D898" s="48">
        <v>41727</v>
      </c>
      <c r="E898" s="3">
        <v>3310800000</v>
      </c>
      <c r="F898" s="3">
        <v>1294700000</v>
      </c>
      <c r="G898" s="3">
        <f>Project_Data_NYSE[[#This Row],[ Total Revenue ]]-Project_Data_NYSE[[#This Row],[ Cost of Goods Sold ]]</f>
        <v>2016100000</v>
      </c>
      <c r="H898" s="3">
        <v>926900000</v>
      </c>
      <c r="I898" s="3">
        <v>0</v>
      </c>
      <c r="J898" s="3">
        <v>79700000</v>
      </c>
      <c r="K898" s="3">
        <f>Project_Data_NYSE[[#This Row],[Gross Profit]]-Project_Data_NYSE[[#This Row],[ Sales, General and Admin. ]]-Project_Data_NYSE[[#This Row],[ Research and Development ]]-Project_Data_NYSE[[#This Row],[ Other Operating Items ]]</f>
        <v>1009500000</v>
      </c>
      <c r="L898" t="s">
        <v>18</v>
      </c>
      <c r="M898" t="s">
        <v>288</v>
      </c>
      <c r="N898" s="31">
        <f>Project_Data_NYSE[[#This Row],[Gross Profit]]/Project_Data_NYSE[[#This Row],[ Total Revenue ]]</f>
        <v>0.60894647819258185</v>
      </c>
      <c r="O898" s="31">
        <f>Project_Data_NYSE[[#This Row],[Operating Profit]]/Project_Data_NYSE[[#This Row],[ Total Revenue ]]</f>
        <v>0.30491119971003988</v>
      </c>
    </row>
    <row r="899" spans="1:15" x14ac:dyDescent="0.2">
      <c r="A899">
        <v>925</v>
      </c>
      <c r="B899" t="s">
        <v>343</v>
      </c>
      <c r="C899" t="s">
        <v>15</v>
      </c>
      <c r="D899" s="48">
        <v>42091</v>
      </c>
      <c r="E899" s="3">
        <v>4371500000</v>
      </c>
      <c r="F899" s="3">
        <v>1723800000</v>
      </c>
      <c r="G899" s="3">
        <f>Project_Data_NYSE[[#This Row],[ Total Revenue ]]-Project_Data_NYSE[[#This Row],[ Cost of Goods Sold ]]</f>
        <v>2647700000</v>
      </c>
      <c r="H899" s="3">
        <v>1251500000</v>
      </c>
      <c r="I899" s="3">
        <v>0</v>
      </c>
      <c r="J899" s="3">
        <v>138400000</v>
      </c>
      <c r="K899" s="3">
        <f>Project_Data_NYSE[[#This Row],[Gross Profit]]-Project_Data_NYSE[[#This Row],[ Sales, General and Admin. ]]-Project_Data_NYSE[[#This Row],[ Research and Development ]]-Project_Data_NYSE[[#This Row],[ Other Operating Items ]]</f>
        <v>1257800000</v>
      </c>
      <c r="L899" t="s">
        <v>18</v>
      </c>
      <c r="M899" t="s">
        <v>288</v>
      </c>
      <c r="N899" s="31">
        <f>Project_Data_NYSE[[#This Row],[Gross Profit]]/Project_Data_NYSE[[#This Row],[ Total Revenue ]]</f>
        <v>0.60567310991650458</v>
      </c>
      <c r="O899" s="31">
        <f>Project_Data_NYSE[[#This Row],[Operating Profit]]/Project_Data_NYSE[[#This Row],[ Total Revenue ]]</f>
        <v>0.28772732471691637</v>
      </c>
    </row>
    <row r="900" spans="1:15" x14ac:dyDescent="0.2">
      <c r="A900">
        <v>926</v>
      </c>
      <c r="B900" t="s">
        <v>343</v>
      </c>
      <c r="C900" t="s">
        <v>16</v>
      </c>
      <c r="D900" s="48">
        <v>42462</v>
      </c>
      <c r="E900" s="3">
        <v>4712100000</v>
      </c>
      <c r="F900" s="3">
        <v>1914900000</v>
      </c>
      <c r="G900" s="3">
        <f>Project_Data_NYSE[[#This Row],[ Total Revenue ]]-Project_Data_NYSE[[#This Row],[ Cost of Goods Sold ]]</f>
        <v>2797200000</v>
      </c>
      <c r="H900" s="3">
        <v>1428000000</v>
      </c>
      <c r="I900" s="3">
        <v>0</v>
      </c>
      <c r="J900" s="3">
        <v>183200000</v>
      </c>
      <c r="K900" s="3">
        <f>Project_Data_NYSE[[#This Row],[Gross Profit]]-Project_Data_NYSE[[#This Row],[ Sales, General and Admin. ]]-Project_Data_NYSE[[#This Row],[ Research and Development ]]-Project_Data_NYSE[[#This Row],[ Other Operating Items ]]</f>
        <v>1186000000</v>
      </c>
      <c r="L900" t="s">
        <v>18</v>
      </c>
      <c r="M900" t="s">
        <v>288</v>
      </c>
      <c r="N900" s="31">
        <f>Project_Data_NYSE[[#This Row],[Gross Profit]]/Project_Data_NYSE[[#This Row],[ Total Revenue ]]</f>
        <v>0.59362067867829627</v>
      </c>
      <c r="O900" s="31">
        <f>Project_Data_NYSE[[#This Row],[Operating Profit]]/Project_Data_NYSE[[#This Row],[ Total Revenue ]]</f>
        <v>0.25169245134865559</v>
      </c>
    </row>
    <row r="901" spans="1:15" x14ac:dyDescent="0.2">
      <c r="A901">
        <v>927</v>
      </c>
      <c r="B901" t="s">
        <v>344</v>
      </c>
      <c r="C901" t="s">
        <v>11</v>
      </c>
      <c r="D901" s="48">
        <v>41307</v>
      </c>
      <c r="E901" s="3">
        <v>96619000000</v>
      </c>
      <c r="F901" s="3">
        <v>76726000000</v>
      </c>
      <c r="G901" s="3">
        <f>Project_Data_NYSE[[#This Row],[ Total Revenue ]]-Project_Data_NYSE[[#This Row],[ Cost of Goods Sold ]]</f>
        <v>19893000000</v>
      </c>
      <c r="H901" s="3">
        <v>15477000000</v>
      </c>
      <c r="I901" s="3">
        <v>0</v>
      </c>
      <c r="J901" s="3">
        <v>1652000000</v>
      </c>
      <c r="K901" s="3">
        <f>Project_Data_NYSE[[#This Row],[Gross Profit]]-Project_Data_NYSE[[#This Row],[ Sales, General and Admin. ]]-Project_Data_NYSE[[#This Row],[ Research and Development ]]-Project_Data_NYSE[[#This Row],[ Other Operating Items ]]</f>
        <v>2764000000</v>
      </c>
      <c r="L901" t="s">
        <v>35</v>
      </c>
      <c r="M901" t="s">
        <v>345</v>
      </c>
      <c r="N901" s="31">
        <f>Project_Data_NYSE[[#This Row],[Gross Profit]]/Project_Data_NYSE[[#This Row],[ Total Revenue ]]</f>
        <v>0.20589118082364752</v>
      </c>
      <c r="O901" s="31">
        <f>Project_Data_NYSE[[#This Row],[Operating Profit]]/Project_Data_NYSE[[#This Row],[ Total Revenue ]]</f>
        <v>2.8607209762055084E-2</v>
      </c>
    </row>
    <row r="902" spans="1:15" x14ac:dyDescent="0.2">
      <c r="A902">
        <v>928</v>
      </c>
      <c r="B902" t="s">
        <v>344</v>
      </c>
      <c r="C902" t="s">
        <v>14</v>
      </c>
      <c r="D902" s="48">
        <v>41671</v>
      </c>
      <c r="E902" s="3">
        <v>98375000000</v>
      </c>
      <c r="F902" s="3">
        <v>78138000000</v>
      </c>
      <c r="G902" s="3">
        <f>Project_Data_NYSE[[#This Row],[ Total Revenue ]]-Project_Data_NYSE[[#This Row],[ Cost of Goods Sold ]]</f>
        <v>20237000000</v>
      </c>
      <c r="H902" s="3">
        <v>15809000000</v>
      </c>
      <c r="I902" s="3">
        <v>0</v>
      </c>
      <c r="J902" s="3">
        <v>1703000000</v>
      </c>
      <c r="K902" s="3">
        <f>Project_Data_NYSE[[#This Row],[Gross Profit]]-Project_Data_NYSE[[#This Row],[ Sales, General and Admin. ]]-Project_Data_NYSE[[#This Row],[ Research and Development ]]-Project_Data_NYSE[[#This Row],[ Other Operating Items ]]</f>
        <v>2725000000</v>
      </c>
      <c r="L902" t="s">
        <v>35</v>
      </c>
      <c r="M902" t="s">
        <v>345</v>
      </c>
      <c r="N902" s="31">
        <f>Project_Data_NYSE[[#This Row],[Gross Profit]]/Project_Data_NYSE[[#This Row],[ Total Revenue ]]</f>
        <v>0.205712833545108</v>
      </c>
      <c r="O902" s="31">
        <f>Project_Data_NYSE[[#This Row],[Operating Profit]]/Project_Data_NYSE[[#This Row],[ Total Revenue ]]</f>
        <v>2.770012706480305E-2</v>
      </c>
    </row>
    <row r="903" spans="1:15" x14ac:dyDescent="0.2">
      <c r="A903">
        <v>929</v>
      </c>
      <c r="B903" t="s">
        <v>344</v>
      </c>
      <c r="C903" t="s">
        <v>15</v>
      </c>
      <c r="D903" s="48">
        <v>42035</v>
      </c>
      <c r="E903" s="3">
        <v>108465000000</v>
      </c>
      <c r="F903" s="3">
        <v>85512000000</v>
      </c>
      <c r="G903" s="3">
        <f>Project_Data_NYSE[[#This Row],[ Total Revenue ]]-Project_Data_NYSE[[#This Row],[ Cost of Goods Sold ]]</f>
        <v>22953000000</v>
      </c>
      <c r="H903" s="3">
        <v>17868000000</v>
      </c>
      <c r="I903" s="3">
        <v>0</v>
      </c>
      <c r="J903" s="3">
        <v>1948000000</v>
      </c>
      <c r="K903" s="3">
        <f>Project_Data_NYSE[[#This Row],[Gross Profit]]-Project_Data_NYSE[[#This Row],[ Sales, General and Admin. ]]-Project_Data_NYSE[[#This Row],[ Research and Development ]]-Project_Data_NYSE[[#This Row],[ Other Operating Items ]]</f>
        <v>3137000000</v>
      </c>
      <c r="L903" t="s">
        <v>35</v>
      </c>
      <c r="M903" t="s">
        <v>345</v>
      </c>
      <c r="N903" s="31">
        <f>Project_Data_NYSE[[#This Row],[Gross Profit]]/Project_Data_NYSE[[#This Row],[ Total Revenue ]]</f>
        <v>0.21161665053242981</v>
      </c>
      <c r="O903" s="31">
        <f>Project_Data_NYSE[[#This Row],[Operating Profit]]/Project_Data_NYSE[[#This Row],[ Total Revenue ]]</f>
        <v>2.8921772000184393E-2</v>
      </c>
    </row>
    <row r="904" spans="1:15" x14ac:dyDescent="0.2">
      <c r="A904">
        <v>930</v>
      </c>
      <c r="B904" t="s">
        <v>344</v>
      </c>
      <c r="C904" t="s">
        <v>16</v>
      </c>
      <c r="D904" s="48">
        <v>42399</v>
      </c>
      <c r="E904" s="3">
        <v>109830000000</v>
      </c>
      <c r="F904" s="3">
        <v>85496000000</v>
      </c>
      <c r="G904" s="3">
        <f>Project_Data_NYSE[[#This Row],[ Total Revenue ]]-Project_Data_NYSE[[#This Row],[ Cost of Goods Sold ]]</f>
        <v>24334000000</v>
      </c>
      <c r="H904" s="3">
        <v>18669000000</v>
      </c>
      <c r="I904" s="3">
        <v>0</v>
      </c>
      <c r="J904" s="3">
        <v>2089000000</v>
      </c>
      <c r="K904" s="3">
        <f>Project_Data_NYSE[[#This Row],[Gross Profit]]-Project_Data_NYSE[[#This Row],[ Sales, General and Admin. ]]-Project_Data_NYSE[[#This Row],[ Research and Development ]]-Project_Data_NYSE[[#This Row],[ Other Operating Items ]]</f>
        <v>3576000000</v>
      </c>
      <c r="L904" t="s">
        <v>35</v>
      </c>
      <c r="M904" t="s">
        <v>345</v>
      </c>
      <c r="N904" s="31">
        <f>Project_Data_NYSE[[#This Row],[Gross Profit]]/Project_Data_NYSE[[#This Row],[ Total Revenue ]]</f>
        <v>0.22156059364472366</v>
      </c>
      <c r="O904" s="31">
        <f>Project_Data_NYSE[[#This Row],[Operating Profit]]/Project_Data_NYSE[[#This Row],[ Total Revenue ]]</f>
        <v>3.2559409997268508E-2</v>
      </c>
    </row>
    <row r="905" spans="1:15" x14ac:dyDescent="0.2">
      <c r="A905">
        <v>931</v>
      </c>
      <c r="B905" t="s">
        <v>346</v>
      </c>
      <c r="C905" t="s">
        <v>11</v>
      </c>
      <c r="D905" s="48">
        <v>41307</v>
      </c>
      <c r="E905" s="3">
        <v>19279000000</v>
      </c>
      <c r="F905" s="3">
        <v>12289000000</v>
      </c>
      <c r="G905" s="3">
        <f>Project_Data_NYSE[[#This Row],[ Total Revenue ]]-Project_Data_NYSE[[#This Row],[ Cost of Goods Sold ]]</f>
        <v>6990000000</v>
      </c>
      <c r="H905" s="3">
        <v>4267000000</v>
      </c>
      <c r="I905" s="3">
        <v>0</v>
      </c>
      <c r="J905" s="3">
        <v>833000000</v>
      </c>
      <c r="K905" s="3">
        <f>Project_Data_NYSE[[#This Row],[Gross Profit]]-Project_Data_NYSE[[#This Row],[ Sales, General and Admin. ]]-Project_Data_NYSE[[#This Row],[ Research and Development ]]-Project_Data_NYSE[[#This Row],[ Other Operating Items ]]</f>
        <v>1890000000</v>
      </c>
      <c r="L905" t="s">
        <v>18</v>
      </c>
      <c r="M905" t="s">
        <v>196</v>
      </c>
      <c r="N905" s="31">
        <f>Project_Data_NYSE[[#This Row],[Gross Profit]]/Project_Data_NYSE[[#This Row],[ Total Revenue ]]</f>
        <v>0.36257067275273613</v>
      </c>
      <c r="O905" s="31">
        <f>Project_Data_NYSE[[#This Row],[Operating Profit]]/Project_Data_NYSE[[#This Row],[ Total Revenue ]]</f>
        <v>9.8034130400954406E-2</v>
      </c>
    </row>
    <row r="906" spans="1:15" x14ac:dyDescent="0.2">
      <c r="A906">
        <v>932</v>
      </c>
      <c r="B906" t="s">
        <v>346</v>
      </c>
      <c r="C906" t="s">
        <v>14</v>
      </c>
      <c r="D906" s="48">
        <v>41671</v>
      </c>
      <c r="E906" s="3">
        <v>19031000000</v>
      </c>
      <c r="F906" s="3">
        <v>12087000000</v>
      </c>
      <c r="G906" s="3">
        <f>Project_Data_NYSE[[#This Row],[ Total Revenue ]]-Project_Data_NYSE[[#This Row],[ Cost of Goods Sold ]]</f>
        <v>6944000000</v>
      </c>
      <c r="H906" s="3">
        <v>4313000000</v>
      </c>
      <c r="I906" s="3">
        <v>0</v>
      </c>
      <c r="J906" s="3">
        <v>889000000</v>
      </c>
      <c r="K906" s="3">
        <f>Project_Data_NYSE[[#This Row],[Gross Profit]]-Project_Data_NYSE[[#This Row],[ Sales, General and Admin. ]]-Project_Data_NYSE[[#This Row],[ Research and Development ]]-Project_Data_NYSE[[#This Row],[ Other Operating Items ]]</f>
        <v>1742000000</v>
      </c>
      <c r="L906" t="s">
        <v>18</v>
      </c>
      <c r="M906" t="s">
        <v>196</v>
      </c>
      <c r="N906" s="31">
        <f>Project_Data_NYSE[[#This Row],[Gross Profit]]/Project_Data_NYSE[[#This Row],[ Total Revenue ]]</f>
        <v>0.36487835636592925</v>
      </c>
      <c r="O906" s="31">
        <f>Project_Data_NYSE[[#This Row],[Operating Profit]]/Project_Data_NYSE[[#This Row],[ Total Revenue ]]</f>
        <v>9.1534864168987443E-2</v>
      </c>
    </row>
    <row r="907" spans="1:15" x14ac:dyDescent="0.2">
      <c r="A907">
        <v>933</v>
      </c>
      <c r="B907" t="s">
        <v>346</v>
      </c>
      <c r="C907" t="s">
        <v>15</v>
      </c>
      <c r="D907" s="48">
        <v>42035</v>
      </c>
      <c r="E907" s="3">
        <v>19023000000</v>
      </c>
      <c r="F907" s="3">
        <v>12098000000</v>
      </c>
      <c r="G907" s="3">
        <f>Project_Data_NYSE[[#This Row],[ Total Revenue ]]-Project_Data_NYSE[[#This Row],[ Cost of Goods Sold ]]</f>
        <v>6925000000</v>
      </c>
      <c r="H907" s="3">
        <v>4350000000</v>
      </c>
      <c r="I907" s="3">
        <v>0</v>
      </c>
      <c r="J907" s="3">
        <v>886000000</v>
      </c>
      <c r="K907" s="3">
        <f>Project_Data_NYSE[[#This Row],[Gross Profit]]-Project_Data_NYSE[[#This Row],[ Sales, General and Admin. ]]-Project_Data_NYSE[[#This Row],[ Research and Development ]]-Project_Data_NYSE[[#This Row],[ Other Operating Items ]]</f>
        <v>1689000000</v>
      </c>
      <c r="L907" t="s">
        <v>18</v>
      </c>
      <c r="M907" t="s">
        <v>196</v>
      </c>
      <c r="N907" s="31">
        <f>Project_Data_NYSE[[#This Row],[Gross Profit]]/Project_Data_NYSE[[#This Row],[ Total Revenue ]]</f>
        <v>0.3640330126688745</v>
      </c>
      <c r="O907" s="31">
        <f>Project_Data_NYSE[[#This Row],[Operating Profit]]/Project_Data_NYSE[[#This Row],[ Total Revenue ]]</f>
        <v>8.8787257530357988E-2</v>
      </c>
    </row>
    <row r="908" spans="1:15" x14ac:dyDescent="0.2">
      <c r="A908">
        <v>934</v>
      </c>
      <c r="B908" t="s">
        <v>346</v>
      </c>
      <c r="C908" t="s">
        <v>16</v>
      </c>
      <c r="D908" s="48">
        <v>42399</v>
      </c>
      <c r="E908" s="3">
        <v>19204000000</v>
      </c>
      <c r="F908" s="3">
        <v>12265000000</v>
      </c>
      <c r="G908" s="3">
        <f>Project_Data_NYSE[[#This Row],[ Total Revenue ]]-Project_Data_NYSE[[#This Row],[ Cost of Goods Sold ]]</f>
        <v>6939000000</v>
      </c>
      <c r="H908" s="3">
        <v>4452000000</v>
      </c>
      <c r="I908" s="3">
        <v>0</v>
      </c>
      <c r="J908" s="3">
        <v>934000000</v>
      </c>
      <c r="K908" s="3">
        <f>Project_Data_NYSE[[#This Row],[Gross Profit]]-Project_Data_NYSE[[#This Row],[ Sales, General and Admin. ]]-Project_Data_NYSE[[#This Row],[ Research and Development ]]-Project_Data_NYSE[[#This Row],[ Other Operating Items ]]</f>
        <v>1553000000</v>
      </c>
      <c r="L908" t="s">
        <v>18</v>
      </c>
      <c r="M908" t="s">
        <v>196</v>
      </c>
      <c r="N908" s="31">
        <f>Project_Data_NYSE[[#This Row],[Gross Profit]]/Project_Data_NYSE[[#This Row],[ Total Revenue ]]</f>
        <v>0.36133097271401793</v>
      </c>
      <c r="O908" s="31">
        <f>Project_Data_NYSE[[#This Row],[Operating Profit]]/Project_Data_NYSE[[#This Row],[ Total Revenue ]]</f>
        <v>8.0868569048114972E-2</v>
      </c>
    </row>
    <row r="909" spans="1:15" x14ac:dyDescent="0.2">
      <c r="A909">
        <v>935</v>
      </c>
      <c r="B909" t="s">
        <v>347</v>
      </c>
      <c r="C909" t="s">
        <v>11</v>
      </c>
      <c r="D909" s="48">
        <v>41639</v>
      </c>
      <c r="E909" s="3">
        <v>2369300000</v>
      </c>
      <c r="F909" s="3">
        <v>805300000</v>
      </c>
      <c r="G909" s="3">
        <f>Project_Data_NYSE[[#This Row],[ Total Revenue ]]-Project_Data_NYSE[[#This Row],[ Cost of Goods Sold ]]</f>
        <v>1564000000</v>
      </c>
      <c r="H909" s="3">
        <v>602100000</v>
      </c>
      <c r="I909" s="3">
        <v>0</v>
      </c>
      <c r="J909" s="3">
        <v>223300000</v>
      </c>
      <c r="K909" s="3">
        <f>Project_Data_NYSE[[#This Row],[Gross Profit]]-Project_Data_NYSE[[#This Row],[ Sales, General and Admin. ]]-Project_Data_NYSE[[#This Row],[ Research and Development ]]-Project_Data_NYSE[[#This Row],[ Other Operating Items ]]</f>
        <v>738600000</v>
      </c>
      <c r="L909" t="s">
        <v>12</v>
      </c>
      <c r="M909" t="s">
        <v>177</v>
      </c>
      <c r="N909" s="31">
        <f>Project_Data_NYSE[[#This Row],[Gross Profit]]/Project_Data_NYSE[[#This Row],[ Total Revenue ]]</f>
        <v>0.66011058118431609</v>
      </c>
      <c r="O909" s="31">
        <f>Project_Data_NYSE[[#This Row],[Operating Profit]]/Project_Data_NYSE[[#This Row],[ Total Revenue ]]</f>
        <v>0.31173764402988224</v>
      </c>
    </row>
    <row r="910" spans="1:15" x14ac:dyDescent="0.2">
      <c r="A910">
        <v>936</v>
      </c>
      <c r="B910" t="s">
        <v>347</v>
      </c>
      <c r="C910" t="s">
        <v>14</v>
      </c>
      <c r="D910" s="48">
        <v>42004</v>
      </c>
      <c r="E910" s="3">
        <v>2577100000</v>
      </c>
      <c r="F910" s="3">
        <v>877900000</v>
      </c>
      <c r="G910" s="3">
        <f>Project_Data_NYSE[[#This Row],[ Total Revenue ]]-Project_Data_NYSE[[#This Row],[ Cost of Goods Sold ]]</f>
        <v>1699200000</v>
      </c>
      <c r="H910" s="3">
        <v>632000000</v>
      </c>
      <c r="I910" s="3">
        <v>0</v>
      </c>
      <c r="J910" s="3">
        <v>258100000</v>
      </c>
      <c r="K910" s="3">
        <f>Project_Data_NYSE[[#This Row],[Gross Profit]]-Project_Data_NYSE[[#This Row],[ Sales, General and Admin. ]]-Project_Data_NYSE[[#This Row],[ Research and Development ]]-Project_Data_NYSE[[#This Row],[ Other Operating Items ]]</f>
        <v>809100000</v>
      </c>
      <c r="L910" t="s">
        <v>12</v>
      </c>
      <c r="M910" t="s">
        <v>177</v>
      </c>
      <c r="N910" s="31">
        <f>Project_Data_NYSE[[#This Row],[Gross Profit]]/Project_Data_NYSE[[#This Row],[ Total Revenue ]]</f>
        <v>0.65934577626013735</v>
      </c>
      <c r="O910" s="31">
        <f>Project_Data_NYSE[[#This Row],[Operating Profit]]/Project_Data_NYSE[[#This Row],[ Total Revenue ]]</f>
        <v>0.31395754918319041</v>
      </c>
    </row>
    <row r="911" spans="1:15" x14ac:dyDescent="0.2">
      <c r="A911">
        <v>937</v>
      </c>
      <c r="B911" t="s">
        <v>347</v>
      </c>
      <c r="C911" t="s">
        <v>15</v>
      </c>
      <c r="D911" s="48">
        <v>42369</v>
      </c>
      <c r="E911" s="3">
        <v>2418800000</v>
      </c>
      <c r="F911" s="3">
        <v>759200000</v>
      </c>
      <c r="G911" s="3">
        <f>Project_Data_NYSE[[#This Row],[ Total Revenue ]]-Project_Data_NYSE[[#This Row],[ Cost of Goods Sold ]]</f>
        <v>1659600000</v>
      </c>
      <c r="H911" s="3">
        <v>571200000</v>
      </c>
      <c r="I911" s="3">
        <v>0</v>
      </c>
      <c r="J911" s="3">
        <v>284600000</v>
      </c>
      <c r="K911" s="3">
        <f>Project_Data_NYSE[[#This Row],[Gross Profit]]-Project_Data_NYSE[[#This Row],[ Sales, General and Admin. ]]-Project_Data_NYSE[[#This Row],[ Research and Development ]]-Project_Data_NYSE[[#This Row],[ Other Operating Items ]]</f>
        <v>803800000</v>
      </c>
      <c r="L911" t="s">
        <v>12</v>
      </c>
      <c r="M911" t="s">
        <v>177</v>
      </c>
      <c r="N911" s="31">
        <f>Project_Data_NYSE[[#This Row],[Gross Profit]]/Project_Data_NYSE[[#This Row],[ Total Revenue ]]</f>
        <v>0.68612535141392428</v>
      </c>
      <c r="O911" s="31">
        <f>Project_Data_NYSE[[#This Row],[Operating Profit]]/Project_Data_NYSE[[#This Row],[ Total Revenue ]]</f>
        <v>0.3323135439060691</v>
      </c>
    </row>
    <row r="912" spans="1:15" x14ac:dyDescent="0.2">
      <c r="A912">
        <v>938</v>
      </c>
      <c r="B912" t="s">
        <v>347</v>
      </c>
      <c r="C912" t="s">
        <v>16</v>
      </c>
      <c r="D912" s="48">
        <v>42735</v>
      </c>
      <c r="E912" s="3">
        <v>2334200000</v>
      </c>
      <c r="F912" s="3">
        <v>691100000</v>
      </c>
      <c r="G912" s="3">
        <f>Project_Data_NYSE[[#This Row],[ Total Revenue ]]-Project_Data_NYSE[[#This Row],[ Cost of Goods Sold ]]</f>
        <v>1643100000</v>
      </c>
      <c r="H912" s="3">
        <v>519600000</v>
      </c>
      <c r="I912" s="3">
        <v>0</v>
      </c>
      <c r="J912" s="3">
        <v>305000000</v>
      </c>
      <c r="K912" s="3">
        <f>Project_Data_NYSE[[#This Row],[Gross Profit]]-Project_Data_NYSE[[#This Row],[ Sales, General and Admin. ]]-Project_Data_NYSE[[#This Row],[ Research and Development ]]-Project_Data_NYSE[[#This Row],[ Other Operating Items ]]</f>
        <v>818500000</v>
      </c>
      <c r="L912" t="s">
        <v>12</v>
      </c>
      <c r="M912" t="s">
        <v>177</v>
      </c>
      <c r="N912" s="31">
        <f>Project_Data_NYSE[[#This Row],[Gross Profit]]/Project_Data_NYSE[[#This Row],[ Total Revenue ]]</f>
        <v>0.70392425670465253</v>
      </c>
      <c r="O912" s="31">
        <f>Project_Data_NYSE[[#This Row],[Operating Profit]]/Project_Data_NYSE[[#This Row],[ Total Revenue ]]</f>
        <v>0.35065547082512211</v>
      </c>
    </row>
    <row r="913" spans="1:15" x14ac:dyDescent="0.2">
      <c r="A913">
        <v>939</v>
      </c>
      <c r="B913" t="s">
        <v>348</v>
      </c>
      <c r="C913" t="s">
        <v>11</v>
      </c>
      <c r="D913" s="48">
        <v>41307</v>
      </c>
      <c r="E913" s="3">
        <v>10459000000</v>
      </c>
      <c r="F913" s="3">
        <v>6073000000</v>
      </c>
      <c r="G913" s="3">
        <f>Project_Data_NYSE[[#This Row],[ Total Revenue ]]-Project_Data_NYSE[[#This Row],[ Cost of Goods Sold ]]</f>
        <v>4386000000</v>
      </c>
      <c r="H913" s="3">
        <v>2720000000</v>
      </c>
      <c r="I913" s="3">
        <v>0</v>
      </c>
      <c r="J913" s="3">
        <v>0</v>
      </c>
      <c r="K913" s="3">
        <f>Project_Data_NYSE[[#This Row],[Gross Profit]]-Project_Data_NYSE[[#This Row],[ Sales, General and Admin. ]]-Project_Data_NYSE[[#This Row],[ Research and Development ]]-Project_Data_NYSE[[#This Row],[ Other Operating Items ]]</f>
        <v>1666000000</v>
      </c>
      <c r="L913" t="s">
        <v>18</v>
      </c>
      <c r="M913" t="s">
        <v>256</v>
      </c>
      <c r="N913" s="31">
        <f>Project_Data_NYSE[[#This Row],[Gross Profit]]/Project_Data_NYSE[[#This Row],[ Total Revenue ]]</f>
        <v>0.41935175446983458</v>
      </c>
      <c r="O913" s="31">
        <f>Project_Data_NYSE[[#This Row],[Operating Profit]]/Project_Data_NYSE[[#This Row],[ Total Revenue ]]</f>
        <v>0.15928865092265035</v>
      </c>
    </row>
    <row r="914" spans="1:15" x14ac:dyDescent="0.2">
      <c r="A914">
        <v>940</v>
      </c>
      <c r="B914" t="s">
        <v>348</v>
      </c>
      <c r="C914" t="s">
        <v>14</v>
      </c>
      <c r="D914" s="48">
        <v>41671</v>
      </c>
      <c r="E914" s="3">
        <v>10773000000</v>
      </c>
      <c r="F914" s="3">
        <v>6344000000</v>
      </c>
      <c r="G914" s="3">
        <f>Project_Data_NYSE[[#This Row],[ Total Revenue ]]-Project_Data_NYSE[[#This Row],[ Cost of Goods Sold ]]</f>
        <v>4429000000</v>
      </c>
      <c r="H914" s="3">
        <v>2686000000</v>
      </c>
      <c r="I914" s="3">
        <v>0</v>
      </c>
      <c r="J914" s="3">
        <v>0</v>
      </c>
      <c r="K914" s="3">
        <f>Project_Data_NYSE[[#This Row],[Gross Profit]]-Project_Data_NYSE[[#This Row],[ Sales, General and Admin. ]]-Project_Data_NYSE[[#This Row],[ Research and Development ]]-Project_Data_NYSE[[#This Row],[ Other Operating Items ]]</f>
        <v>1743000000</v>
      </c>
      <c r="L914" t="s">
        <v>18</v>
      </c>
      <c r="M914" t="s">
        <v>256</v>
      </c>
      <c r="N914" s="31">
        <f>Project_Data_NYSE[[#This Row],[Gross Profit]]/Project_Data_NYSE[[#This Row],[ Total Revenue ]]</f>
        <v>0.4111203935765339</v>
      </c>
      <c r="O914" s="31">
        <f>Project_Data_NYSE[[#This Row],[Operating Profit]]/Project_Data_NYSE[[#This Row],[ Total Revenue ]]</f>
        <v>0.1617933723196881</v>
      </c>
    </row>
    <row r="915" spans="1:15" x14ac:dyDescent="0.2">
      <c r="A915">
        <v>941</v>
      </c>
      <c r="B915" t="s">
        <v>348</v>
      </c>
      <c r="C915" t="s">
        <v>15</v>
      </c>
      <c r="D915" s="48">
        <v>42035</v>
      </c>
      <c r="E915" s="3">
        <v>11454000000</v>
      </c>
      <c r="F915" s="3">
        <v>6646000000</v>
      </c>
      <c r="G915" s="3">
        <f>Project_Data_NYSE[[#This Row],[ Total Revenue ]]-Project_Data_NYSE[[#This Row],[ Cost of Goods Sold ]]</f>
        <v>4808000000</v>
      </c>
      <c r="H915" s="3">
        <v>2855000000</v>
      </c>
      <c r="I915" s="3">
        <v>0</v>
      </c>
      <c r="J915" s="3">
        <v>0</v>
      </c>
      <c r="K915" s="3">
        <f>Project_Data_NYSE[[#This Row],[Gross Profit]]-Project_Data_NYSE[[#This Row],[ Sales, General and Admin. ]]-Project_Data_NYSE[[#This Row],[ Research and Development ]]-Project_Data_NYSE[[#This Row],[ Other Operating Items ]]</f>
        <v>1953000000</v>
      </c>
      <c r="L915" t="s">
        <v>18</v>
      </c>
      <c r="M915" t="s">
        <v>256</v>
      </c>
      <c r="N915" s="31">
        <f>Project_Data_NYSE[[#This Row],[Gross Profit]]/Project_Data_NYSE[[#This Row],[ Total Revenue ]]</f>
        <v>0.41976602060415574</v>
      </c>
      <c r="O915" s="31">
        <f>Project_Data_NYSE[[#This Row],[Operating Profit]]/Project_Data_NYSE[[#This Row],[ Total Revenue ]]</f>
        <v>0.17050811943425878</v>
      </c>
    </row>
    <row r="916" spans="1:15" x14ac:dyDescent="0.2">
      <c r="A916">
        <v>942</v>
      </c>
      <c r="B916" t="s">
        <v>348</v>
      </c>
      <c r="C916" t="s">
        <v>16</v>
      </c>
      <c r="D916" s="48">
        <v>42399</v>
      </c>
      <c r="E916" s="3">
        <v>12154000000</v>
      </c>
      <c r="F916" s="3">
        <v>6950000000</v>
      </c>
      <c r="G916" s="3">
        <f>Project_Data_NYSE[[#This Row],[ Total Revenue ]]-Project_Data_NYSE[[#This Row],[ Cost of Goods Sold ]]</f>
        <v>5204000000</v>
      </c>
      <c r="H916" s="3">
        <v>3012000000</v>
      </c>
      <c r="I916" s="3">
        <v>0</v>
      </c>
      <c r="J916" s="3">
        <v>0</v>
      </c>
      <c r="K916" s="3">
        <f>Project_Data_NYSE[[#This Row],[Gross Profit]]-Project_Data_NYSE[[#This Row],[ Sales, General and Admin. ]]-Project_Data_NYSE[[#This Row],[ Research and Development ]]-Project_Data_NYSE[[#This Row],[ Other Operating Items ]]</f>
        <v>2192000000</v>
      </c>
      <c r="L916" t="s">
        <v>18</v>
      </c>
      <c r="M916" t="s">
        <v>256</v>
      </c>
      <c r="N916" s="31">
        <f>Project_Data_NYSE[[#This Row],[Gross Profit]]/Project_Data_NYSE[[#This Row],[ Total Revenue ]]</f>
        <v>0.42817179529373045</v>
      </c>
      <c r="O916" s="31">
        <f>Project_Data_NYSE[[#This Row],[Operating Profit]]/Project_Data_NYSE[[#This Row],[ Total Revenue ]]</f>
        <v>0.18035214744117162</v>
      </c>
    </row>
    <row r="917" spans="1:15" x14ac:dyDescent="0.2">
      <c r="A917">
        <v>943</v>
      </c>
      <c r="B917" t="s">
        <v>349</v>
      </c>
      <c r="C917" t="s">
        <v>11</v>
      </c>
      <c r="D917" s="48">
        <v>41274</v>
      </c>
      <c r="E917" s="3">
        <v>3414500000</v>
      </c>
      <c r="F917" s="3">
        <v>2718900000</v>
      </c>
      <c r="G917" s="3">
        <f>Project_Data_NYSE[[#This Row],[ Total Revenue ]]-Project_Data_NYSE[[#This Row],[ Cost of Goods Sold ]]</f>
        <v>695600000</v>
      </c>
      <c r="H917" s="3">
        <v>346100000</v>
      </c>
      <c r="I917" s="3">
        <v>0</v>
      </c>
      <c r="J917" s="3">
        <v>25100000</v>
      </c>
      <c r="K917" s="3">
        <f>Project_Data_NYSE[[#This Row],[Gross Profit]]-Project_Data_NYSE[[#This Row],[ Sales, General and Admin. ]]-Project_Data_NYSE[[#This Row],[ Research and Development ]]-Project_Data_NYSE[[#This Row],[ Other Operating Items ]]</f>
        <v>324400000</v>
      </c>
      <c r="L917" t="s">
        <v>12</v>
      </c>
      <c r="M917" t="s">
        <v>163</v>
      </c>
      <c r="N917" s="31">
        <f>Project_Data_NYSE[[#This Row],[Gross Profit]]/Project_Data_NYSE[[#This Row],[ Total Revenue ]]</f>
        <v>0.20371943183482208</v>
      </c>
      <c r="O917" s="31">
        <f>Project_Data_NYSE[[#This Row],[Operating Profit]]/Project_Data_NYSE[[#This Row],[ Total Revenue ]]</f>
        <v>9.5006589544589251E-2</v>
      </c>
    </row>
    <row r="918" spans="1:15" x14ac:dyDescent="0.2">
      <c r="A918">
        <v>944</v>
      </c>
      <c r="B918" t="s">
        <v>349</v>
      </c>
      <c r="C918" t="s">
        <v>14</v>
      </c>
      <c r="D918" s="48">
        <v>41639</v>
      </c>
      <c r="E918" s="3">
        <v>3477200000</v>
      </c>
      <c r="F918" s="3">
        <v>2767300000</v>
      </c>
      <c r="G918" s="3">
        <f>Project_Data_NYSE[[#This Row],[ Total Revenue ]]-Project_Data_NYSE[[#This Row],[ Cost of Goods Sold ]]</f>
        <v>709900000</v>
      </c>
      <c r="H918" s="3">
        <v>346900000</v>
      </c>
      <c r="I918" s="3">
        <v>0</v>
      </c>
      <c r="J918" s="3">
        <v>25400000</v>
      </c>
      <c r="K918" s="3">
        <f>Project_Data_NYSE[[#This Row],[Gross Profit]]-Project_Data_NYSE[[#This Row],[ Sales, General and Admin. ]]-Project_Data_NYSE[[#This Row],[ Research and Development ]]-Project_Data_NYSE[[#This Row],[ Other Operating Items ]]</f>
        <v>337600000</v>
      </c>
      <c r="L918" t="s">
        <v>12</v>
      </c>
      <c r="M918" t="s">
        <v>163</v>
      </c>
      <c r="N918" s="31">
        <f>Project_Data_NYSE[[#This Row],[Gross Profit]]/Project_Data_NYSE[[#This Row],[ Total Revenue ]]</f>
        <v>0.20415851834809617</v>
      </c>
      <c r="O918" s="31">
        <f>Project_Data_NYSE[[#This Row],[Operating Profit]]/Project_Data_NYSE[[#This Row],[ Total Revenue ]]</f>
        <v>9.7089612331761194E-2</v>
      </c>
    </row>
    <row r="919" spans="1:15" x14ac:dyDescent="0.2">
      <c r="A919">
        <v>945</v>
      </c>
      <c r="B919" t="s">
        <v>349</v>
      </c>
      <c r="C919" t="s">
        <v>15</v>
      </c>
      <c r="D919" s="48">
        <v>42004</v>
      </c>
      <c r="E919" s="3">
        <v>3782300000</v>
      </c>
      <c r="F919" s="3">
        <v>2991900000</v>
      </c>
      <c r="G919" s="3">
        <f>Project_Data_NYSE[[#This Row],[ Total Revenue ]]-Project_Data_NYSE[[#This Row],[ Cost of Goods Sold ]]</f>
        <v>790400000</v>
      </c>
      <c r="H919" s="3">
        <v>439200000</v>
      </c>
      <c r="I919" s="3">
        <v>0</v>
      </c>
      <c r="J919" s="3">
        <v>19700000</v>
      </c>
      <c r="K919" s="3">
        <f>Project_Data_NYSE[[#This Row],[Gross Profit]]-Project_Data_NYSE[[#This Row],[ Sales, General and Admin. ]]-Project_Data_NYSE[[#This Row],[ Research and Development ]]-Project_Data_NYSE[[#This Row],[ Other Operating Items ]]</f>
        <v>331500000</v>
      </c>
      <c r="L919" t="s">
        <v>12</v>
      </c>
      <c r="M919" t="s">
        <v>163</v>
      </c>
      <c r="N919" s="31">
        <f>Project_Data_NYSE[[#This Row],[Gross Profit]]/Project_Data_NYSE[[#This Row],[ Total Revenue ]]</f>
        <v>0.20897337598815535</v>
      </c>
      <c r="O919" s="31">
        <f>Project_Data_NYSE[[#This Row],[Operating Profit]]/Project_Data_NYSE[[#This Row],[ Total Revenue ]]</f>
        <v>8.7645083679242786E-2</v>
      </c>
    </row>
    <row r="920" spans="1:15" x14ac:dyDescent="0.2">
      <c r="A920">
        <v>946</v>
      </c>
      <c r="B920" t="s">
        <v>349</v>
      </c>
      <c r="C920" t="s">
        <v>16</v>
      </c>
      <c r="D920" s="48">
        <v>42369</v>
      </c>
      <c r="E920" s="3">
        <v>3917200000</v>
      </c>
      <c r="F920" s="3">
        <v>2994000000</v>
      </c>
      <c r="G920" s="3">
        <f>Project_Data_NYSE[[#This Row],[ Total Revenue ]]-Project_Data_NYSE[[#This Row],[ Cost of Goods Sold ]]</f>
        <v>923200000</v>
      </c>
      <c r="H920" s="3">
        <v>411800000</v>
      </c>
      <c r="I920" s="3">
        <v>0</v>
      </c>
      <c r="J920" s="3">
        <v>20800000</v>
      </c>
      <c r="K920" s="3">
        <f>Project_Data_NYSE[[#This Row],[Gross Profit]]-Project_Data_NYSE[[#This Row],[ Sales, General and Admin. ]]-Project_Data_NYSE[[#This Row],[ Research and Development ]]-Project_Data_NYSE[[#This Row],[ Other Operating Items ]]</f>
        <v>490600000</v>
      </c>
      <c r="L920" t="s">
        <v>12</v>
      </c>
      <c r="M920" t="s">
        <v>163</v>
      </c>
      <c r="N920" s="31">
        <f>Project_Data_NYSE[[#This Row],[Gross Profit]]/Project_Data_NYSE[[#This Row],[ Total Revenue ]]</f>
        <v>0.23567854590013274</v>
      </c>
      <c r="O920" s="31">
        <f>Project_Data_NYSE[[#This Row],[Operating Profit]]/Project_Data_NYSE[[#This Row],[ Total Revenue ]]</f>
        <v>0.12524252016746656</v>
      </c>
    </row>
    <row r="921" spans="1:15" x14ac:dyDescent="0.2">
      <c r="A921">
        <v>947</v>
      </c>
      <c r="B921" t="s">
        <v>350</v>
      </c>
      <c r="C921" t="s">
        <v>11</v>
      </c>
      <c r="D921" s="48">
        <v>41608</v>
      </c>
      <c r="E921" s="3">
        <v>5935095000</v>
      </c>
      <c r="F921" s="3">
        <v>4920664000</v>
      </c>
      <c r="G921" s="3">
        <f>Project_Data_NYSE[[#This Row],[ Total Revenue ]]-Project_Data_NYSE[[#This Row],[ Cost of Goods Sold ]]</f>
        <v>1014431000</v>
      </c>
      <c r="H921" s="3">
        <v>328595000</v>
      </c>
      <c r="I921" s="3">
        <v>0</v>
      </c>
      <c r="J921" s="3">
        <v>0</v>
      </c>
      <c r="K921" s="3">
        <f>Project_Data_NYSE[[#This Row],[Gross Profit]]-Project_Data_NYSE[[#This Row],[ Sales, General and Admin. ]]-Project_Data_NYSE[[#This Row],[ Research and Development ]]-Project_Data_NYSE[[#This Row],[ Other Operating Items ]]</f>
        <v>685836000</v>
      </c>
      <c r="L921" t="s">
        <v>18</v>
      </c>
      <c r="M921" t="s">
        <v>200</v>
      </c>
      <c r="N921" s="31">
        <f>Project_Data_NYSE[[#This Row],[Gross Profit]]/Project_Data_NYSE[[#This Row],[ Total Revenue ]]</f>
        <v>0.17092076874927867</v>
      </c>
      <c r="O921" s="31">
        <f>Project_Data_NYSE[[#This Row],[Operating Profit]]/Project_Data_NYSE[[#This Row],[ Total Revenue ]]</f>
        <v>0.11555602732559463</v>
      </c>
    </row>
    <row r="922" spans="1:15" x14ac:dyDescent="0.2">
      <c r="A922">
        <v>948</v>
      </c>
      <c r="B922" t="s">
        <v>350</v>
      </c>
      <c r="C922" t="s">
        <v>14</v>
      </c>
      <c r="D922" s="48">
        <v>41973</v>
      </c>
      <c r="E922" s="3">
        <v>7779812000</v>
      </c>
      <c r="F922" s="3">
        <v>6336272000</v>
      </c>
      <c r="G922" s="3">
        <f>Project_Data_NYSE[[#This Row],[ Total Revenue ]]-Project_Data_NYSE[[#This Row],[ Cost of Goods Sold ]]</f>
        <v>1443540000</v>
      </c>
      <c r="H922" s="3">
        <v>521502000</v>
      </c>
      <c r="I922" s="3">
        <v>0</v>
      </c>
      <c r="J922" s="3">
        <v>0</v>
      </c>
      <c r="K922" s="3">
        <f>Project_Data_NYSE[[#This Row],[Gross Profit]]-Project_Data_NYSE[[#This Row],[ Sales, General and Admin. ]]-Project_Data_NYSE[[#This Row],[ Research and Development ]]-Project_Data_NYSE[[#This Row],[ Other Operating Items ]]</f>
        <v>922038000</v>
      </c>
      <c r="L922" t="s">
        <v>18</v>
      </c>
      <c r="M922" t="s">
        <v>200</v>
      </c>
      <c r="N922" s="31">
        <f>Project_Data_NYSE[[#This Row],[Gross Profit]]/Project_Data_NYSE[[#This Row],[ Total Revenue ]]</f>
        <v>0.18554947086124959</v>
      </c>
      <c r="O922" s="31">
        <f>Project_Data_NYSE[[#This Row],[Operating Profit]]/Project_Data_NYSE[[#This Row],[ Total Revenue ]]</f>
        <v>0.11851674564886658</v>
      </c>
    </row>
    <row r="923" spans="1:15" x14ac:dyDescent="0.2">
      <c r="A923">
        <v>949</v>
      </c>
      <c r="B923" t="s">
        <v>350</v>
      </c>
      <c r="C923" t="s">
        <v>15</v>
      </c>
      <c r="D923" s="48">
        <v>42338</v>
      </c>
      <c r="E923" s="3">
        <v>9474008000</v>
      </c>
      <c r="F923" s="3">
        <v>7757571000</v>
      </c>
      <c r="G923" s="3">
        <f>Project_Data_NYSE[[#This Row],[ Total Revenue ]]-Project_Data_NYSE[[#This Row],[ Cost of Goods Sold ]]</f>
        <v>1716437000</v>
      </c>
      <c r="H923" s="3">
        <v>630421000</v>
      </c>
      <c r="I923" s="3">
        <v>0</v>
      </c>
      <c r="J923" s="3">
        <v>0</v>
      </c>
      <c r="K923" s="3">
        <f>Project_Data_NYSE[[#This Row],[Gross Profit]]-Project_Data_NYSE[[#This Row],[ Sales, General and Admin. ]]-Project_Data_NYSE[[#This Row],[ Research and Development ]]-Project_Data_NYSE[[#This Row],[ Other Operating Items ]]</f>
        <v>1086016000</v>
      </c>
      <c r="L923" t="s">
        <v>18</v>
      </c>
      <c r="M923" t="s">
        <v>200</v>
      </c>
      <c r="N923" s="31">
        <f>Project_Data_NYSE[[#This Row],[Gross Profit]]/Project_Data_NYSE[[#This Row],[ Total Revenue ]]</f>
        <v>0.18117326901138356</v>
      </c>
      <c r="O923" s="31">
        <f>Project_Data_NYSE[[#This Row],[Operating Profit]]/Project_Data_NYSE[[#This Row],[ Total Revenue ]]</f>
        <v>0.1146311043858101</v>
      </c>
    </row>
    <row r="924" spans="1:15" x14ac:dyDescent="0.2">
      <c r="A924">
        <v>950</v>
      </c>
      <c r="B924" t="s">
        <v>350</v>
      </c>
      <c r="C924" t="s">
        <v>16</v>
      </c>
      <c r="D924" s="48">
        <v>42704</v>
      </c>
      <c r="E924" s="3">
        <v>10949999000</v>
      </c>
      <c r="F924" s="3">
        <v>8923519000</v>
      </c>
      <c r="G924" s="3">
        <f>Project_Data_NYSE[[#This Row],[ Total Revenue ]]-Project_Data_NYSE[[#This Row],[ Cost of Goods Sold ]]</f>
        <v>2026480000</v>
      </c>
      <c r="H924" s="3">
        <v>764117000</v>
      </c>
      <c r="I924" s="3">
        <v>0</v>
      </c>
      <c r="J924" s="3">
        <v>0</v>
      </c>
      <c r="K924" s="3">
        <f>Project_Data_NYSE[[#This Row],[Gross Profit]]-Project_Data_NYSE[[#This Row],[ Sales, General and Admin. ]]-Project_Data_NYSE[[#This Row],[ Research and Development ]]-Project_Data_NYSE[[#This Row],[ Other Operating Items ]]</f>
        <v>1262363000</v>
      </c>
      <c r="L924" t="s">
        <v>18</v>
      </c>
      <c r="M924" t="s">
        <v>200</v>
      </c>
      <c r="N924" s="31">
        <f>Project_Data_NYSE[[#This Row],[Gross Profit]]/Project_Data_NYSE[[#This Row],[ Total Revenue ]]</f>
        <v>0.18506668356773365</v>
      </c>
      <c r="O924" s="31">
        <f>Project_Data_NYSE[[#This Row],[Operating Profit]]/Project_Data_NYSE[[#This Row],[ Total Revenue ]]</f>
        <v>0.11528430276568975</v>
      </c>
    </row>
    <row r="925" spans="1:15" x14ac:dyDescent="0.2">
      <c r="A925">
        <v>1627</v>
      </c>
      <c r="B925" t="s">
        <v>535</v>
      </c>
      <c r="C925" t="s">
        <v>14</v>
      </c>
      <c r="D925" s="48">
        <v>41908</v>
      </c>
      <c r="E925" s="3">
        <v>3049800000</v>
      </c>
      <c r="F925" s="3">
        <v>1748100000</v>
      </c>
      <c r="G925" s="3">
        <f>Project_Data_NYSE[[#This Row],[ Total Revenue ]]-Project_Data_NYSE[[#This Row],[ Cost of Goods Sold ]]</f>
        <v>1301700000</v>
      </c>
      <c r="H925" s="3">
        <v>470600000</v>
      </c>
      <c r="I925" s="3">
        <v>234800000</v>
      </c>
      <c r="J925" s="3">
        <v>0</v>
      </c>
      <c r="K925" s="3">
        <f>Project_Data_NYSE[[#This Row],[Gross Profit]]-Project_Data_NYSE[[#This Row],[ Sales, General and Admin. ]]-Project_Data_NYSE[[#This Row],[ Research and Development ]]-Project_Data_NYSE[[#This Row],[ Other Operating Items ]]</f>
        <v>596300000</v>
      </c>
      <c r="L925" t="s">
        <v>24</v>
      </c>
      <c r="M925" t="s">
        <v>29</v>
      </c>
      <c r="N925" s="31">
        <f>Project_Data_NYSE[[#This Row],[Gross Profit]]/Project_Data_NYSE[[#This Row],[ Total Revenue ]]</f>
        <v>0.42681487310643323</v>
      </c>
      <c r="O925" s="31">
        <f>Project_Data_NYSE[[#This Row],[Operating Profit]]/Project_Data_NYSE[[#This Row],[ Total Revenue ]]</f>
        <v>0.19552101777165715</v>
      </c>
    </row>
    <row r="926" spans="1:15" x14ac:dyDescent="0.2">
      <c r="A926">
        <v>779</v>
      </c>
      <c r="B926" t="s">
        <v>298</v>
      </c>
      <c r="C926" t="s">
        <v>16</v>
      </c>
      <c r="D926" s="48">
        <v>42637</v>
      </c>
      <c r="E926" s="3">
        <v>2832700000</v>
      </c>
      <c r="F926" s="3">
        <v>1269400000</v>
      </c>
      <c r="G926" s="3">
        <f>Project_Data_NYSE[[#This Row],[ Total Revenue ]]-Project_Data_NYSE[[#This Row],[ Cost of Goods Sold ]]</f>
        <v>1563300000</v>
      </c>
      <c r="H926" s="3">
        <v>682400000</v>
      </c>
      <c r="I926" s="3">
        <v>232100000</v>
      </c>
      <c r="J926" s="3">
        <v>89700000</v>
      </c>
      <c r="K926" s="3">
        <f>Project_Data_NYSE[[#This Row],[Gross Profit]]-Project_Data_NYSE[[#This Row],[ Sales, General and Admin. ]]-Project_Data_NYSE[[#This Row],[ Research and Development ]]-Project_Data_NYSE[[#This Row],[ Other Operating Items ]]</f>
        <v>559100000</v>
      </c>
      <c r="L926" t="s">
        <v>24</v>
      </c>
      <c r="M926" t="s">
        <v>29</v>
      </c>
      <c r="N926" s="31">
        <f>Project_Data_NYSE[[#This Row],[Gross Profit]]/Project_Data_NYSE[[#This Row],[ Total Revenue ]]</f>
        <v>0.55187630176157021</v>
      </c>
      <c r="O926" s="31">
        <f>Project_Data_NYSE[[#This Row],[Operating Profit]]/Project_Data_NYSE[[#This Row],[ Total Revenue ]]</f>
        <v>0.19737353055388851</v>
      </c>
    </row>
    <row r="927" spans="1:15" x14ac:dyDescent="0.2">
      <c r="A927">
        <v>286</v>
      </c>
      <c r="B927" t="s">
        <v>134</v>
      </c>
      <c r="C927" t="s">
        <v>11</v>
      </c>
      <c r="D927" s="48">
        <v>41636</v>
      </c>
      <c r="E927" s="3">
        <v>2910748000</v>
      </c>
      <c r="F927" s="3">
        <v>514722000</v>
      </c>
      <c r="G927" s="3">
        <f>Project_Data_NYSE[[#This Row],[ Total Revenue ]]-Project_Data_NYSE[[#This Row],[ Cost of Goods Sold ]]</f>
        <v>2396026000</v>
      </c>
      <c r="H927" s="3">
        <v>1468434000</v>
      </c>
      <c r="I927" s="3">
        <v>338786000</v>
      </c>
      <c r="J927" s="3">
        <v>12794000</v>
      </c>
      <c r="K927" s="3">
        <f>Project_Data_NYSE[[#This Row],[Gross Profit]]-Project_Data_NYSE[[#This Row],[ Sales, General and Admin. ]]-Project_Data_NYSE[[#This Row],[ Research and Development ]]-Project_Data_NYSE[[#This Row],[ Other Operating Items ]]</f>
        <v>576012000</v>
      </c>
      <c r="L927" t="s">
        <v>24</v>
      </c>
      <c r="M927" t="s">
        <v>135</v>
      </c>
      <c r="N927" s="31">
        <f>Project_Data_NYSE[[#This Row],[Gross Profit]]/Project_Data_NYSE[[#This Row],[ Total Revenue ]]</f>
        <v>0.82316504211288644</v>
      </c>
      <c r="O927" s="31">
        <f>Project_Data_NYSE[[#This Row],[Operating Profit]]/Project_Data_NYSE[[#This Row],[ Total Revenue ]]</f>
        <v>0.19789140111064235</v>
      </c>
    </row>
    <row r="928" spans="1:15" x14ac:dyDescent="0.2">
      <c r="A928">
        <v>194</v>
      </c>
      <c r="B928" t="s">
        <v>105</v>
      </c>
      <c r="C928" t="s">
        <v>11</v>
      </c>
      <c r="D928" s="48">
        <v>41274</v>
      </c>
      <c r="E928" s="3">
        <v>13936000000</v>
      </c>
      <c r="F928" s="3">
        <v>6802000000</v>
      </c>
      <c r="G928" s="3">
        <f>Project_Data_NYSE[[#This Row],[ Total Revenue ]]-Project_Data_NYSE[[#This Row],[ Cost of Goods Sold ]]</f>
        <v>7134000000</v>
      </c>
      <c r="H928" s="3">
        <v>3283000000</v>
      </c>
      <c r="I928" s="3">
        <v>1081000000</v>
      </c>
      <c r="J928" s="3">
        <v>0</v>
      </c>
      <c r="K928" s="3">
        <f>Project_Data_NYSE[[#This Row],[Gross Profit]]-Project_Data_NYSE[[#This Row],[ Sales, General and Admin. ]]-Project_Data_NYSE[[#This Row],[ Research and Development ]]-Project_Data_NYSE[[#This Row],[ Other Operating Items ]]</f>
        <v>2770000000</v>
      </c>
      <c r="L928" t="s">
        <v>24</v>
      </c>
      <c r="M928" t="s">
        <v>29</v>
      </c>
      <c r="N928" s="31">
        <f>Project_Data_NYSE[[#This Row],[Gross Profit]]/Project_Data_NYSE[[#This Row],[ Total Revenue ]]</f>
        <v>0.51191159586681978</v>
      </c>
      <c r="O928" s="31">
        <f>Project_Data_NYSE[[#This Row],[Operating Profit]]/Project_Data_NYSE[[#This Row],[ Total Revenue ]]</f>
        <v>0.19876578645235363</v>
      </c>
    </row>
    <row r="929" spans="1:15" x14ac:dyDescent="0.2">
      <c r="A929">
        <v>955</v>
      </c>
      <c r="B929" t="s">
        <v>352</v>
      </c>
      <c r="C929" t="s">
        <v>11</v>
      </c>
      <c r="D929" s="48">
        <v>41274</v>
      </c>
      <c r="E929" s="3">
        <v>4122930000</v>
      </c>
      <c r="F929" s="3">
        <v>2398790000</v>
      </c>
      <c r="G929" s="3">
        <f>Project_Data_NYSE[[#This Row],[ Total Revenue ]]-Project_Data_NYSE[[#This Row],[ Cost of Goods Sold ]]</f>
        <v>1724140000</v>
      </c>
      <c r="H929" s="3">
        <v>1219343000</v>
      </c>
      <c r="I929" s="3">
        <v>0</v>
      </c>
      <c r="J929" s="3">
        <v>64093000</v>
      </c>
      <c r="K929" s="3">
        <f>Project_Data_NYSE[[#This Row],[Gross Profit]]-Project_Data_NYSE[[#This Row],[ Sales, General and Admin. ]]-Project_Data_NYSE[[#This Row],[ Research and Development ]]-Project_Data_NYSE[[#This Row],[ Other Operating Items ]]</f>
        <v>440704000</v>
      </c>
      <c r="L929" t="s">
        <v>18</v>
      </c>
      <c r="M929" t="s">
        <v>353</v>
      </c>
      <c r="N929" s="31">
        <f>Project_Data_NYSE[[#This Row],[Gross Profit]]/Project_Data_NYSE[[#This Row],[ Total Revenue ]]</f>
        <v>0.41818318525902698</v>
      </c>
      <c r="O929" s="31">
        <f>Project_Data_NYSE[[#This Row],[Operating Profit]]/Project_Data_NYSE[[#This Row],[ Total Revenue ]]</f>
        <v>0.10689097316714084</v>
      </c>
    </row>
    <row r="930" spans="1:15" x14ac:dyDescent="0.2">
      <c r="A930">
        <v>956</v>
      </c>
      <c r="B930" t="s">
        <v>352</v>
      </c>
      <c r="C930" t="s">
        <v>14</v>
      </c>
      <c r="D930" s="48">
        <v>41639</v>
      </c>
      <c r="E930" s="3">
        <v>5062528000</v>
      </c>
      <c r="F930" s="3">
        <v>2987126000</v>
      </c>
      <c r="G930" s="3">
        <f>Project_Data_NYSE[[#This Row],[ Total Revenue ]]-Project_Data_NYSE[[#This Row],[ Cost of Goods Sold ]]</f>
        <v>2075402000</v>
      </c>
      <c r="H930" s="3">
        <v>1454080000</v>
      </c>
      <c r="I930" s="3">
        <v>0</v>
      </c>
      <c r="J930" s="3">
        <v>80969000</v>
      </c>
      <c r="K930" s="3">
        <f>Project_Data_NYSE[[#This Row],[Gross Profit]]-Project_Data_NYSE[[#This Row],[ Sales, General and Admin. ]]-Project_Data_NYSE[[#This Row],[ Research and Development ]]-Project_Data_NYSE[[#This Row],[ Other Operating Items ]]</f>
        <v>540353000</v>
      </c>
      <c r="L930" t="s">
        <v>18</v>
      </c>
      <c r="M930" t="s">
        <v>353</v>
      </c>
      <c r="N930" s="31">
        <f>Project_Data_NYSE[[#This Row],[Gross Profit]]/Project_Data_NYSE[[#This Row],[ Total Revenue ]]</f>
        <v>0.40995368321913478</v>
      </c>
      <c r="O930" s="31">
        <f>Project_Data_NYSE[[#This Row],[Operating Profit]]/Project_Data_NYSE[[#This Row],[ Total Revenue ]]</f>
        <v>0.10673580472048748</v>
      </c>
    </row>
    <row r="931" spans="1:15" x14ac:dyDescent="0.2">
      <c r="A931">
        <v>957</v>
      </c>
      <c r="B931" t="s">
        <v>352</v>
      </c>
      <c r="C931" t="s">
        <v>15</v>
      </c>
      <c r="D931" s="48">
        <v>42004</v>
      </c>
      <c r="E931" s="3">
        <v>6740064000</v>
      </c>
      <c r="F931" s="3">
        <v>4088151000</v>
      </c>
      <c r="G931" s="3">
        <f>Project_Data_NYSE[[#This Row],[ Total Revenue ]]-Project_Data_NYSE[[#This Row],[ Cost of Goods Sold ]]</f>
        <v>2651913000</v>
      </c>
      <c r="H931" s="3">
        <v>1866520000</v>
      </c>
      <c r="I931" s="3">
        <v>0</v>
      </c>
      <c r="J931" s="3">
        <v>120719000</v>
      </c>
      <c r="K931" s="3">
        <f>Project_Data_NYSE[[#This Row],[Gross Profit]]-Project_Data_NYSE[[#This Row],[ Sales, General and Admin. ]]-Project_Data_NYSE[[#This Row],[ Research and Development ]]-Project_Data_NYSE[[#This Row],[ Other Operating Items ]]</f>
        <v>664674000</v>
      </c>
      <c r="L931" t="s">
        <v>18</v>
      </c>
      <c r="M931" t="s">
        <v>353</v>
      </c>
      <c r="N931" s="31">
        <f>Project_Data_NYSE[[#This Row],[Gross Profit]]/Project_Data_NYSE[[#This Row],[ Total Revenue ]]</f>
        <v>0.39345516600435843</v>
      </c>
      <c r="O931" s="31">
        <f>Project_Data_NYSE[[#This Row],[Operating Profit]]/Project_Data_NYSE[[#This Row],[ Total Revenue ]]</f>
        <v>9.8615384067569686E-2</v>
      </c>
    </row>
    <row r="932" spans="1:15" x14ac:dyDescent="0.2">
      <c r="A932">
        <v>958</v>
      </c>
      <c r="B932" t="s">
        <v>352</v>
      </c>
      <c r="C932" t="s">
        <v>16</v>
      </c>
      <c r="D932" s="48">
        <v>42369</v>
      </c>
      <c r="E932" s="3">
        <v>7192633000</v>
      </c>
      <c r="F932" s="3">
        <v>4359104000</v>
      </c>
      <c r="G932" s="3">
        <f>Project_Data_NYSE[[#This Row],[ Total Revenue ]]-Project_Data_NYSE[[#This Row],[ Cost of Goods Sold ]]</f>
        <v>2833529000</v>
      </c>
      <c r="H932" s="3">
        <v>1987271000</v>
      </c>
      <c r="I932" s="3">
        <v>0</v>
      </c>
      <c r="J932" s="3">
        <v>122120000</v>
      </c>
      <c r="K932" s="3">
        <f>Project_Data_NYSE[[#This Row],[Gross Profit]]-Project_Data_NYSE[[#This Row],[ Sales, General and Admin. ]]-Project_Data_NYSE[[#This Row],[ Research and Development ]]-Project_Data_NYSE[[#This Row],[ Other Operating Items ]]</f>
        <v>724138000</v>
      </c>
      <c r="L932" t="s">
        <v>18</v>
      </c>
      <c r="M932" t="s">
        <v>353</v>
      </c>
      <c r="N932" s="31">
        <f>Project_Data_NYSE[[#This Row],[Gross Profit]]/Project_Data_NYSE[[#This Row],[ Total Revenue ]]</f>
        <v>0.39394878064819933</v>
      </c>
      <c r="O932" s="31">
        <f>Project_Data_NYSE[[#This Row],[Operating Profit]]/Project_Data_NYSE[[#This Row],[ Total Revenue ]]</f>
        <v>0.10067773512147776</v>
      </c>
    </row>
    <row r="933" spans="1:15" x14ac:dyDescent="0.2">
      <c r="A933">
        <v>959</v>
      </c>
      <c r="B933" t="s">
        <v>354</v>
      </c>
      <c r="C933" t="s">
        <v>11</v>
      </c>
      <c r="D933" s="48">
        <v>41274</v>
      </c>
      <c r="E933" s="3">
        <v>13107000000</v>
      </c>
      <c r="F933" s="3">
        <v>11799000000</v>
      </c>
      <c r="G933" s="3">
        <f>Project_Data_NYSE[[#This Row],[ Total Revenue ]]-Project_Data_NYSE[[#This Row],[ Cost of Goods Sold ]]</f>
        <v>1308000000</v>
      </c>
      <c r="H933" s="3">
        <v>0</v>
      </c>
      <c r="I933" s="3">
        <v>0</v>
      </c>
      <c r="J933" s="3">
        <v>0</v>
      </c>
      <c r="K933" s="3">
        <f>Project_Data_NYSE[[#This Row],[Gross Profit]]-Project_Data_NYSE[[#This Row],[ Sales, General and Admin. ]]-Project_Data_NYSE[[#This Row],[ Research and Development ]]-Project_Data_NYSE[[#This Row],[ Other Operating Items ]]</f>
        <v>1308000000</v>
      </c>
      <c r="L933" t="s">
        <v>12</v>
      </c>
      <c r="M933" t="s">
        <v>163</v>
      </c>
      <c r="N933" s="31">
        <f>Project_Data_NYSE[[#This Row],[Gross Profit]]/Project_Data_NYSE[[#This Row],[ Total Revenue ]]</f>
        <v>9.9794003204394605E-2</v>
      </c>
      <c r="O933" s="31">
        <f>Project_Data_NYSE[[#This Row],[Operating Profit]]/Project_Data_NYSE[[#This Row],[ Total Revenue ]]</f>
        <v>9.9794003204394605E-2</v>
      </c>
    </row>
    <row r="934" spans="1:15" x14ac:dyDescent="0.2">
      <c r="A934">
        <v>960</v>
      </c>
      <c r="B934" t="s">
        <v>354</v>
      </c>
      <c r="C934" t="s">
        <v>14</v>
      </c>
      <c r="D934" s="48">
        <v>41639</v>
      </c>
      <c r="E934" s="3">
        <v>11420000000</v>
      </c>
      <c r="F934" s="3">
        <v>10303000000</v>
      </c>
      <c r="G934" s="3">
        <f>Project_Data_NYSE[[#This Row],[ Total Revenue ]]-Project_Data_NYSE[[#This Row],[ Cost of Goods Sold ]]</f>
        <v>1117000000</v>
      </c>
      <c r="H934" s="3">
        <v>0</v>
      </c>
      <c r="I934" s="3">
        <v>0</v>
      </c>
      <c r="J934" s="3">
        <v>0</v>
      </c>
      <c r="K934" s="3">
        <f>Project_Data_NYSE[[#This Row],[Gross Profit]]-Project_Data_NYSE[[#This Row],[ Sales, General and Admin. ]]-Project_Data_NYSE[[#This Row],[ Research and Development ]]-Project_Data_NYSE[[#This Row],[ Other Operating Items ]]</f>
        <v>1117000000</v>
      </c>
      <c r="L934" t="s">
        <v>12</v>
      </c>
      <c r="M934" t="s">
        <v>163</v>
      </c>
      <c r="N934" s="31">
        <f>Project_Data_NYSE[[#This Row],[Gross Profit]]/Project_Data_NYSE[[#This Row],[ Total Revenue ]]</f>
        <v>9.781085814360771E-2</v>
      </c>
      <c r="O934" s="31">
        <f>Project_Data_NYSE[[#This Row],[Operating Profit]]/Project_Data_NYSE[[#This Row],[ Total Revenue ]]</f>
        <v>9.781085814360771E-2</v>
      </c>
    </row>
    <row r="935" spans="1:15" x14ac:dyDescent="0.2">
      <c r="A935">
        <v>961</v>
      </c>
      <c r="B935" t="s">
        <v>354</v>
      </c>
      <c r="C935" t="s">
        <v>15</v>
      </c>
      <c r="D935" s="48">
        <v>42004</v>
      </c>
      <c r="E935" s="3">
        <v>10986000000</v>
      </c>
      <c r="F935" s="3">
        <v>9974000000</v>
      </c>
      <c r="G935" s="3">
        <f>Project_Data_NYSE[[#This Row],[ Total Revenue ]]-Project_Data_NYSE[[#This Row],[ Cost of Goods Sold ]]</f>
        <v>1012000000</v>
      </c>
      <c r="H935" s="3">
        <v>0</v>
      </c>
      <c r="I935" s="3">
        <v>0</v>
      </c>
      <c r="J935" s="3">
        <v>0</v>
      </c>
      <c r="K935" s="3">
        <f>Project_Data_NYSE[[#This Row],[Gross Profit]]-Project_Data_NYSE[[#This Row],[ Sales, General and Admin. ]]-Project_Data_NYSE[[#This Row],[ Research and Development ]]-Project_Data_NYSE[[#This Row],[ Other Operating Items ]]</f>
        <v>1012000000</v>
      </c>
      <c r="L935" t="s">
        <v>12</v>
      </c>
      <c r="M935" t="s">
        <v>163</v>
      </c>
      <c r="N935" s="31">
        <f>Project_Data_NYSE[[#This Row],[Gross Profit]]/Project_Data_NYSE[[#This Row],[ Total Revenue ]]</f>
        <v>9.2117240123793923E-2</v>
      </c>
      <c r="O935" s="31">
        <f>Project_Data_NYSE[[#This Row],[Operating Profit]]/Project_Data_NYSE[[#This Row],[ Total Revenue ]]</f>
        <v>9.2117240123793923E-2</v>
      </c>
    </row>
    <row r="936" spans="1:15" x14ac:dyDescent="0.2">
      <c r="A936">
        <v>962</v>
      </c>
      <c r="B936" t="s">
        <v>354</v>
      </c>
      <c r="C936" t="s">
        <v>16</v>
      </c>
      <c r="D936" s="48">
        <v>42369</v>
      </c>
      <c r="E936" s="3">
        <v>10466000000</v>
      </c>
      <c r="F936" s="3">
        <v>9576000000</v>
      </c>
      <c r="G936" s="3">
        <f>Project_Data_NYSE[[#This Row],[ Total Revenue ]]-Project_Data_NYSE[[#This Row],[ Cost of Goods Sold ]]</f>
        <v>890000000</v>
      </c>
      <c r="H936" s="3">
        <v>0</v>
      </c>
      <c r="I936" s="3">
        <v>0</v>
      </c>
      <c r="J936" s="3">
        <v>0</v>
      </c>
      <c r="K936" s="3">
        <f>Project_Data_NYSE[[#This Row],[Gross Profit]]-Project_Data_NYSE[[#This Row],[ Sales, General and Admin. ]]-Project_Data_NYSE[[#This Row],[ Research and Development ]]-Project_Data_NYSE[[#This Row],[ Other Operating Items ]]</f>
        <v>890000000</v>
      </c>
      <c r="L936" t="s">
        <v>12</v>
      </c>
      <c r="M936" t="s">
        <v>163</v>
      </c>
      <c r="N936" s="31">
        <f>Project_Data_NYSE[[#This Row],[Gross Profit]]/Project_Data_NYSE[[#This Row],[ Total Revenue ]]</f>
        <v>8.503726351996943E-2</v>
      </c>
      <c r="O936" s="31">
        <f>Project_Data_NYSE[[#This Row],[Operating Profit]]/Project_Data_NYSE[[#This Row],[ Total Revenue ]]</f>
        <v>8.503726351996943E-2</v>
      </c>
    </row>
    <row r="937" spans="1:15" x14ac:dyDescent="0.2">
      <c r="A937">
        <v>963</v>
      </c>
      <c r="B937" t="s">
        <v>355</v>
      </c>
      <c r="C937" t="s">
        <v>11</v>
      </c>
      <c r="D937" s="48">
        <v>41455</v>
      </c>
      <c r="E937" s="3">
        <v>1282236000</v>
      </c>
      <c r="F937" s="3">
        <v>322516000</v>
      </c>
      <c r="G937" s="3">
        <f>Project_Data_NYSE[[#This Row],[ Total Revenue ]]-Project_Data_NYSE[[#This Row],[ Cost of Goods Sold ]]</f>
        <v>959720000</v>
      </c>
      <c r="H937" s="3">
        <v>151382000</v>
      </c>
      <c r="I937" s="3">
        <v>235184000</v>
      </c>
      <c r="J937" s="3">
        <v>0</v>
      </c>
      <c r="K937" s="3">
        <f>Project_Data_NYSE[[#This Row],[Gross Profit]]-Project_Data_NYSE[[#This Row],[ Sales, General and Admin. ]]-Project_Data_NYSE[[#This Row],[ Research and Development ]]-Project_Data_NYSE[[#This Row],[ Other Operating Items ]]</f>
        <v>573154000</v>
      </c>
      <c r="L937" t="s">
        <v>21</v>
      </c>
      <c r="M937" t="s">
        <v>33</v>
      </c>
      <c r="N937" s="31">
        <f>Project_Data_NYSE[[#This Row],[Gross Profit]]/Project_Data_NYSE[[#This Row],[ Total Revenue ]]</f>
        <v>0.74847375990067355</v>
      </c>
      <c r="O937" s="31">
        <f>Project_Data_NYSE[[#This Row],[Operating Profit]]/Project_Data_NYSE[[#This Row],[ Total Revenue ]]</f>
        <v>0.4469957168571152</v>
      </c>
    </row>
    <row r="938" spans="1:15" x14ac:dyDescent="0.2">
      <c r="A938">
        <v>964</v>
      </c>
      <c r="B938" t="s">
        <v>355</v>
      </c>
      <c r="C938" t="s">
        <v>14</v>
      </c>
      <c r="D938" s="48">
        <v>41819</v>
      </c>
      <c r="E938" s="3">
        <v>1388386000</v>
      </c>
      <c r="F938" s="3">
        <v>338580000</v>
      </c>
      <c r="G938" s="3">
        <f>Project_Data_NYSE[[#This Row],[ Total Revenue ]]-Project_Data_NYSE[[#This Row],[ Cost of Goods Sold ]]</f>
        <v>1049806000</v>
      </c>
      <c r="H938" s="3">
        <v>159642000</v>
      </c>
      <c r="I938" s="3">
        <v>250434000</v>
      </c>
      <c r="J938" s="3">
        <v>0</v>
      </c>
      <c r="K938" s="3">
        <f>Project_Data_NYSE[[#This Row],[Gross Profit]]-Project_Data_NYSE[[#This Row],[ Sales, General and Admin. ]]-Project_Data_NYSE[[#This Row],[ Research and Development ]]-Project_Data_NYSE[[#This Row],[ Other Operating Items ]]</f>
        <v>639730000</v>
      </c>
      <c r="L938" t="s">
        <v>21</v>
      </c>
      <c r="M938" t="s">
        <v>33</v>
      </c>
      <c r="N938" s="31">
        <f>Project_Data_NYSE[[#This Row],[Gross Profit]]/Project_Data_NYSE[[#This Row],[ Total Revenue ]]</f>
        <v>0.75613410103530287</v>
      </c>
      <c r="O938" s="31">
        <f>Project_Data_NYSE[[#This Row],[Operating Profit]]/Project_Data_NYSE[[#This Row],[ Total Revenue ]]</f>
        <v>0.46077243648380206</v>
      </c>
    </row>
    <row r="939" spans="1:15" x14ac:dyDescent="0.2">
      <c r="A939">
        <v>965</v>
      </c>
      <c r="B939" t="s">
        <v>355</v>
      </c>
      <c r="C939" t="s">
        <v>15</v>
      </c>
      <c r="D939" s="48">
        <v>42183</v>
      </c>
      <c r="E939" s="3">
        <v>1475139000</v>
      </c>
      <c r="F939" s="3">
        <v>355727000</v>
      </c>
      <c r="G939" s="3">
        <f>Project_Data_NYSE[[#This Row],[ Total Revenue ]]-Project_Data_NYSE[[#This Row],[ Cost of Goods Sold ]]</f>
        <v>1119412000</v>
      </c>
      <c r="H939" s="3">
        <v>169952000</v>
      </c>
      <c r="I939" s="3">
        <v>266761000</v>
      </c>
      <c r="J939" s="3">
        <v>0</v>
      </c>
      <c r="K939" s="3">
        <f>Project_Data_NYSE[[#This Row],[Gross Profit]]-Project_Data_NYSE[[#This Row],[ Sales, General and Admin. ]]-Project_Data_NYSE[[#This Row],[ Research and Development ]]-Project_Data_NYSE[[#This Row],[ Other Operating Items ]]</f>
        <v>682699000</v>
      </c>
      <c r="L939" t="s">
        <v>21</v>
      </c>
      <c r="M939" t="s">
        <v>33</v>
      </c>
      <c r="N939" s="31">
        <f>Project_Data_NYSE[[#This Row],[Gross Profit]]/Project_Data_NYSE[[#This Row],[ Total Revenue ]]</f>
        <v>0.75885187768745865</v>
      </c>
      <c r="O939" s="31">
        <f>Project_Data_NYSE[[#This Row],[Operating Profit]]/Project_Data_NYSE[[#This Row],[ Total Revenue ]]</f>
        <v>0.46280316634567997</v>
      </c>
    </row>
    <row r="940" spans="1:15" x14ac:dyDescent="0.2">
      <c r="A940">
        <v>966</v>
      </c>
      <c r="B940" t="s">
        <v>355</v>
      </c>
      <c r="C940" t="s">
        <v>16</v>
      </c>
      <c r="D940" s="48">
        <v>42554</v>
      </c>
      <c r="E940" s="3">
        <v>1423936000</v>
      </c>
      <c r="F940" s="3">
        <v>343801000</v>
      </c>
      <c r="G940" s="3">
        <f>Project_Data_NYSE[[#This Row],[ Total Revenue ]]-Project_Data_NYSE[[#This Row],[ Cost of Goods Sold ]]</f>
        <v>1080135000</v>
      </c>
      <c r="H940" s="3">
        <v>170120000</v>
      </c>
      <c r="I940" s="3">
        <v>276462000</v>
      </c>
      <c r="J940" s="3">
        <v>0</v>
      </c>
      <c r="K940" s="3">
        <f>Project_Data_NYSE[[#This Row],[Gross Profit]]-Project_Data_NYSE[[#This Row],[ Sales, General and Admin. ]]-Project_Data_NYSE[[#This Row],[ Research and Development ]]-Project_Data_NYSE[[#This Row],[ Other Operating Items ]]</f>
        <v>633553000</v>
      </c>
      <c r="L940" t="s">
        <v>21</v>
      </c>
      <c r="M940" t="s">
        <v>33</v>
      </c>
      <c r="N940" s="31">
        <f>Project_Data_NYSE[[#This Row],[Gross Profit]]/Project_Data_NYSE[[#This Row],[ Total Revenue ]]</f>
        <v>0.75855586206121628</v>
      </c>
      <c r="O940" s="31">
        <f>Project_Data_NYSE[[#This Row],[Operating Profit]]/Project_Data_NYSE[[#This Row],[ Total Revenue ]]</f>
        <v>0.44493081149714592</v>
      </c>
    </row>
    <row r="941" spans="1:15" x14ac:dyDescent="0.2">
      <c r="A941">
        <v>1778</v>
      </c>
      <c r="B941" t="s">
        <v>574</v>
      </c>
      <c r="C941" t="s">
        <v>14</v>
      </c>
      <c r="D941" s="48">
        <v>42004</v>
      </c>
      <c r="E941" s="3">
        <v>4785000000</v>
      </c>
      <c r="F941" s="3">
        <v>1717000000</v>
      </c>
      <c r="G941" s="3">
        <f>Project_Data_NYSE[[#This Row],[ Total Revenue ]]-Project_Data_NYSE[[#This Row],[ Cost of Goods Sold ]]</f>
        <v>3068000000</v>
      </c>
      <c r="H941" s="3">
        <v>1643000000</v>
      </c>
      <c r="I941" s="3">
        <v>396000000</v>
      </c>
      <c r="J941" s="3">
        <v>60000000</v>
      </c>
      <c r="K941" s="3">
        <f>Project_Data_NYSE[[#This Row],[Gross Profit]]-Project_Data_NYSE[[#This Row],[ Sales, General and Admin. ]]-Project_Data_NYSE[[#This Row],[ Research and Development ]]-Project_Data_NYSE[[#This Row],[ Other Operating Items ]]</f>
        <v>969000000</v>
      </c>
      <c r="L941" t="s">
        <v>24</v>
      </c>
      <c r="M941" t="s">
        <v>25</v>
      </c>
      <c r="N941" s="31">
        <f>Project_Data_NYSE[[#This Row],[Gross Profit]]/Project_Data_NYSE[[#This Row],[ Total Revenue ]]</f>
        <v>0.64117032392894457</v>
      </c>
      <c r="O941" s="31">
        <f>Project_Data_NYSE[[#This Row],[Operating Profit]]/Project_Data_NYSE[[#This Row],[ Total Revenue ]]</f>
        <v>0.2025078369905956</v>
      </c>
    </row>
    <row r="942" spans="1:15" x14ac:dyDescent="0.2">
      <c r="A942">
        <v>827</v>
      </c>
      <c r="B942" t="s">
        <v>314</v>
      </c>
      <c r="C942" t="s">
        <v>11</v>
      </c>
      <c r="D942" s="48">
        <v>41274</v>
      </c>
      <c r="E942" s="3">
        <v>1293338000</v>
      </c>
      <c r="F942" s="3">
        <v>594190000</v>
      </c>
      <c r="G942" s="3">
        <f>Project_Data_NYSE[[#This Row],[ Total Revenue ]]-Project_Data_NYSE[[#This Row],[ Cost of Goods Sold ]]</f>
        <v>699148000</v>
      </c>
      <c r="H942" s="3">
        <v>354571000</v>
      </c>
      <c r="I942" s="3">
        <v>82014000</v>
      </c>
      <c r="J942" s="3">
        <v>0</v>
      </c>
      <c r="K942" s="3">
        <f>Project_Data_NYSE[[#This Row],[Gross Profit]]-Project_Data_NYSE[[#This Row],[ Sales, General and Admin. ]]-Project_Data_NYSE[[#This Row],[ Research and Development ]]-Project_Data_NYSE[[#This Row],[ Other Operating Items ]]</f>
        <v>262563000</v>
      </c>
      <c r="L942" t="s">
        <v>24</v>
      </c>
      <c r="M942" t="s">
        <v>29</v>
      </c>
      <c r="N942" s="31">
        <f>Project_Data_NYSE[[#This Row],[Gross Profit]]/Project_Data_NYSE[[#This Row],[ Total Revenue ]]</f>
        <v>0.54057639998206197</v>
      </c>
      <c r="O942" s="31">
        <f>Project_Data_NYSE[[#This Row],[Operating Profit]]/Project_Data_NYSE[[#This Row],[ Total Revenue ]]</f>
        <v>0.2030118963488276</v>
      </c>
    </row>
    <row r="943" spans="1:15" x14ac:dyDescent="0.2">
      <c r="A943">
        <v>370</v>
      </c>
      <c r="B943" t="s">
        <v>164</v>
      </c>
      <c r="C943" t="s">
        <v>11</v>
      </c>
      <c r="D943" s="48">
        <v>41578</v>
      </c>
      <c r="E943" s="3">
        <v>1587725000</v>
      </c>
      <c r="F943" s="3">
        <v>560917000</v>
      </c>
      <c r="G943" s="3">
        <f>Project_Data_NYSE[[#This Row],[ Total Revenue ]]-Project_Data_NYSE[[#This Row],[ Cost of Goods Sold ]]</f>
        <v>1026808000</v>
      </c>
      <c r="H943" s="3">
        <v>610735000</v>
      </c>
      <c r="I943" s="3">
        <v>58827000</v>
      </c>
      <c r="J943" s="3">
        <v>30239000</v>
      </c>
      <c r="K943" s="3">
        <f>Project_Data_NYSE[[#This Row],[Gross Profit]]-Project_Data_NYSE[[#This Row],[ Sales, General and Admin. ]]-Project_Data_NYSE[[#This Row],[ Research and Development ]]-Project_Data_NYSE[[#This Row],[ Other Operating Items ]]</f>
        <v>327007000</v>
      </c>
      <c r="L943" t="s">
        <v>24</v>
      </c>
      <c r="M943" t="s">
        <v>165</v>
      </c>
      <c r="N943" s="31">
        <f>Project_Data_NYSE[[#This Row],[Gross Profit]]/Project_Data_NYSE[[#This Row],[ Total Revenue ]]</f>
        <v>0.64671652836605831</v>
      </c>
      <c r="O943" s="31">
        <f>Project_Data_NYSE[[#This Row],[Operating Profit]]/Project_Data_NYSE[[#This Row],[ Total Revenue ]]</f>
        <v>0.20595947031129447</v>
      </c>
    </row>
    <row r="944" spans="1:15" x14ac:dyDescent="0.2">
      <c r="A944">
        <v>1626</v>
      </c>
      <c r="B944" t="s">
        <v>535</v>
      </c>
      <c r="C944" t="s">
        <v>11</v>
      </c>
      <c r="D944" s="48">
        <v>41544</v>
      </c>
      <c r="E944" s="3">
        <v>2942897000</v>
      </c>
      <c r="F944" s="3">
        <v>1693210000</v>
      </c>
      <c r="G944" s="3">
        <f>Project_Data_NYSE[[#This Row],[ Total Revenue ]]-Project_Data_NYSE[[#This Row],[ Cost of Goods Sold ]]</f>
        <v>1249687000</v>
      </c>
      <c r="H944" s="3">
        <v>432589000</v>
      </c>
      <c r="I944" s="3">
        <v>208208000</v>
      </c>
      <c r="J944" s="3">
        <v>0</v>
      </c>
      <c r="K944" s="3">
        <f>Project_Data_NYSE[[#This Row],[Gross Profit]]-Project_Data_NYSE[[#This Row],[ Sales, General and Admin. ]]-Project_Data_NYSE[[#This Row],[ Research and Development ]]-Project_Data_NYSE[[#This Row],[ Other Operating Items ]]</f>
        <v>608890000</v>
      </c>
      <c r="L944" t="s">
        <v>24</v>
      </c>
      <c r="M944" t="s">
        <v>29</v>
      </c>
      <c r="N944" s="31">
        <f>Project_Data_NYSE[[#This Row],[Gross Profit]]/Project_Data_NYSE[[#This Row],[ Total Revenue ]]</f>
        <v>0.42464517106782873</v>
      </c>
      <c r="O944" s="31">
        <f>Project_Data_NYSE[[#This Row],[Operating Profit]]/Project_Data_NYSE[[#This Row],[ Total Revenue ]]</f>
        <v>0.20690156672149926</v>
      </c>
    </row>
    <row r="945" spans="1:15" x14ac:dyDescent="0.2">
      <c r="A945">
        <v>971</v>
      </c>
      <c r="B945" t="s">
        <v>357</v>
      </c>
      <c r="C945" t="s">
        <v>11</v>
      </c>
      <c r="D945" s="48">
        <v>41639</v>
      </c>
      <c r="E945" s="3">
        <v>45358000000</v>
      </c>
      <c r="F945" s="3">
        <v>41171000000</v>
      </c>
      <c r="G945" s="3">
        <f>Project_Data_NYSE[[#This Row],[ Total Revenue ]]-Project_Data_NYSE[[#This Row],[ Cost of Goods Sold ]]</f>
        <v>4187000000</v>
      </c>
      <c r="H945" s="3">
        <v>-318000000</v>
      </c>
      <c r="I945" s="3">
        <v>0</v>
      </c>
      <c r="J945" s="3">
        <v>0</v>
      </c>
      <c r="K945" s="3">
        <f>Project_Data_NYSE[[#This Row],[Gross Profit]]-Project_Data_NYSE[[#This Row],[ Sales, General and Admin. ]]-Project_Data_NYSE[[#This Row],[ Research and Development ]]-Project_Data_NYSE[[#This Row],[ Other Operating Items ]]</f>
        <v>4505000000</v>
      </c>
      <c r="L945" t="s">
        <v>12</v>
      </c>
      <c r="M945" t="s">
        <v>90</v>
      </c>
      <c r="N945" s="31">
        <f>Project_Data_NYSE[[#This Row],[Gross Profit]]/Project_Data_NYSE[[#This Row],[ Total Revenue ]]</f>
        <v>9.2310066581418937E-2</v>
      </c>
      <c r="O945" s="31">
        <f>Project_Data_NYSE[[#This Row],[Operating Profit]]/Project_Data_NYSE[[#This Row],[ Total Revenue ]]</f>
        <v>9.9320957714184935E-2</v>
      </c>
    </row>
    <row r="946" spans="1:15" x14ac:dyDescent="0.2">
      <c r="A946">
        <v>972</v>
      </c>
      <c r="B946" t="s">
        <v>357</v>
      </c>
      <c r="C946" t="s">
        <v>14</v>
      </c>
      <c r="D946" s="48">
        <v>42004</v>
      </c>
      <c r="E946" s="3">
        <v>39946000000</v>
      </c>
      <c r="F946" s="3">
        <v>35263000000</v>
      </c>
      <c r="G946" s="3">
        <f>Project_Data_NYSE[[#This Row],[ Total Revenue ]]-Project_Data_NYSE[[#This Row],[ Cost of Goods Sold ]]</f>
        <v>4683000000</v>
      </c>
      <c r="H946" s="3">
        <v>-329000000</v>
      </c>
      <c r="I946" s="3">
        <v>0</v>
      </c>
      <c r="J946" s="3">
        <v>0</v>
      </c>
      <c r="K946" s="3">
        <f>Project_Data_NYSE[[#This Row],[Gross Profit]]-Project_Data_NYSE[[#This Row],[ Sales, General and Admin. ]]-Project_Data_NYSE[[#This Row],[ Research and Development ]]-Project_Data_NYSE[[#This Row],[ Other Operating Items ]]</f>
        <v>5012000000</v>
      </c>
      <c r="L946" t="s">
        <v>12</v>
      </c>
      <c r="M946" t="s">
        <v>90</v>
      </c>
      <c r="N946" s="31">
        <f>Project_Data_NYSE[[#This Row],[Gross Profit]]/Project_Data_NYSE[[#This Row],[ Total Revenue ]]</f>
        <v>0.1172332649076253</v>
      </c>
      <c r="O946" s="31">
        <f>Project_Data_NYSE[[#This Row],[Operating Profit]]/Project_Data_NYSE[[#This Row],[ Total Revenue ]]</f>
        <v>0.12546938366795174</v>
      </c>
    </row>
    <row r="947" spans="1:15" x14ac:dyDescent="0.2">
      <c r="A947">
        <v>973</v>
      </c>
      <c r="B947" t="s">
        <v>357</v>
      </c>
      <c r="C947" t="s">
        <v>15</v>
      </c>
      <c r="D947" s="48">
        <v>42369</v>
      </c>
      <c r="E947" s="3">
        <v>40536000000</v>
      </c>
      <c r="F947" s="3">
        <v>36044000000</v>
      </c>
      <c r="G947" s="3">
        <f>Project_Data_NYSE[[#This Row],[ Total Revenue ]]-Project_Data_NYSE[[#This Row],[ Cost of Goods Sold ]]</f>
        <v>4492000000</v>
      </c>
      <c r="H947" s="3">
        <v>-220000000</v>
      </c>
      <c r="I947" s="3">
        <v>0</v>
      </c>
      <c r="J947" s="3">
        <v>0</v>
      </c>
      <c r="K947" s="3">
        <f>Project_Data_NYSE[[#This Row],[Gross Profit]]-Project_Data_NYSE[[#This Row],[ Sales, General and Admin. ]]-Project_Data_NYSE[[#This Row],[ Research and Development ]]-Project_Data_NYSE[[#This Row],[ Other Operating Items ]]</f>
        <v>4712000000</v>
      </c>
      <c r="L947" t="s">
        <v>12</v>
      </c>
      <c r="M947" t="s">
        <v>90</v>
      </c>
      <c r="N947" s="31">
        <f>Project_Data_NYSE[[#This Row],[Gross Profit]]/Project_Data_NYSE[[#This Row],[ Total Revenue ]]</f>
        <v>0.11081507795539768</v>
      </c>
      <c r="O947" s="31">
        <f>Project_Data_NYSE[[#This Row],[Operating Profit]]/Project_Data_NYSE[[#This Row],[ Total Revenue ]]</f>
        <v>0.11624235247681074</v>
      </c>
    </row>
    <row r="948" spans="1:15" x14ac:dyDescent="0.2">
      <c r="A948">
        <v>974</v>
      </c>
      <c r="B948" t="s">
        <v>357</v>
      </c>
      <c r="C948" t="s">
        <v>16</v>
      </c>
      <c r="D948" s="48">
        <v>42735</v>
      </c>
      <c r="E948" s="3">
        <v>47248000000</v>
      </c>
      <c r="F948" s="3">
        <v>42186000000</v>
      </c>
      <c r="G948" s="3">
        <f>Project_Data_NYSE[[#This Row],[ Total Revenue ]]-Project_Data_NYSE[[#This Row],[ Cost of Goods Sold ]]</f>
        <v>5062000000</v>
      </c>
      <c r="H948" s="3">
        <v>-487000000</v>
      </c>
      <c r="I948" s="3">
        <v>0</v>
      </c>
      <c r="J948" s="3">
        <v>0</v>
      </c>
      <c r="K948" s="3">
        <f>Project_Data_NYSE[[#This Row],[Gross Profit]]-Project_Data_NYSE[[#This Row],[ Sales, General and Admin. ]]-Project_Data_NYSE[[#This Row],[ Research and Development ]]-Project_Data_NYSE[[#This Row],[ Other Operating Items ]]</f>
        <v>5549000000</v>
      </c>
      <c r="L948" t="s">
        <v>12</v>
      </c>
      <c r="M948" t="s">
        <v>90</v>
      </c>
      <c r="N948" s="31">
        <f>Project_Data_NYSE[[#This Row],[Gross Profit]]/Project_Data_NYSE[[#This Row],[ Total Revenue ]]</f>
        <v>0.1071368100237047</v>
      </c>
      <c r="O948" s="31">
        <f>Project_Data_NYSE[[#This Row],[Operating Profit]]/Project_Data_NYSE[[#This Row],[ Total Revenue ]]</f>
        <v>0.11744412461903149</v>
      </c>
    </row>
    <row r="949" spans="1:15" x14ac:dyDescent="0.2">
      <c r="A949">
        <v>975</v>
      </c>
      <c r="B949" t="s">
        <v>358</v>
      </c>
      <c r="C949" t="s">
        <v>11</v>
      </c>
      <c r="D949" s="48">
        <v>41274</v>
      </c>
      <c r="E949" s="3">
        <v>3094500000</v>
      </c>
      <c r="F949" s="3">
        <v>2144200000</v>
      </c>
      <c r="G949" s="3">
        <f>Project_Data_NYSE[[#This Row],[ Total Revenue ]]-Project_Data_NYSE[[#This Row],[ Cost of Goods Sold ]]</f>
        <v>950300000</v>
      </c>
      <c r="H949" s="3">
        <v>98200000</v>
      </c>
      <c r="I949" s="3">
        <v>0</v>
      </c>
      <c r="J949" s="3">
        <v>332400000</v>
      </c>
      <c r="K949" s="3">
        <f>Project_Data_NYSE[[#This Row],[Gross Profit]]-Project_Data_NYSE[[#This Row],[ Sales, General and Admin. ]]-Project_Data_NYSE[[#This Row],[ Research and Development ]]-Project_Data_NYSE[[#This Row],[ Other Operating Items ]]</f>
        <v>519700000</v>
      </c>
      <c r="L949" t="s">
        <v>41</v>
      </c>
      <c r="M949" t="s">
        <v>44</v>
      </c>
      <c r="N949" s="31">
        <f>Project_Data_NYSE[[#This Row],[Gross Profit]]/Project_Data_NYSE[[#This Row],[ Total Revenue ]]</f>
        <v>0.3070932299240588</v>
      </c>
      <c r="O949" s="31">
        <f>Project_Data_NYSE[[#This Row],[Operating Profit]]/Project_Data_NYSE[[#This Row],[ Total Revenue ]]</f>
        <v>0.16794312489901439</v>
      </c>
    </row>
    <row r="950" spans="1:15" x14ac:dyDescent="0.2">
      <c r="A950">
        <v>976</v>
      </c>
      <c r="B950" t="s">
        <v>358</v>
      </c>
      <c r="C950" t="s">
        <v>14</v>
      </c>
      <c r="D950" s="48">
        <v>41639</v>
      </c>
      <c r="E950" s="3">
        <v>3276800000</v>
      </c>
      <c r="F950" s="3">
        <v>2272400000</v>
      </c>
      <c r="G950" s="3">
        <f>Project_Data_NYSE[[#This Row],[ Total Revenue ]]-Project_Data_NYSE[[#This Row],[ Cost of Goods Sold ]]</f>
        <v>1004400000</v>
      </c>
      <c r="H950" s="3">
        <v>99600000</v>
      </c>
      <c r="I950" s="3">
        <v>0</v>
      </c>
      <c r="J950" s="3">
        <v>370900000</v>
      </c>
      <c r="K950" s="3">
        <f>Project_Data_NYSE[[#This Row],[Gross Profit]]-Project_Data_NYSE[[#This Row],[ Sales, General and Admin. ]]-Project_Data_NYSE[[#This Row],[ Research and Development ]]-Project_Data_NYSE[[#This Row],[ Other Operating Items ]]</f>
        <v>533900000</v>
      </c>
      <c r="L950" t="s">
        <v>41</v>
      </c>
      <c r="M950" t="s">
        <v>44</v>
      </c>
      <c r="N950" s="31">
        <f>Project_Data_NYSE[[#This Row],[Gross Profit]]/Project_Data_NYSE[[#This Row],[ Total Revenue ]]</f>
        <v>0.3065185546875</v>
      </c>
      <c r="O950" s="31">
        <f>Project_Data_NYSE[[#This Row],[Operating Profit]]/Project_Data_NYSE[[#This Row],[ Total Revenue ]]</f>
        <v>0.162933349609375</v>
      </c>
    </row>
    <row r="951" spans="1:15" x14ac:dyDescent="0.2">
      <c r="A951">
        <v>977</v>
      </c>
      <c r="B951" t="s">
        <v>358</v>
      </c>
      <c r="C951" t="s">
        <v>15</v>
      </c>
      <c r="D951" s="48">
        <v>42004</v>
      </c>
      <c r="E951" s="3">
        <v>3350300000</v>
      </c>
      <c r="F951" s="3">
        <v>2317500000</v>
      </c>
      <c r="G951" s="3">
        <f>Project_Data_NYSE[[#This Row],[ Total Revenue ]]-Project_Data_NYSE[[#This Row],[ Cost of Goods Sold ]]</f>
        <v>1032800000</v>
      </c>
      <c r="H951" s="3">
        <v>101100000</v>
      </c>
      <c r="I951" s="3">
        <v>0</v>
      </c>
      <c r="J951" s="3">
        <v>388100000</v>
      </c>
      <c r="K951" s="3">
        <f>Project_Data_NYSE[[#This Row],[Gross Profit]]-Project_Data_NYSE[[#This Row],[ Sales, General and Admin. ]]-Project_Data_NYSE[[#This Row],[ Research and Development ]]-Project_Data_NYSE[[#This Row],[ Other Operating Items ]]</f>
        <v>543600000</v>
      </c>
      <c r="L951" t="s">
        <v>41</v>
      </c>
      <c r="M951" t="s">
        <v>44</v>
      </c>
      <c r="N951" s="31">
        <f>Project_Data_NYSE[[#This Row],[Gross Profit]]/Project_Data_NYSE[[#This Row],[ Total Revenue ]]</f>
        <v>0.30827090111333311</v>
      </c>
      <c r="O951" s="31">
        <f>Project_Data_NYSE[[#This Row],[Operating Profit]]/Project_Data_NYSE[[#This Row],[ Total Revenue ]]</f>
        <v>0.16225412649613469</v>
      </c>
    </row>
    <row r="952" spans="1:15" x14ac:dyDescent="0.2">
      <c r="A952">
        <v>978</v>
      </c>
      <c r="B952" t="s">
        <v>358</v>
      </c>
      <c r="C952" t="s">
        <v>16</v>
      </c>
      <c r="D952" s="48">
        <v>42369</v>
      </c>
      <c r="E952" s="3">
        <v>3253600000</v>
      </c>
      <c r="F952" s="3">
        <v>2171600000</v>
      </c>
      <c r="G952" s="3">
        <f>Project_Data_NYSE[[#This Row],[ Total Revenue ]]-Project_Data_NYSE[[#This Row],[ Cost of Goods Sold ]]</f>
        <v>1082000000</v>
      </c>
      <c r="H952" s="3">
        <v>103700000</v>
      </c>
      <c r="I952" s="3">
        <v>0</v>
      </c>
      <c r="J952" s="3">
        <v>401300000</v>
      </c>
      <c r="K952" s="3">
        <f>Project_Data_NYSE[[#This Row],[Gross Profit]]-Project_Data_NYSE[[#This Row],[ Sales, General and Admin. ]]-Project_Data_NYSE[[#This Row],[ Research and Development ]]-Project_Data_NYSE[[#This Row],[ Other Operating Items ]]</f>
        <v>577000000</v>
      </c>
      <c r="L952" t="s">
        <v>41</v>
      </c>
      <c r="M952" t="s">
        <v>44</v>
      </c>
      <c r="N952" s="31">
        <f>Project_Data_NYSE[[#This Row],[Gross Profit]]/Project_Data_NYSE[[#This Row],[ Total Revenue ]]</f>
        <v>0.33255470863044012</v>
      </c>
      <c r="O952" s="31">
        <f>Project_Data_NYSE[[#This Row],[Operating Profit]]/Project_Data_NYSE[[#This Row],[ Total Revenue ]]</f>
        <v>0.17734202114580772</v>
      </c>
    </row>
    <row r="953" spans="1:15" x14ac:dyDescent="0.2">
      <c r="A953">
        <v>979</v>
      </c>
      <c r="B953" t="s">
        <v>359</v>
      </c>
      <c r="C953" t="s">
        <v>11</v>
      </c>
      <c r="D953" s="48">
        <v>41306</v>
      </c>
      <c r="E953" s="3">
        <v>50521000000</v>
      </c>
      <c r="F953" s="3">
        <v>33194000000</v>
      </c>
      <c r="G953" s="3">
        <f>Project_Data_NYSE[[#This Row],[ Total Revenue ]]-Project_Data_NYSE[[#This Row],[ Cost of Goods Sold ]]</f>
        <v>17327000000</v>
      </c>
      <c r="H953" s="3">
        <v>12244000000</v>
      </c>
      <c r="I953" s="3">
        <v>0</v>
      </c>
      <c r="J953" s="3">
        <v>1523000000</v>
      </c>
      <c r="K953" s="3">
        <f>Project_Data_NYSE[[#This Row],[Gross Profit]]-Project_Data_NYSE[[#This Row],[ Sales, General and Admin. ]]-Project_Data_NYSE[[#This Row],[ Research and Development ]]-Project_Data_NYSE[[#This Row],[ Other Operating Items ]]</f>
        <v>3560000000</v>
      </c>
      <c r="L953" t="s">
        <v>18</v>
      </c>
      <c r="M953" t="s">
        <v>293</v>
      </c>
      <c r="N953" s="31">
        <f>Project_Data_NYSE[[#This Row],[Gross Profit]]/Project_Data_NYSE[[#This Row],[ Total Revenue ]]</f>
        <v>0.34296629124522476</v>
      </c>
      <c r="O953" s="31">
        <f>Project_Data_NYSE[[#This Row],[Operating Profit]]/Project_Data_NYSE[[#This Row],[ Total Revenue ]]</f>
        <v>7.0465746917123567E-2</v>
      </c>
    </row>
    <row r="954" spans="1:15" x14ac:dyDescent="0.2">
      <c r="A954">
        <v>980</v>
      </c>
      <c r="B954" t="s">
        <v>359</v>
      </c>
      <c r="C954" t="s">
        <v>14</v>
      </c>
      <c r="D954" s="48">
        <v>41670</v>
      </c>
      <c r="E954" s="3">
        <v>53417000000</v>
      </c>
      <c r="F954" s="3">
        <v>34941000000</v>
      </c>
      <c r="G954" s="3">
        <f>Project_Data_NYSE[[#This Row],[ Total Revenue ]]-Project_Data_NYSE[[#This Row],[ Cost of Goods Sold ]]</f>
        <v>18476000000</v>
      </c>
      <c r="H954" s="3">
        <v>12865000000</v>
      </c>
      <c r="I954" s="3">
        <v>0</v>
      </c>
      <c r="J954" s="3">
        <v>1462000000</v>
      </c>
      <c r="K954" s="3">
        <f>Project_Data_NYSE[[#This Row],[Gross Profit]]-Project_Data_NYSE[[#This Row],[ Sales, General and Admin. ]]-Project_Data_NYSE[[#This Row],[ Research and Development ]]-Project_Data_NYSE[[#This Row],[ Other Operating Items ]]</f>
        <v>4149000000</v>
      </c>
      <c r="L954" t="s">
        <v>18</v>
      </c>
      <c r="M954" t="s">
        <v>293</v>
      </c>
      <c r="N954" s="31">
        <f>Project_Data_NYSE[[#This Row],[Gross Profit]]/Project_Data_NYSE[[#This Row],[ Total Revenue ]]</f>
        <v>0.3458823969897224</v>
      </c>
      <c r="O954" s="31">
        <f>Project_Data_NYSE[[#This Row],[Operating Profit]]/Project_Data_NYSE[[#This Row],[ Total Revenue ]]</f>
        <v>7.7671902203418394E-2</v>
      </c>
    </row>
    <row r="955" spans="1:15" x14ac:dyDescent="0.2">
      <c r="A955">
        <v>981</v>
      </c>
      <c r="B955" t="s">
        <v>359</v>
      </c>
      <c r="C955" t="s">
        <v>15</v>
      </c>
      <c r="D955" s="48">
        <v>42034</v>
      </c>
      <c r="E955" s="3">
        <v>56223000000</v>
      </c>
      <c r="F955" s="3">
        <v>36665000000</v>
      </c>
      <c r="G955" s="3">
        <f>Project_Data_NYSE[[#This Row],[ Total Revenue ]]-Project_Data_NYSE[[#This Row],[ Cost of Goods Sold ]]</f>
        <v>19558000000</v>
      </c>
      <c r="H955" s="3">
        <v>13281000000</v>
      </c>
      <c r="I955" s="3">
        <v>0</v>
      </c>
      <c r="J955" s="3">
        <v>1485000000</v>
      </c>
      <c r="K955" s="3">
        <f>Project_Data_NYSE[[#This Row],[Gross Profit]]-Project_Data_NYSE[[#This Row],[ Sales, General and Admin. ]]-Project_Data_NYSE[[#This Row],[ Research and Development ]]-Project_Data_NYSE[[#This Row],[ Other Operating Items ]]</f>
        <v>4792000000</v>
      </c>
      <c r="L955" t="s">
        <v>18</v>
      </c>
      <c r="M955" t="s">
        <v>293</v>
      </c>
      <c r="N955" s="31">
        <f>Project_Data_NYSE[[#This Row],[Gross Profit]]/Project_Data_NYSE[[#This Row],[ Total Revenue ]]</f>
        <v>0.34786475285915019</v>
      </c>
      <c r="O955" s="31">
        <f>Project_Data_NYSE[[#This Row],[Operating Profit]]/Project_Data_NYSE[[#This Row],[ Total Revenue ]]</f>
        <v>8.5232022481902425E-2</v>
      </c>
    </row>
    <row r="956" spans="1:15" x14ac:dyDescent="0.2">
      <c r="A956">
        <v>982</v>
      </c>
      <c r="B956" t="s">
        <v>359</v>
      </c>
      <c r="C956" t="s">
        <v>16</v>
      </c>
      <c r="D956" s="48">
        <v>42398</v>
      </c>
      <c r="E956" s="3">
        <v>59074000000</v>
      </c>
      <c r="F956" s="3">
        <v>38504000000</v>
      </c>
      <c r="G956" s="3">
        <f>Project_Data_NYSE[[#This Row],[ Total Revenue ]]-Project_Data_NYSE[[#This Row],[ Cost of Goods Sold ]]</f>
        <v>20570000000</v>
      </c>
      <c r="H956" s="3">
        <v>14115000000</v>
      </c>
      <c r="I956" s="3">
        <v>0</v>
      </c>
      <c r="J956" s="3">
        <v>1484000000</v>
      </c>
      <c r="K956" s="3">
        <f>Project_Data_NYSE[[#This Row],[Gross Profit]]-Project_Data_NYSE[[#This Row],[ Sales, General and Admin. ]]-Project_Data_NYSE[[#This Row],[ Research and Development ]]-Project_Data_NYSE[[#This Row],[ Other Operating Items ]]</f>
        <v>4971000000</v>
      </c>
      <c r="L956" t="s">
        <v>18</v>
      </c>
      <c r="M956" t="s">
        <v>293</v>
      </c>
      <c r="N956" s="31">
        <f>Project_Data_NYSE[[#This Row],[Gross Profit]]/Project_Data_NYSE[[#This Row],[ Total Revenue ]]</f>
        <v>0.34820733317533942</v>
      </c>
      <c r="O956" s="31">
        <f>Project_Data_NYSE[[#This Row],[Operating Profit]]/Project_Data_NYSE[[#This Row],[ Total Revenue ]]</f>
        <v>8.4148694857297632E-2</v>
      </c>
    </row>
    <row r="957" spans="1:15" x14ac:dyDescent="0.2">
      <c r="A957">
        <v>983</v>
      </c>
      <c r="B957" t="s">
        <v>360</v>
      </c>
      <c r="C957" t="s">
        <v>11</v>
      </c>
      <c r="D957" s="48">
        <v>41455</v>
      </c>
      <c r="E957" s="3">
        <v>3598916000</v>
      </c>
      <c r="F957" s="3">
        <v>2195857000</v>
      </c>
      <c r="G957" s="3">
        <f>Project_Data_NYSE[[#This Row],[ Total Revenue ]]-Project_Data_NYSE[[#This Row],[ Cost of Goods Sold ]]</f>
        <v>1403059000</v>
      </c>
      <c r="H957" s="3">
        <v>601300000</v>
      </c>
      <c r="I957" s="3">
        <v>683688000</v>
      </c>
      <c r="J957" s="3">
        <v>0</v>
      </c>
      <c r="K957" s="3">
        <f>Project_Data_NYSE[[#This Row],[Gross Profit]]-Project_Data_NYSE[[#This Row],[ Sales, General and Admin. ]]-Project_Data_NYSE[[#This Row],[ Research and Development ]]-Project_Data_NYSE[[#This Row],[ Other Operating Items ]]</f>
        <v>118071000</v>
      </c>
      <c r="L957" t="s">
        <v>21</v>
      </c>
      <c r="M957" t="s">
        <v>67</v>
      </c>
      <c r="N957" s="31">
        <f>Project_Data_NYSE[[#This Row],[Gross Profit]]/Project_Data_NYSE[[#This Row],[ Total Revenue ]]</f>
        <v>0.38985600108477109</v>
      </c>
      <c r="O957" s="31">
        <f>Project_Data_NYSE[[#This Row],[Operating Profit]]/Project_Data_NYSE[[#This Row],[ Total Revenue ]]</f>
        <v>3.2807378666242837E-2</v>
      </c>
    </row>
    <row r="958" spans="1:15" x14ac:dyDescent="0.2">
      <c r="A958">
        <v>984</v>
      </c>
      <c r="B958" t="s">
        <v>360</v>
      </c>
      <c r="C958" t="s">
        <v>14</v>
      </c>
      <c r="D958" s="48">
        <v>41819</v>
      </c>
      <c r="E958" s="3">
        <v>4607309000</v>
      </c>
      <c r="F958" s="3">
        <v>2599828000</v>
      </c>
      <c r="G958" s="3">
        <f>Project_Data_NYSE[[#This Row],[ Total Revenue ]]-Project_Data_NYSE[[#This Row],[ Cost of Goods Sold ]]</f>
        <v>2007481000</v>
      </c>
      <c r="H958" s="3">
        <v>613341000</v>
      </c>
      <c r="I958" s="3">
        <v>716471000</v>
      </c>
      <c r="J958" s="3">
        <v>0</v>
      </c>
      <c r="K958" s="3">
        <f>Project_Data_NYSE[[#This Row],[Gross Profit]]-Project_Data_NYSE[[#This Row],[ Sales, General and Admin. ]]-Project_Data_NYSE[[#This Row],[ Research and Development ]]-Project_Data_NYSE[[#This Row],[ Other Operating Items ]]</f>
        <v>677669000</v>
      </c>
      <c r="L958" t="s">
        <v>21</v>
      </c>
      <c r="M958" t="s">
        <v>67</v>
      </c>
      <c r="N958" s="31">
        <f>Project_Data_NYSE[[#This Row],[Gross Profit]]/Project_Data_NYSE[[#This Row],[ Total Revenue ]]</f>
        <v>0.43571659725883372</v>
      </c>
      <c r="O958" s="31">
        <f>Project_Data_NYSE[[#This Row],[Operating Profit]]/Project_Data_NYSE[[#This Row],[ Total Revenue ]]</f>
        <v>0.1470856415317488</v>
      </c>
    </row>
    <row r="959" spans="1:15" x14ac:dyDescent="0.2">
      <c r="A959">
        <v>985</v>
      </c>
      <c r="B959" t="s">
        <v>360</v>
      </c>
      <c r="C959" t="s">
        <v>15</v>
      </c>
      <c r="D959" s="48">
        <v>42183</v>
      </c>
      <c r="E959" s="3">
        <v>5259312000</v>
      </c>
      <c r="F959" s="3">
        <v>2974976000</v>
      </c>
      <c r="G959" s="3">
        <f>Project_Data_NYSE[[#This Row],[ Total Revenue ]]-Project_Data_NYSE[[#This Row],[ Cost of Goods Sold ]]</f>
        <v>2284336000</v>
      </c>
      <c r="H959" s="3">
        <v>591611000</v>
      </c>
      <c r="I959" s="3">
        <v>825242000</v>
      </c>
      <c r="J959" s="3">
        <v>0</v>
      </c>
      <c r="K959" s="3">
        <f>Project_Data_NYSE[[#This Row],[Gross Profit]]-Project_Data_NYSE[[#This Row],[ Sales, General and Admin. ]]-Project_Data_NYSE[[#This Row],[ Research and Development ]]-Project_Data_NYSE[[#This Row],[ Other Operating Items ]]</f>
        <v>867483000</v>
      </c>
      <c r="L959" t="s">
        <v>21</v>
      </c>
      <c r="M959" t="s">
        <v>67</v>
      </c>
      <c r="N959" s="31">
        <f>Project_Data_NYSE[[#This Row],[Gross Profit]]/Project_Data_NYSE[[#This Row],[ Total Revenue ]]</f>
        <v>0.43434122181760654</v>
      </c>
      <c r="O959" s="31">
        <f>Project_Data_NYSE[[#This Row],[Operating Profit]]/Project_Data_NYSE[[#This Row],[ Total Revenue ]]</f>
        <v>0.16494229663499713</v>
      </c>
    </row>
    <row r="960" spans="1:15" x14ac:dyDescent="0.2">
      <c r="A960">
        <v>986</v>
      </c>
      <c r="B960" t="s">
        <v>360</v>
      </c>
      <c r="C960" t="s">
        <v>16</v>
      </c>
      <c r="D960" s="48">
        <v>42547</v>
      </c>
      <c r="E960" s="3">
        <v>5885893000</v>
      </c>
      <c r="F960" s="3">
        <v>3266971000</v>
      </c>
      <c r="G960" s="3">
        <f>Project_Data_NYSE[[#This Row],[ Total Revenue ]]-Project_Data_NYSE[[#This Row],[ Cost of Goods Sold ]]</f>
        <v>2618922000</v>
      </c>
      <c r="H960" s="3">
        <v>630954000</v>
      </c>
      <c r="I960" s="3">
        <v>913712000</v>
      </c>
      <c r="J960" s="3">
        <v>0</v>
      </c>
      <c r="K960" s="3">
        <f>Project_Data_NYSE[[#This Row],[Gross Profit]]-Project_Data_NYSE[[#This Row],[ Sales, General and Admin. ]]-Project_Data_NYSE[[#This Row],[ Research and Development ]]-Project_Data_NYSE[[#This Row],[ Other Operating Items ]]</f>
        <v>1074256000</v>
      </c>
      <c r="L960" t="s">
        <v>21</v>
      </c>
      <c r="M960" t="s">
        <v>67</v>
      </c>
      <c r="N960" s="31">
        <f>Project_Data_NYSE[[#This Row],[Gross Profit]]/Project_Data_NYSE[[#This Row],[ Total Revenue ]]</f>
        <v>0.44494896526321492</v>
      </c>
      <c r="O960" s="31">
        <f>Project_Data_NYSE[[#This Row],[Operating Profit]]/Project_Data_NYSE[[#This Row],[ Total Revenue ]]</f>
        <v>0.18251368144137176</v>
      </c>
    </row>
    <row r="961" spans="1:15" x14ac:dyDescent="0.2">
      <c r="A961">
        <v>987</v>
      </c>
      <c r="B961" t="s">
        <v>361</v>
      </c>
      <c r="C961" t="s">
        <v>11</v>
      </c>
      <c r="D961" s="48">
        <v>41274</v>
      </c>
      <c r="E961" s="3">
        <v>7810610000</v>
      </c>
      <c r="F961" s="3">
        <v>7479746000</v>
      </c>
      <c r="G961" s="3">
        <f>Project_Data_NYSE[[#This Row],[ Total Revenue ]]-Project_Data_NYSE[[#This Row],[ Cost of Goods Sold ]]</f>
        <v>330864000</v>
      </c>
      <c r="H961" s="3">
        <v>360586000</v>
      </c>
      <c r="I961" s="3">
        <v>0</v>
      </c>
      <c r="J961" s="3">
        <v>116388000</v>
      </c>
      <c r="K961" s="3">
        <f>Project_Data_NYSE[[#This Row],[Gross Profit]]-Project_Data_NYSE[[#This Row],[ Sales, General and Admin. ]]-Project_Data_NYSE[[#This Row],[ Research and Development ]]-Project_Data_NYSE[[#This Row],[ Other Operating Items ]]</f>
        <v>-146110000</v>
      </c>
      <c r="L961" t="s">
        <v>46</v>
      </c>
      <c r="M961" t="s">
        <v>362</v>
      </c>
      <c r="N961" s="31">
        <f>Project_Data_NYSE[[#This Row],[Gross Profit]]/Project_Data_NYSE[[#This Row],[ Total Revenue ]]</f>
        <v>4.2360839934396932E-2</v>
      </c>
      <c r="O961" s="31">
        <f>Project_Data_NYSE[[#This Row],[Operating Profit]]/Project_Data_NYSE[[#This Row],[ Total Revenue ]]</f>
        <v>-1.8706605502003044E-2</v>
      </c>
    </row>
    <row r="962" spans="1:15" x14ac:dyDescent="0.2">
      <c r="A962">
        <v>988</v>
      </c>
      <c r="B962" t="s">
        <v>361</v>
      </c>
      <c r="C962" t="s">
        <v>14</v>
      </c>
      <c r="D962" s="48">
        <v>41639</v>
      </c>
      <c r="E962" s="3">
        <v>9531778000</v>
      </c>
      <c r="F962" s="3">
        <v>7567707000</v>
      </c>
      <c r="G962" s="3">
        <f>Project_Data_NYSE[[#This Row],[ Total Revenue ]]-Project_Data_NYSE[[#This Row],[ Cost of Goods Sold ]]</f>
        <v>1964071000</v>
      </c>
      <c r="H962" s="3">
        <v>2177616000</v>
      </c>
      <c r="I962" s="3">
        <v>0</v>
      </c>
      <c r="J962" s="3">
        <v>167425000</v>
      </c>
      <c r="K962" s="3">
        <f>Project_Data_NYSE[[#This Row],[Gross Profit]]-Project_Data_NYSE[[#This Row],[ Sales, General and Admin. ]]-Project_Data_NYSE[[#This Row],[ Research and Development ]]-Project_Data_NYSE[[#This Row],[ Other Operating Items ]]</f>
        <v>-380970000</v>
      </c>
      <c r="L962" t="s">
        <v>46</v>
      </c>
      <c r="M962" t="s">
        <v>362</v>
      </c>
      <c r="N962" s="31">
        <f>Project_Data_NYSE[[#This Row],[Gross Profit]]/Project_Data_NYSE[[#This Row],[ Total Revenue ]]</f>
        <v>0.20605505079954653</v>
      </c>
      <c r="O962" s="31">
        <f>Project_Data_NYSE[[#This Row],[Operating Profit]]/Project_Data_NYSE[[#This Row],[ Total Revenue ]]</f>
        <v>-3.9968408832014343E-2</v>
      </c>
    </row>
    <row r="963" spans="1:15" x14ac:dyDescent="0.2">
      <c r="A963">
        <v>989</v>
      </c>
      <c r="B963" t="s">
        <v>361</v>
      </c>
      <c r="C963" t="s">
        <v>15</v>
      </c>
      <c r="D963" s="48">
        <v>42004</v>
      </c>
      <c r="E963" s="3">
        <v>10681897000</v>
      </c>
      <c r="F963" s="3">
        <v>8024286000</v>
      </c>
      <c r="G963" s="3">
        <f>Project_Data_NYSE[[#This Row],[ Total Revenue ]]-Project_Data_NYSE[[#This Row],[ Cost of Goods Sold ]]</f>
        <v>2657611000</v>
      </c>
      <c r="H963" s="3">
        <v>2856642000</v>
      </c>
      <c r="I963" s="3">
        <v>0</v>
      </c>
      <c r="J963" s="3">
        <v>185993000</v>
      </c>
      <c r="K963" s="3">
        <f>Project_Data_NYSE[[#This Row],[Gross Profit]]-Project_Data_NYSE[[#This Row],[ Sales, General and Admin. ]]-Project_Data_NYSE[[#This Row],[ Research and Development ]]-Project_Data_NYSE[[#This Row],[ Other Operating Items ]]</f>
        <v>-385024000</v>
      </c>
      <c r="L963" t="s">
        <v>46</v>
      </c>
      <c r="M963" t="s">
        <v>362</v>
      </c>
      <c r="N963" s="31">
        <f>Project_Data_NYSE[[#This Row],[Gross Profit]]/Project_Data_NYSE[[#This Row],[ Total Revenue ]]</f>
        <v>0.24879578973659827</v>
      </c>
      <c r="O963" s="31">
        <f>Project_Data_NYSE[[#This Row],[Operating Profit]]/Project_Data_NYSE[[#This Row],[ Total Revenue ]]</f>
        <v>-3.6044534037353103E-2</v>
      </c>
    </row>
    <row r="964" spans="1:15" x14ac:dyDescent="0.2">
      <c r="A964">
        <v>990</v>
      </c>
      <c r="B964" t="s">
        <v>361</v>
      </c>
      <c r="C964" t="s">
        <v>16</v>
      </c>
      <c r="D964" s="48">
        <v>42369</v>
      </c>
      <c r="E964" s="3">
        <v>10116502000</v>
      </c>
      <c r="F964" s="3">
        <v>7677233000</v>
      </c>
      <c r="G964" s="3">
        <f>Project_Data_NYSE[[#This Row],[ Total Revenue ]]-Project_Data_NYSE[[#This Row],[ Cost of Goods Sold ]]</f>
        <v>2439269000</v>
      </c>
      <c r="H964" s="3">
        <v>2620072000</v>
      </c>
      <c r="I964" s="3">
        <v>0</v>
      </c>
      <c r="J964" s="3">
        <v>224133000</v>
      </c>
      <c r="K964" s="3">
        <f>Project_Data_NYSE[[#This Row],[Gross Profit]]-Project_Data_NYSE[[#This Row],[ Sales, General and Admin. ]]-Project_Data_NYSE[[#This Row],[ Research and Development ]]-Project_Data_NYSE[[#This Row],[ Other Operating Items ]]</f>
        <v>-404936000</v>
      </c>
      <c r="L964" t="s">
        <v>46</v>
      </c>
      <c r="M964" t="s">
        <v>362</v>
      </c>
      <c r="N964" s="31">
        <f>Project_Data_NYSE[[#This Row],[Gross Profit]]/Project_Data_NYSE[[#This Row],[ Total Revenue ]]</f>
        <v>0.24111782906779439</v>
      </c>
      <c r="O964" s="31">
        <f>Project_Data_NYSE[[#This Row],[Operating Profit]]/Project_Data_NYSE[[#This Row],[ Total Revenue ]]</f>
        <v>-4.0027274249538031E-2</v>
      </c>
    </row>
    <row r="965" spans="1:15" x14ac:dyDescent="0.2">
      <c r="A965">
        <v>991</v>
      </c>
      <c r="B965" t="s">
        <v>363</v>
      </c>
      <c r="C965" t="s">
        <v>11</v>
      </c>
      <c r="D965" s="48">
        <v>41639</v>
      </c>
      <c r="E965" s="3">
        <v>17699000000</v>
      </c>
      <c r="F965" s="3">
        <v>8307000000</v>
      </c>
      <c r="G965" s="3">
        <f>Project_Data_NYSE[[#This Row],[ Total Revenue ]]-Project_Data_NYSE[[#This Row],[ Cost of Goods Sold ]]</f>
        <v>9392000000</v>
      </c>
      <c r="H965" s="3">
        <v>7161000000</v>
      </c>
      <c r="I965" s="3">
        <v>0</v>
      </c>
      <c r="J965" s="3">
        <v>867000000</v>
      </c>
      <c r="K965" s="3">
        <f>Project_Data_NYSE[[#This Row],[Gross Profit]]-Project_Data_NYSE[[#This Row],[ Sales, General and Admin. ]]-Project_Data_NYSE[[#This Row],[ Research and Development ]]-Project_Data_NYSE[[#This Row],[ Other Operating Items ]]</f>
        <v>1364000000</v>
      </c>
      <c r="L965" t="s">
        <v>12</v>
      </c>
      <c r="M965" t="s">
        <v>13</v>
      </c>
      <c r="N965" s="31">
        <f>Project_Data_NYSE[[#This Row],[Gross Profit]]/Project_Data_NYSE[[#This Row],[ Total Revenue ]]</f>
        <v>0.53065144923441998</v>
      </c>
      <c r="O965" s="31">
        <f>Project_Data_NYSE[[#This Row],[Operating Profit]]/Project_Data_NYSE[[#This Row],[ Total Revenue ]]</f>
        <v>7.706650093225606E-2</v>
      </c>
    </row>
    <row r="966" spans="1:15" x14ac:dyDescent="0.2">
      <c r="A966">
        <v>992</v>
      </c>
      <c r="B966" t="s">
        <v>363</v>
      </c>
      <c r="C966" t="s">
        <v>14</v>
      </c>
      <c r="D966" s="48">
        <v>42004</v>
      </c>
      <c r="E966" s="3">
        <v>18605000000</v>
      </c>
      <c r="F966" s="3">
        <v>7677000000</v>
      </c>
      <c r="G966" s="3">
        <f>Project_Data_NYSE[[#This Row],[ Total Revenue ]]-Project_Data_NYSE[[#This Row],[ Cost of Goods Sold ]]</f>
        <v>10928000000</v>
      </c>
      <c r="H966" s="3">
        <v>7639000000</v>
      </c>
      <c r="I966" s="3">
        <v>0</v>
      </c>
      <c r="J966" s="3">
        <v>938000000</v>
      </c>
      <c r="K966" s="3">
        <f>Project_Data_NYSE[[#This Row],[Gross Profit]]-Project_Data_NYSE[[#This Row],[ Sales, General and Admin. ]]-Project_Data_NYSE[[#This Row],[ Research and Development ]]-Project_Data_NYSE[[#This Row],[ Other Operating Items ]]</f>
        <v>2351000000</v>
      </c>
      <c r="L966" t="s">
        <v>12</v>
      </c>
      <c r="M966" t="s">
        <v>13</v>
      </c>
      <c r="N966" s="31">
        <f>Project_Data_NYSE[[#This Row],[Gross Profit]]/Project_Data_NYSE[[#This Row],[ Total Revenue ]]</f>
        <v>0.58736898683149696</v>
      </c>
      <c r="O966" s="31">
        <f>Project_Data_NYSE[[#This Row],[Operating Profit]]/Project_Data_NYSE[[#This Row],[ Total Revenue ]]</f>
        <v>0.12636388067723731</v>
      </c>
    </row>
    <row r="967" spans="1:15" x14ac:dyDescent="0.2">
      <c r="A967">
        <v>993</v>
      </c>
      <c r="B967" t="s">
        <v>363</v>
      </c>
      <c r="C967" t="s">
        <v>15</v>
      </c>
      <c r="D967" s="48">
        <v>42369</v>
      </c>
      <c r="E967" s="3">
        <v>19820000000</v>
      </c>
      <c r="F967" s="3">
        <v>6025000000</v>
      </c>
      <c r="G967" s="3">
        <f>Project_Data_NYSE[[#This Row],[ Total Revenue ]]-Project_Data_NYSE[[#This Row],[ Cost of Goods Sold ]]</f>
        <v>13795000000</v>
      </c>
      <c r="H967" s="3">
        <v>8625000000</v>
      </c>
      <c r="I967" s="3">
        <v>0</v>
      </c>
      <c r="J967" s="3">
        <v>1015000000</v>
      </c>
      <c r="K967" s="3">
        <f>Project_Data_NYSE[[#This Row],[Gross Profit]]-Project_Data_NYSE[[#This Row],[ Sales, General and Admin. ]]-Project_Data_NYSE[[#This Row],[ Research and Development ]]-Project_Data_NYSE[[#This Row],[ Other Operating Items ]]</f>
        <v>4155000000</v>
      </c>
      <c r="L967" t="s">
        <v>12</v>
      </c>
      <c r="M967" t="s">
        <v>13</v>
      </c>
      <c r="N967" s="31">
        <f>Project_Data_NYSE[[#This Row],[Gross Profit]]/Project_Data_NYSE[[#This Row],[ Total Revenue ]]</f>
        <v>0.69601412714429867</v>
      </c>
      <c r="O967" s="31">
        <f>Project_Data_NYSE[[#This Row],[Operating Profit]]/Project_Data_NYSE[[#This Row],[ Total Revenue ]]</f>
        <v>0.20963673057517659</v>
      </c>
    </row>
    <row r="968" spans="1:15" x14ac:dyDescent="0.2">
      <c r="A968">
        <v>994</v>
      </c>
      <c r="B968" t="s">
        <v>363</v>
      </c>
      <c r="C968" t="s">
        <v>16</v>
      </c>
      <c r="D968" s="48">
        <v>42735</v>
      </c>
      <c r="E968" s="3">
        <v>20425000000</v>
      </c>
      <c r="F968" s="3">
        <v>6132000000</v>
      </c>
      <c r="G968" s="3">
        <f>Project_Data_NYSE[[#This Row],[ Total Revenue ]]-Project_Data_NYSE[[#This Row],[ Cost of Goods Sold ]]</f>
        <v>14293000000</v>
      </c>
      <c r="H968" s="3">
        <v>9312000000</v>
      </c>
      <c r="I968" s="3">
        <v>0</v>
      </c>
      <c r="J968" s="3">
        <v>1221000000</v>
      </c>
      <c r="K968" s="3">
        <f>Project_Data_NYSE[[#This Row],[Gross Profit]]-Project_Data_NYSE[[#This Row],[ Sales, General and Admin. ]]-Project_Data_NYSE[[#This Row],[ Research and Development ]]-Project_Data_NYSE[[#This Row],[ Other Operating Items ]]</f>
        <v>3760000000</v>
      </c>
      <c r="L968" t="s">
        <v>12</v>
      </c>
      <c r="M968" t="s">
        <v>13</v>
      </c>
      <c r="N968" s="31">
        <f>Project_Data_NYSE[[#This Row],[Gross Profit]]/Project_Data_NYSE[[#This Row],[ Total Revenue ]]</f>
        <v>0.6997796817625459</v>
      </c>
      <c r="O968" s="31">
        <f>Project_Data_NYSE[[#This Row],[Operating Profit]]/Project_Data_NYSE[[#This Row],[ Total Revenue ]]</f>
        <v>0.18408812729498164</v>
      </c>
    </row>
    <row r="969" spans="1:15" x14ac:dyDescent="0.2">
      <c r="A969">
        <v>995</v>
      </c>
      <c r="B969" t="s">
        <v>364</v>
      </c>
      <c r="C969" t="s">
        <v>11</v>
      </c>
      <c r="D969" s="48">
        <v>41274</v>
      </c>
      <c r="E969" s="3">
        <v>6376000000</v>
      </c>
      <c r="F969" s="3">
        <v>3851000000</v>
      </c>
      <c r="G969" s="3">
        <f>Project_Data_NYSE[[#This Row],[ Total Revenue ]]-Project_Data_NYSE[[#This Row],[ Cost of Goods Sold ]]</f>
        <v>2525000000</v>
      </c>
      <c r="H969" s="3">
        <v>1201000000</v>
      </c>
      <c r="I969" s="3">
        <v>0</v>
      </c>
      <c r="J969" s="3">
        <v>749000000</v>
      </c>
      <c r="K969" s="3">
        <f>Project_Data_NYSE[[#This Row],[Gross Profit]]-Project_Data_NYSE[[#This Row],[ Sales, General and Admin. ]]-Project_Data_NYSE[[#This Row],[ Research and Development ]]-Project_Data_NYSE[[#This Row],[ Other Operating Items ]]</f>
        <v>575000000</v>
      </c>
      <c r="L969" t="s">
        <v>181</v>
      </c>
      <c r="M969" t="s">
        <v>365</v>
      </c>
      <c r="N969" s="31">
        <f>Project_Data_NYSE[[#This Row],[Gross Profit]]/Project_Data_NYSE[[#This Row],[ Total Revenue ]]</f>
        <v>0.3960163111668758</v>
      </c>
      <c r="O969" s="31">
        <f>Project_Data_NYSE[[#This Row],[Operating Profit]]/Project_Data_NYSE[[#This Row],[ Total Revenue ]]</f>
        <v>9.0181932245922206E-2</v>
      </c>
    </row>
    <row r="970" spans="1:15" x14ac:dyDescent="0.2">
      <c r="A970">
        <v>996</v>
      </c>
      <c r="B970" t="s">
        <v>364</v>
      </c>
      <c r="C970" t="s">
        <v>14</v>
      </c>
      <c r="D970" s="48">
        <v>41639</v>
      </c>
      <c r="E970" s="3">
        <v>6313000000</v>
      </c>
      <c r="F970" s="3">
        <v>3685000000</v>
      </c>
      <c r="G970" s="3">
        <f>Project_Data_NYSE[[#This Row],[ Total Revenue ]]-Project_Data_NYSE[[#This Row],[ Cost of Goods Sold ]]</f>
        <v>2628000000</v>
      </c>
      <c r="H970" s="3">
        <v>1162000000</v>
      </c>
      <c r="I970" s="3">
        <v>0</v>
      </c>
      <c r="J970" s="3">
        <v>800000000</v>
      </c>
      <c r="K970" s="3">
        <f>Project_Data_NYSE[[#This Row],[Gross Profit]]-Project_Data_NYSE[[#This Row],[ Sales, General and Admin. ]]-Project_Data_NYSE[[#This Row],[ Research and Development ]]-Project_Data_NYSE[[#This Row],[ Other Operating Items ]]</f>
        <v>666000000</v>
      </c>
      <c r="L970" t="s">
        <v>181</v>
      </c>
      <c r="M970" t="s">
        <v>365</v>
      </c>
      <c r="N970" s="31">
        <f>Project_Data_NYSE[[#This Row],[Gross Profit]]/Project_Data_NYSE[[#This Row],[ Total Revenue ]]</f>
        <v>0.41628385870426104</v>
      </c>
      <c r="O970" s="31">
        <f>Project_Data_NYSE[[#This Row],[Operating Profit]]/Project_Data_NYSE[[#This Row],[ Total Revenue ]]</f>
        <v>0.10549659432916204</v>
      </c>
    </row>
    <row r="971" spans="1:15" x14ac:dyDescent="0.2">
      <c r="A971">
        <v>997</v>
      </c>
      <c r="B971" t="s">
        <v>364</v>
      </c>
      <c r="C971" t="s">
        <v>15</v>
      </c>
      <c r="D971" s="48">
        <v>42004</v>
      </c>
      <c r="E971" s="3">
        <v>6777000000</v>
      </c>
      <c r="F971" s="3">
        <v>3775000000</v>
      </c>
      <c r="G971" s="3">
        <f>Project_Data_NYSE[[#This Row],[ Total Revenue ]]-Project_Data_NYSE[[#This Row],[ Cost of Goods Sold ]]</f>
        <v>3002000000</v>
      </c>
      <c r="H971" s="3">
        <v>1181000000</v>
      </c>
      <c r="I971" s="3">
        <v>0</v>
      </c>
      <c r="J971" s="3">
        <v>808000000</v>
      </c>
      <c r="K971" s="3">
        <f>Project_Data_NYSE[[#This Row],[Gross Profit]]-Project_Data_NYSE[[#This Row],[ Sales, General and Admin. ]]-Project_Data_NYSE[[#This Row],[ Research and Development ]]-Project_Data_NYSE[[#This Row],[ Other Operating Items ]]</f>
        <v>1013000000</v>
      </c>
      <c r="L971" t="s">
        <v>181</v>
      </c>
      <c r="M971" t="s">
        <v>365</v>
      </c>
      <c r="N971" s="31">
        <f>Project_Data_NYSE[[#This Row],[Gross Profit]]/Project_Data_NYSE[[#This Row],[ Total Revenue ]]</f>
        <v>0.44296886527962226</v>
      </c>
      <c r="O971" s="31">
        <f>Project_Data_NYSE[[#This Row],[Operating Profit]]/Project_Data_NYSE[[#This Row],[ Total Revenue ]]</f>
        <v>0.14947616939648811</v>
      </c>
    </row>
    <row r="972" spans="1:15" x14ac:dyDescent="0.2">
      <c r="A972">
        <v>998</v>
      </c>
      <c r="B972" t="s">
        <v>364</v>
      </c>
      <c r="C972" t="s">
        <v>16</v>
      </c>
      <c r="D972" s="48">
        <v>42369</v>
      </c>
      <c r="E972" s="3">
        <v>8229000000</v>
      </c>
      <c r="F972" s="3">
        <v>4265000000</v>
      </c>
      <c r="G972" s="3">
        <f>Project_Data_NYSE[[#This Row],[ Total Revenue ]]-Project_Data_NYSE[[#This Row],[ Cost of Goods Sold ]]</f>
        <v>3964000000</v>
      </c>
      <c r="H972" s="3">
        <v>1467000000</v>
      </c>
      <c r="I972" s="3">
        <v>0</v>
      </c>
      <c r="J972" s="3">
        <v>1166000000</v>
      </c>
      <c r="K972" s="3">
        <f>Project_Data_NYSE[[#This Row],[Gross Profit]]-Project_Data_NYSE[[#This Row],[ Sales, General and Admin. ]]-Project_Data_NYSE[[#This Row],[ Research and Development ]]-Project_Data_NYSE[[#This Row],[ Other Operating Items ]]</f>
        <v>1331000000</v>
      </c>
      <c r="L972" t="s">
        <v>181</v>
      </c>
      <c r="M972" t="s">
        <v>365</v>
      </c>
      <c r="N972" s="31">
        <f>Project_Data_NYSE[[#This Row],[Gross Profit]]/Project_Data_NYSE[[#This Row],[ Total Revenue ]]</f>
        <v>0.48171102199538218</v>
      </c>
      <c r="O972" s="31">
        <f>Project_Data_NYSE[[#This Row],[Operating Profit]]/Project_Data_NYSE[[#This Row],[ Total Revenue ]]</f>
        <v>0.16174504800097217</v>
      </c>
    </row>
    <row r="973" spans="1:15" x14ac:dyDescent="0.2">
      <c r="A973">
        <v>999</v>
      </c>
      <c r="B973" t="s">
        <v>366</v>
      </c>
      <c r="C973" t="s">
        <v>11</v>
      </c>
      <c r="D973" s="48">
        <v>41274</v>
      </c>
      <c r="E973" s="3">
        <v>45352000000</v>
      </c>
      <c r="F973" s="3">
        <v>39595000000</v>
      </c>
      <c r="G973" s="3">
        <f>Project_Data_NYSE[[#This Row],[ Total Revenue ]]-Project_Data_NYSE[[#This Row],[ Cost of Goods Sold ]]</f>
        <v>5757000000</v>
      </c>
      <c r="H973" s="3">
        <v>909000000</v>
      </c>
      <c r="I973" s="3">
        <v>172000000</v>
      </c>
      <c r="J973" s="3">
        <v>0</v>
      </c>
      <c r="K973" s="3">
        <f>Project_Data_NYSE[[#This Row],[Gross Profit]]-Project_Data_NYSE[[#This Row],[ Sales, General and Admin. ]]-Project_Data_NYSE[[#This Row],[ Research and Development ]]-Project_Data_NYSE[[#This Row],[ Other Operating Items ]]</f>
        <v>4676000000</v>
      </c>
      <c r="L973" t="s">
        <v>58</v>
      </c>
      <c r="M973" t="s">
        <v>192</v>
      </c>
      <c r="N973" s="31">
        <f>Project_Data_NYSE[[#This Row],[Gross Profit]]/Project_Data_NYSE[[#This Row],[ Total Revenue ]]</f>
        <v>0.1269403774916211</v>
      </c>
      <c r="O973" s="31">
        <f>Project_Data_NYSE[[#This Row],[Operating Profit]]/Project_Data_NYSE[[#This Row],[ Total Revenue ]]</f>
        <v>0.10310460398659375</v>
      </c>
    </row>
    <row r="974" spans="1:15" x14ac:dyDescent="0.2">
      <c r="A974">
        <v>1000</v>
      </c>
      <c r="B974" t="s">
        <v>366</v>
      </c>
      <c r="C974" t="s">
        <v>14</v>
      </c>
      <c r="D974" s="48">
        <v>41639</v>
      </c>
      <c r="E974" s="3">
        <v>44062000000</v>
      </c>
      <c r="F974" s="3">
        <v>37940000000</v>
      </c>
      <c r="G974" s="3">
        <f>Project_Data_NYSE[[#This Row],[ Total Revenue ]]-Project_Data_NYSE[[#This Row],[ Cost of Goods Sold ]]</f>
        <v>6122000000</v>
      </c>
      <c r="H974" s="3">
        <v>870000000</v>
      </c>
      <c r="I974" s="3">
        <v>150000000</v>
      </c>
      <c r="J974" s="3">
        <v>0</v>
      </c>
      <c r="K974" s="3">
        <f>Project_Data_NYSE[[#This Row],[Gross Profit]]-Project_Data_NYSE[[#This Row],[ Sales, General and Admin. ]]-Project_Data_NYSE[[#This Row],[ Research and Development ]]-Project_Data_NYSE[[#This Row],[ Other Operating Items ]]</f>
        <v>5102000000</v>
      </c>
      <c r="L974" t="s">
        <v>58</v>
      </c>
      <c r="M974" t="s">
        <v>192</v>
      </c>
      <c r="N974" s="31">
        <f>Project_Data_NYSE[[#This Row],[Gross Profit]]/Project_Data_NYSE[[#This Row],[ Total Revenue ]]</f>
        <v>0.13894058372293586</v>
      </c>
      <c r="O974" s="31">
        <f>Project_Data_NYSE[[#This Row],[Operating Profit]]/Project_Data_NYSE[[#This Row],[ Total Revenue ]]</f>
        <v>0.11579138486677863</v>
      </c>
    </row>
    <row r="975" spans="1:15" x14ac:dyDescent="0.2">
      <c r="A975">
        <v>1001</v>
      </c>
      <c r="B975" t="s">
        <v>366</v>
      </c>
      <c r="C975" t="s">
        <v>15</v>
      </c>
      <c r="D975" s="48">
        <v>42004</v>
      </c>
      <c r="E975" s="3">
        <v>45608000000</v>
      </c>
      <c r="F975" s="3">
        <v>38939000000</v>
      </c>
      <c r="G975" s="3">
        <f>Project_Data_NYSE[[#This Row],[ Total Revenue ]]-Project_Data_NYSE[[#This Row],[ Cost of Goods Sold ]]</f>
        <v>6669000000</v>
      </c>
      <c r="H975" s="3">
        <v>806000000</v>
      </c>
      <c r="I975" s="3">
        <v>127000000</v>
      </c>
      <c r="J975" s="3">
        <v>0</v>
      </c>
      <c r="K975" s="3">
        <f>Project_Data_NYSE[[#This Row],[Gross Profit]]-Project_Data_NYSE[[#This Row],[ Sales, General and Admin. ]]-Project_Data_NYSE[[#This Row],[ Research and Development ]]-Project_Data_NYSE[[#This Row],[ Other Operating Items ]]</f>
        <v>5736000000</v>
      </c>
      <c r="L975" t="s">
        <v>58</v>
      </c>
      <c r="M975" t="s">
        <v>192</v>
      </c>
      <c r="N975" s="31">
        <f>Project_Data_NYSE[[#This Row],[Gross Profit]]/Project_Data_NYSE[[#This Row],[ Total Revenue ]]</f>
        <v>0.14622434660585862</v>
      </c>
      <c r="O975" s="31">
        <f>Project_Data_NYSE[[#This Row],[Operating Profit]]/Project_Data_NYSE[[#This Row],[ Total Revenue ]]</f>
        <v>0.12576740922645149</v>
      </c>
    </row>
    <row r="976" spans="1:15" x14ac:dyDescent="0.2">
      <c r="A976">
        <v>1002</v>
      </c>
      <c r="B976" t="s">
        <v>366</v>
      </c>
      <c r="C976" t="s">
        <v>16</v>
      </c>
      <c r="D976" s="48">
        <v>42369</v>
      </c>
      <c r="E976" s="3">
        <v>32735000000</v>
      </c>
      <c r="F976" s="3">
        <v>25683000000</v>
      </c>
      <c r="G976" s="3">
        <f>Project_Data_NYSE[[#This Row],[ Total Revenue ]]-Project_Data_NYSE[[#This Row],[ Cost of Goods Sold ]]</f>
        <v>7052000000</v>
      </c>
      <c r="H976" s="3">
        <v>828000000</v>
      </c>
      <c r="I976" s="3">
        <v>102000000</v>
      </c>
      <c r="J976" s="3">
        <v>0</v>
      </c>
      <c r="K976" s="3">
        <f>Project_Data_NYSE[[#This Row],[Gross Profit]]-Project_Data_NYSE[[#This Row],[ Sales, General and Admin. ]]-Project_Data_NYSE[[#This Row],[ Research and Development ]]-Project_Data_NYSE[[#This Row],[ Other Operating Items ]]</f>
        <v>6122000000</v>
      </c>
      <c r="L976" t="s">
        <v>58</v>
      </c>
      <c r="M976" t="s">
        <v>192</v>
      </c>
      <c r="N976" s="31">
        <f>Project_Data_NYSE[[#This Row],[Gross Profit]]/Project_Data_NYSE[[#This Row],[ Total Revenue ]]</f>
        <v>0.21542691308996487</v>
      </c>
      <c r="O976" s="31">
        <f>Project_Data_NYSE[[#This Row],[Operating Profit]]/Project_Data_NYSE[[#This Row],[ Total Revenue ]]</f>
        <v>0.18701695433022758</v>
      </c>
    </row>
    <row r="977" spans="1:15" x14ac:dyDescent="0.2">
      <c r="A977">
        <v>1003</v>
      </c>
      <c r="B977" t="s">
        <v>367</v>
      </c>
      <c r="C977" t="s">
        <v>11</v>
      </c>
      <c r="D977" s="48">
        <v>41307</v>
      </c>
      <c r="E977" s="3">
        <v>27686000000</v>
      </c>
      <c r="F977" s="3">
        <v>16538000000</v>
      </c>
      <c r="G977" s="3">
        <f>Project_Data_NYSE[[#This Row],[ Total Revenue ]]-Project_Data_NYSE[[#This Row],[ Cost of Goods Sold ]]</f>
        <v>11148000000</v>
      </c>
      <c r="H977" s="3">
        <v>8482000000</v>
      </c>
      <c r="I977" s="3">
        <v>0</v>
      </c>
      <c r="J977" s="3">
        <v>0</v>
      </c>
      <c r="K977" s="3">
        <f>Project_Data_NYSE[[#This Row],[Gross Profit]]-Project_Data_NYSE[[#This Row],[ Sales, General and Admin. ]]-Project_Data_NYSE[[#This Row],[ Research and Development ]]-Project_Data_NYSE[[#This Row],[ Other Operating Items ]]</f>
        <v>2666000000</v>
      </c>
      <c r="L977" t="s">
        <v>18</v>
      </c>
      <c r="M977" t="s">
        <v>333</v>
      </c>
      <c r="N977" s="31">
        <f>Project_Data_NYSE[[#This Row],[Gross Profit]]/Project_Data_NYSE[[#This Row],[ Total Revenue ]]</f>
        <v>0.40265838329841797</v>
      </c>
      <c r="O977" s="31">
        <f>Project_Data_NYSE[[#This Row],[Operating Profit]]/Project_Data_NYSE[[#This Row],[ Total Revenue ]]</f>
        <v>9.6294155891064076E-2</v>
      </c>
    </row>
    <row r="978" spans="1:15" x14ac:dyDescent="0.2">
      <c r="A978">
        <v>1004</v>
      </c>
      <c r="B978" t="s">
        <v>367</v>
      </c>
      <c r="C978" t="s">
        <v>14</v>
      </c>
      <c r="D978" s="48">
        <v>41671</v>
      </c>
      <c r="E978" s="3">
        <v>27931000000</v>
      </c>
      <c r="F978" s="3">
        <v>16725000000</v>
      </c>
      <c r="G978" s="3">
        <f>Project_Data_NYSE[[#This Row],[ Total Revenue ]]-Project_Data_NYSE[[#This Row],[ Cost of Goods Sold ]]</f>
        <v>11206000000</v>
      </c>
      <c r="H978" s="3">
        <v>8440000000</v>
      </c>
      <c r="I978" s="3">
        <v>0</v>
      </c>
      <c r="J978" s="3">
        <v>0</v>
      </c>
      <c r="K978" s="3">
        <f>Project_Data_NYSE[[#This Row],[Gross Profit]]-Project_Data_NYSE[[#This Row],[ Sales, General and Admin. ]]-Project_Data_NYSE[[#This Row],[ Research and Development ]]-Project_Data_NYSE[[#This Row],[ Other Operating Items ]]</f>
        <v>2766000000</v>
      </c>
      <c r="L978" t="s">
        <v>18</v>
      </c>
      <c r="M978" t="s">
        <v>333</v>
      </c>
      <c r="N978" s="31">
        <f>Project_Data_NYSE[[#This Row],[Gross Profit]]/Project_Data_NYSE[[#This Row],[ Total Revenue ]]</f>
        <v>0.40120296444810427</v>
      </c>
      <c r="O978" s="31">
        <f>Project_Data_NYSE[[#This Row],[Operating Profit]]/Project_Data_NYSE[[#This Row],[ Total Revenue ]]</f>
        <v>9.9029751888582582E-2</v>
      </c>
    </row>
    <row r="979" spans="1:15" x14ac:dyDescent="0.2">
      <c r="A979">
        <v>1005</v>
      </c>
      <c r="B979" t="s">
        <v>367</v>
      </c>
      <c r="C979" t="s">
        <v>15</v>
      </c>
      <c r="D979" s="48">
        <v>42035</v>
      </c>
      <c r="E979" s="3">
        <v>28105000000</v>
      </c>
      <c r="F979" s="3">
        <v>16863000000</v>
      </c>
      <c r="G979" s="3">
        <f>Project_Data_NYSE[[#This Row],[ Total Revenue ]]-Project_Data_NYSE[[#This Row],[ Cost of Goods Sold ]]</f>
        <v>11242000000</v>
      </c>
      <c r="H979" s="3">
        <v>8355000000</v>
      </c>
      <c r="I979" s="3">
        <v>0</v>
      </c>
      <c r="J979" s="3">
        <v>0</v>
      </c>
      <c r="K979" s="3">
        <f>Project_Data_NYSE[[#This Row],[Gross Profit]]-Project_Data_NYSE[[#This Row],[ Sales, General and Admin. ]]-Project_Data_NYSE[[#This Row],[ Research and Development ]]-Project_Data_NYSE[[#This Row],[ Other Operating Items ]]</f>
        <v>2887000000</v>
      </c>
      <c r="L979" t="s">
        <v>18</v>
      </c>
      <c r="M979" t="s">
        <v>333</v>
      </c>
      <c r="N979" s="31">
        <f>Project_Data_NYSE[[#This Row],[Gross Profit]]/Project_Data_NYSE[[#This Row],[ Total Revenue ]]</f>
        <v>0.4</v>
      </c>
      <c r="O979" s="31">
        <f>Project_Data_NYSE[[#This Row],[Operating Profit]]/Project_Data_NYSE[[#This Row],[ Total Revenue ]]</f>
        <v>0.10272193559864792</v>
      </c>
    </row>
    <row r="980" spans="1:15" x14ac:dyDescent="0.2">
      <c r="A980">
        <v>1006</v>
      </c>
      <c r="B980" t="s">
        <v>367</v>
      </c>
      <c r="C980" t="s">
        <v>16</v>
      </c>
      <c r="D980" s="48">
        <v>42399</v>
      </c>
      <c r="E980" s="3">
        <v>27079000000</v>
      </c>
      <c r="F980" s="3">
        <v>16496000000</v>
      </c>
      <c r="G980" s="3">
        <f>Project_Data_NYSE[[#This Row],[ Total Revenue ]]-Project_Data_NYSE[[#This Row],[ Cost of Goods Sold ]]</f>
        <v>10583000000</v>
      </c>
      <c r="H980" s="3">
        <v>8256000000</v>
      </c>
      <c r="I980" s="3">
        <v>0</v>
      </c>
      <c r="J980" s="3">
        <v>0</v>
      </c>
      <c r="K980" s="3">
        <f>Project_Data_NYSE[[#This Row],[Gross Profit]]-Project_Data_NYSE[[#This Row],[ Sales, General and Admin. ]]-Project_Data_NYSE[[#This Row],[ Research and Development ]]-Project_Data_NYSE[[#This Row],[ Other Operating Items ]]</f>
        <v>2327000000</v>
      </c>
      <c r="L980" t="s">
        <v>18</v>
      </c>
      <c r="M980" t="s">
        <v>333</v>
      </c>
      <c r="N980" s="31">
        <f>Project_Data_NYSE[[#This Row],[Gross Profit]]/Project_Data_NYSE[[#This Row],[ Total Revenue ]]</f>
        <v>0.39081945418959341</v>
      </c>
      <c r="O980" s="31">
        <f>Project_Data_NYSE[[#This Row],[Operating Profit]]/Project_Data_NYSE[[#This Row],[ Total Revenue ]]</f>
        <v>8.5933749399903989E-2</v>
      </c>
    </row>
    <row r="981" spans="1:15" x14ac:dyDescent="0.2">
      <c r="A981">
        <v>1007</v>
      </c>
      <c r="B981" t="s">
        <v>368</v>
      </c>
      <c r="C981" t="s">
        <v>11</v>
      </c>
      <c r="D981" s="48">
        <v>41639</v>
      </c>
      <c r="E981" s="3">
        <v>8312000000</v>
      </c>
      <c r="F981" s="3">
        <v>0</v>
      </c>
      <c r="G981" s="3">
        <f>Project_Data_NYSE[[#This Row],[ Total Revenue ]]-Project_Data_NYSE[[#This Row],[ Cost of Goods Sold ]]</f>
        <v>8312000000</v>
      </c>
      <c r="H981" s="3">
        <v>3456000000</v>
      </c>
      <c r="I981" s="3">
        <v>0</v>
      </c>
      <c r="J981" s="3">
        <v>258000000</v>
      </c>
      <c r="K981" s="3">
        <f>Project_Data_NYSE[[#This Row],[Gross Profit]]-Project_Data_NYSE[[#This Row],[ Sales, General and Admin. ]]-Project_Data_NYSE[[#This Row],[ Research and Development ]]-Project_Data_NYSE[[#This Row],[ Other Operating Items ]]</f>
        <v>4598000000</v>
      </c>
      <c r="L981" t="s">
        <v>21</v>
      </c>
      <c r="M981" t="s">
        <v>56</v>
      </c>
      <c r="N981" s="31">
        <f>Project_Data_NYSE[[#This Row],[Gross Profit]]/Project_Data_NYSE[[#This Row],[ Total Revenue ]]</f>
        <v>1</v>
      </c>
      <c r="O981" s="31">
        <f>Project_Data_NYSE[[#This Row],[Operating Profit]]/Project_Data_NYSE[[#This Row],[ Total Revenue ]]</f>
        <v>0.55317613089509143</v>
      </c>
    </row>
    <row r="982" spans="1:15" x14ac:dyDescent="0.2">
      <c r="A982">
        <v>1008</v>
      </c>
      <c r="B982" t="s">
        <v>368</v>
      </c>
      <c r="C982" t="s">
        <v>14</v>
      </c>
      <c r="D982" s="48">
        <v>42004</v>
      </c>
      <c r="E982" s="3">
        <v>9441000000</v>
      </c>
      <c r="F982" s="3">
        <v>0</v>
      </c>
      <c r="G982" s="3">
        <f>Project_Data_NYSE[[#This Row],[ Total Revenue ]]-Project_Data_NYSE[[#This Row],[ Cost of Goods Sold ]]</f>
        <v>9441000000</v>
      </c>
      <c r="H982" s="3">
        <v>4014000000</v>
      </c>
      <c r="I982" s="3">
        <v>0</v>
      </c>
      <c r="J982" s="3">
        <v>321000000</v>
      </c>
      <c r="K982" s="3">
        <f>Project_Data_NYSE[[#This Row],[Gross Profit]]-Project_Data_NYSE[[#This Row],[ Sales, General and Admin. ]]-Project_Data_NYSE[[#This Row],[ Research and Development ]]-Project_Data_NYSE[[#This Row],[ Other Operating Items ]]</f>
        <v>5106000000</v>
      </c>
      <c r="L982" t="s">
        <v>21</v>
      </c>
      <c r="M982" t="s">
        <v>56</v>
      </c>
      <c r="N982" s="31">
        <f>Project_Data_NYSE[[#This Row],[Gross Profit]]/Project_Data_NYSE[[#This Row],[ Total Revenue ]]</f>
        <v>1</v>
      </c>
      <c r="O982" s="31">
        <f>Project_Data_NYSE[[#This Row],[Operating Profit]]/Project_Data_NYSE[[#This Row],[ Total Revenue ]]</f>
        <v>0.54083253892596128</v>
      </c>
    </row>
    <row r="983" spans="1:15" x14ac:dyDescent="0.2">
      <c r="A983">
        <v>1009</v>
      </c>
      <c r="B983" t="s">
        <v>368</v>
      </c>
      <c r="C983" t="s">
        <v>15</v>
      </c>
      <c r="D983" s="48">
        <v>42369</v>
      </c>
      <c r="E983" s="3">
        <v>9667000000</v>
      </c>
      <c r="F983" s="3">
        <v>0</v>
      </c>
      <c r="G983" s="3">
        <f>Project_Data_NYSE[[#This Row],[ Total Revenue ]]-Project_Data_NYSE[[#This Row],[ Cost of Goods Sold ]]</f>
        <v>9667000000</v>
      </c>
      <c r="H983" s="3">
        <v>4162000000</v>
      </c>
      <c r="I983" s="3">
        <v>0</v>
      </c>
      <c r="J983" s="3">
        <v>366000000</v>
      </c>
      <c r="K983" s="3">
        <f>Project_Data_NYSE[[#This Row],[Gross Profit]]-Project_Data_NYSE[[#This Row],[ Sales, General and Admin. ]]-Project_Data_NYSE[[#This Row],[ Research and Development ]]-Project_Data_NYSE[[#This Row],[ Other Operating Items ]]</f>
        <v>5139000000</v>
      </c>
      <c r="L983" t="s">
        <v>21</v>
      </c>
      <c r="M983" t="s">
        <v>56</v>
      </c>
      <c r="N983" s="31">
        <f>Project_Data_NYSE[[#This Row],[Gross Profit]]/Project_Data_NYSE[[#This Row],[ Total Revenue ]]</f>
        <v>1</v>
      </c>
      <c r="O983" s="31">
        <f>Project_Data_NYSE[[#This Row],[Operating Profit]]/Project_Data_NYSE[[#This Row],[ Total Revenue ]]</f>
        <v>0.53160235853936066</v>
      </c>
    </row>
    <row r="984" spans="1:15" x14ac:dyDescent="0.2">
      <c r="A984">
        <v>1010</v>
      </c>
      <c r="B984" t="s">
        <v>368</v>
      </c>
      <c r="C984" t="s">
        <v>16</v>
      </c>
      <c r="D984" s="48">
        <v>42735</v>
      </c>
      <c r="E984" s="3">
        <v>10776000000</v>
      </c>
      <c r="F984" s="3">
        <v>0</v>
      </c>
      <c r="G984" s="3">
        <f>Project_Data_NYSE[[#This Row],[ Total Revenue ]]-Project_Data_NYSE[[#This Row],[ Cost of Goods Sold ]]</f>
        <v>10776000000</v>
      </c>
      <c r="H984" s="3">
        <v>4525000000</v>
      </c>
      <c r="I984" s="3">
        <v>0</v>
      </c>
      <c r="J984" s="3">
        <v>373000000</v>
      </c>
      <c r="K984" s="3">
        <f>Project_Data_NYSE[[#This Row],[Gross Profit]]-Project_Data_NYSE[[#This Row],[ Sales, General and Admin. ]]-Project_Data_NYSE[[#This Row],[ Research and Development ]]-Project_Data_NYSE[[#This Row],[ Other Operating Items ]]</f>
        <v>5878000000</v>
      </c>
      <c r="L984" t="s">
        <v>21</v>
      </c>
      <c r="M984" t="s">
        <v>56</v>
      </c>
      <c r="N984" s="31">
        <f>Project_Data_NYSE[[#This Row],[Gross Profit]]/Project_Data_NYSE[[#This Row],[ Total Revenue ]]</f>
        <v>1</v>
      </c>
      <c r="O984" s="31">
        <f>Project_Data_NYSE[[#This Row],[Operating Profit]]/Project_Data_NYSE[[#This Row],[ Total Revenue ]]</f>
        <v>0.54547141796585008</v>
      </c>
    </row>
    <row r="985" spans="1:15" x14ac:dyDescent="0.2">
      <c r="A985">
        <v>1011</v>
      </c>
      <c r="B985" t="s">
        <v>369</v>
      </c>
      <c r="C985" t="s">
        <v>11</v>
      </c>
      <c r="D985" s="48">
        <v>41274</v>
      </c>
      <c r="E985" s="3">
        <v>475888000</v>
      </c>
      <c r="F985" s="3">
        <v>117275000</v>
      </c>
      <c r="G985" s="3">
        <f>Project_Data_NYSE[[#This Row],[ Total Revenue ]]-Project_Data_NYSE[[#This Row],[ Cost of Goods Sold ]]</f>
        <v>358613000</v>
      </c>
      <c r="H985" s="3">
        <v>47115000</v>
      </c>
      <c r="I985" s="3">
        <v>0</v>
      </c>
      <c r="J985" s="3">
        <v>121211000</v>
      </c>
      <c r="K985" s="3">
        <f>Project_Data_NYSE[[#This Row],[Gross Profit]]-Project_Data_NYSE[[#This Row],[ Sales, General and Admin. ]]-Project_Data_NYSE[[#This Row],[ Research and Development ]]-Project_Data_NYSE[[#This Row],[ Other Operating Items ]]</f>
        <v>190287000</v>
      </c>
      <c r="L985" t="s">
        <v>51</v>
      </c>
      <c r="M985" t="s">
        <v>233</v>
      </c>
      <c r="N985" s="31">
        <f>Project_Data_NYSE[[#This Row],[Gross Profit]]/Project_Data_NYSE[[#This Row],[ Total Revenue ]]</f>
        <v>0.75356596510103213</v>
      </c>
      <c r="O985" s="31">
        <f>Project_Data_NYSE[[#This Row],[Operating Profit]]/Project_Data_NYSE[[#This Row],[ Total Revenue ]]</f>
        <v>0.39985668896883303</v>
      </c>
    </row>
    <row r="986" spans="1:15" x14ac:dyDescent="0.2">
      <c r="A986">
        <v>1012</v>
      </c>
      <c r="B986" t="s">
        <v>369</v>
      </c>
      <c r="C986" t="s">
        <v>14</v>
      </c>
      <c r="D986" s="48">
        <v>41639</v>
      </c>
      <c r="E986" s="3">
        <v>635490000</v>
      </c>
      <c r="F986" s="3">
        <v>172050000</v>
      </c>
      <c r="G986" s="3">
        <f>Project_Data_NYSE[[#This Row],[ Total Revenue ]]-Project_Data_NYSE[[#This Row],[ Cost of Goods Sold ]]</f>
        <v>463440000</v>
      </c>
      <c r="H986" s="3">
        <v>43720000</v>
      </c>
      <c r="I986" s="3">
        <v>0</v>
      </c>
      <c r="J986" s="3">
        <v>186979000</v>
      </c>
      <c r="K986" s="3">
        <f>Project_Data_NYSE[[#This Row],[Gross Profit]]-Project_Data_NYSE[[#This Row],[ Sales, General and Admin. ]]-Project_Data_NYSE[[#This Row],[ Research and Development ]]-Project_Data_NYSE[[#This Row],[ Other Operating Items ]]</f>
        <v>232741000</v>
      </c>
      <c r="L986" t="s">
        <v>51</v>
      </c>
      <c r="M986" t="s">
        <v>233</v>
      </c>
      <c r="N986" s="31">
        <f>Project_Data_NYSE[[#This Row],[Gross Profit]]/Project_Data_NYSE[[#This Row],[ Total Revenue ]]</f>
        <v>0.72926403247887461</v>
      </c>
      <c r="O986" s="31">
        <f>Project_Data_NYSE[[#This Row],[Operating Profit]]/Project_Data_NYSE[[#This Row],[ Total Revenue ]]</f>
        <v>0.36623865049017296</v>
      </c>
    </row>
    <row r="987" spans="1:15" x14ac:dyDescent="0.2">
      <c r="A987">
        <v>1013</v>
      </c>
      <c r="B987" t="s">
        <v>369</v>
      </c>
      <c r="C987" t="s">
        <v>15</v>
      </c>
      <c r="D987" s="48">
        <v>42004</v>
      </c>
      <c r="E987" s="3">
        <v>992332000</v>
      </c>
      <c r="F987" s="3">
        <v>275379000</v>
      </c>
      <c r="G987" s="3">
        <f>Project_Data_NYSE[[#This Row],[ Total Revenue ]]-Project_Data_NYSE[[#This Row],[ Cost of Goods Sold ]]</f>
        <v>716953000</v>
      </c>
      <c r="H987" s="3">
        <v>57664000</v>
      </c>
      <c r="I987" s="3">
        <v>0</v>
      </c>
      <c r="J987" s="3">
        <v>301812000</v>
      </c>
      <c r="K987" s="3">
        <f>Project_Data_NYSE[[#This Row],[Gross Profit]]-Project_Data_NYSE[[#This Row],[ Sales, General and Admin. ]]-Project_Data_NYSE[[#This Row],[ Research and Development ]]-Project_Data_NYSE[[#This Row],[ Other Operating Items ]]</f>
        <v>357477000</v>
      </c>
      <c r="L987" t="s">
        <v>51</v>
      </c>
      <c r="M987" t="s">
        <v>233</v>
      </c>
      <c r="N987" s="31">
        <f>Project_Data_NYSE[[#This Row],[Gross Profit]]/Project_Data_NYSE[[#This Row],[ Total Revenue ]]</f>
        <v>0.72249307691377485</v>
      </c>
      <c r="O987" s="31">
        <f>Project_Data_NYSE[[#This Row],[Operating Profit]]/Project_Data_NYSE[[#This Row],[ Total Revenue ]]</f>
        <v>0.36023931506794099</v>
      </c>
    </row>
    <row r="988" spans="1:15" x14ac:dyDescent="0.2">
      <c r="A988">
        <v>1014</v>
      </c>
      <c r="B988" t="s">
        <v>369</v>
      </c>
      <c r="C988" t="s">
        <v>16</v>
      </c>
      <c r="D988" s="48">
        <v>42369</v>
      </c>
      <c r="E988" s="3">
        <v>1042779000</v>
      </c>
      <c r="F988" s="3">
        <v>280901000</v>
      </c>
      <c r="G988" s="3">
        <f>Project_Data_NYSE[[#This Row],[ Total Revenue ]]-Project_Data_NYSE[[#This Row],[ Cost of Goods Sold ]]</f>
        <v>761878000</v>
      </c>
      <c r="H988" s="3">
        <v>53992000</v>
      </c>
      <c r="I988" s="3">
        <v>0</v>
      </c>
      <c r="J988" s="3">
        <v>294520000</v>
      </c>
      <c r="K988" s="3">
        <f>Project_Data_NYSE[[#This Row],[Gross Profit]]-Project_Data_NYSE[[#This Row],[ Sales, General and Admin. ]]-Project_Data_NYSE[[#This Row],[ Research and Development ]]-Project_Data_NYSE[[#This Row],[ Other Operating Items ]]</f>
        <v>413366000</v>
      </c>
      <c r="L988" t="s">
        <v>51</v>
      </c>
      <c r="M988" t="s">
        <v>233</v>
      </c>
      <c r="N988" s="31">
        <f>Project_Data_NYSE[[#This Row],[Gross Profit]]/Project_Data_NYSE[[#This Row],[ Total Revenue ]]</f>
        <v>0.73062269186471918</v>
      </c>
      <c r="O988" s="31">
        <f>Project_Data_NYSE[[#This Row],[Operating Profit]]/Project_Data_NYSE[[#This Row],[ Total Revenue ]]</f>
        <v>0.39640805961761794</v>
      </c>
    </row>
    <row r="989" spans="1:15" x14ac:dyDescent="0.2">
      <c r="A989">
        <v>1015</v>
      </c>
      <c r="B989" t="s">
        <v>370</v>
      </c>
      <c r="C989" t="s">
        <v>11</v>
      </c>
      <c r="D989" s="48">
        <v>41274</v>
      </c>
      <c r="E989" s="3">
        <v>797517000</v>
      </c>
      <c r="F989" s="3">
        <v>337533000</v>
      </c>
      <c r="G989" s="3">
        <f>Project_Data_NYSE[[#This Row],[ Total Revenue ]]-Project_Data_NYSE[[#This Row],[ Cost of Goods Sold ]]</f>
        <v>459984000</v>
      </c>
      <c r="H989" s="3">
        <v>20412000</v>
      </c>
      <c r="I989" s="3">
        <v>0</v>
      </c>
      <c r="J989" s="3">
        <v>277621000</v>
      </c>
      <c r="K989" s="3">
        <f>Project_Data_NYSE[[#This Row],[Gross Profit]]-Project_Data_NYSE[[#This Row],[ Sales, General and Admin. ]]-Project_Data_NYSE[[#This Row],[ Research and Development ]]-Project_Data_NYSE[[#This Row],[ Other Operating Items ]]</f>
        <v>161951000</v>
      </c>
      <c r="L989" t="s">
        <v>51</v>
      </c>
      <c r="M989" t="s">
        <v>264</v>
      </c>
      <c r="N989" s="31">
        <f>Project_Data_NYSE[[#This Row],[Gross Profit]]/Project_Data_NYSE[[#This Row],[ Total Revenue ]]</f>
        <v>0.57677015035416168</v>
      </c>
      <c r="O989" s="31">
        <f>Project_Data_NYSE[[#This Row],[Operating Profit]]/Project_Data_NYSE[[#This Row],[ Total Revenue ]]</f>
        <v>0.20306902548785793</v>
      </c>
    </row>
    <row r="990" spans="1:15" x14ac:dyDescent="0.2">
      <c r="A990">
        <v>1016</v>
      </c>
      <c r="B990" t="s">
        <v>370</v>
      </c>
      <c r="C990" t="s">
        <v>14</v>
      </c>
      <c r="D990" s="48">
        <v>41639</v>
      </c>
      <c r="E990" s="3">
        <v>1029475000</v>
      </c>
      <c r="F990" s="3">
        <v>423256000</v>
      </c>
      <c r="G990" s="3">
        <f>Project_Data_NYSE[[#This Row],[ Total Revenue ]]-Project_Data_NYSE[[#This Row],[ Cost of Goods Sold ]]</f>
        <v>606219000</v>
      </c>
      <c r="H990" s="3">
        <v>27772000</v>
      </c>
      <c r="I990" s="3">
        <v>0</v>
      </c>
      <c r="J990" s="3">
        <v>357165000</v>
      </c>
      <c r="K990" s="3">
        <f>Project_Data_NYSE[[#This Row],[Gross Profit]]-Project_Data_NYSE[[#This Row],[ Sales, General and Admin. ]]-Project_Data_NYSE[[#This Row],[ Research and Development ]]-Project_Data_NYSE[[#This Row],[ Other Operating Items ]]</f>
        <v>221282000</v>
      </c>
      <c r="L990" t="s">
        <v>51</v>
      </c>
      <c r="M990" t="s">
        <v>264</v>
      </c>
      <c r="N990" s="31">
        <f>Project_Data_NYSE[[#This Row],[Gross Profit]]/Project_Data_NYSE[[#This Row],[ Total Revenue ]]</f>
        <v>0.58886228417397213</v>
      </c>
      <c r="O990" s="31">
        <f>Project_Data_NYSE[[#This Row],[Operating Profit]]/Project_Data_NYSE[[#This Row],[ Total Revenue ]]</f>
        <v>0.21494645328929796</v>
      </c>
    </row>
    <row r="991" spans="1:15" x14ac:dyDescent="0.2">
      <c r="A991">
        <v>1017</v>
      </c>
      <c r="B991" t="s">
        <v>370</v>
      </c>
      <c r="C991" t="s">
        <v>15</v>
      </c>
      <c r="D991" s="48">
        <v>42004</v>
      </c>
      <c r="E991" s="3">
        <v>1105247000</v>
      </c>
      <c r="F991" s="3">
        <v>441929000</v>
      </c>
      <c r="G991" s="3">
        <f>Project_Data_NYSE[[#This Row],[ Total Revenue ]]-Project_Data_NYSE[[#This Row],[ Cost of Goods Sold ]]</f>
        <v>663318000</v>
      </c>
      <c r="H991" s="3">
        <v>29412000</v>
      </c>
      <c r="I991" s="3">
        <v>0</v>
      </c>
      <c r="J991" s="3">
        <v>378716000</v>
      </c>
      <c r="K991" s="3">
        <f>Project_Data_NYSE[[#This Row],[Gross Profit]]-Project_Data_NYSE[[#This Row],[ Sales, General and Admin. ]]-Project_Data_NYSE[[#This Row],[ Research and Development ]]-Project_Data_NYSE[[#This Row],[ Other Operating Items ]]</f>
        <v>255190000</v>
      </c>
      <c r="L991" t="s">
        <v>51</v>
      </c>
      <c r="M991" t="s">
        <v>264</v>
      </c>
      <c r="N991" s="31">
        <f>Project_Data_NYSE[[#This Row],[Gross Profit]]/Project_Data_NYSE[[#This Row],[ Total Revenue ]]</f>
        <v>0.60015363081736484</v>
      </c>
      <c r="O991" s="31">
        <f>Project_Data_NYSE[[#This Row],[Operating Profit]]/Project_Data_NYSE[[#This Row],[ Total Revenue ]]</f>
        <v>0.23088956586174855</v>
      </c>
    </row>
    <row r="992" spans="1:15" x14ac:dyDescent="0.2">
      <c r="A992">
        <v>1018</v>
      </c>
      <c r="B992" t="s">
        <v>370</v>
      </c>
      <c r="C992" t="s">
        <v>16</v>
      </c>
      <c r="D992" s="48">
        <v>42369</v>
      </c>
      <c r="E992" s="3">
        <v>1288149000</v>
      </c>
      <c r="F992" s="3">
        <v>497359000</v>
      </c>
      <c r="G992" s="3">
        <f>Project_Data_NYSE[[#This Row],[ Total Revenue ]]-Project_Data_NYSE[[#This Row],[ Cost of Goods Sold ]]</f>
        <v>790790000</v>
      </c>
      <c r="H992" s="3">
        <v>29870000</v>
      </c>
      <c r="I992" s="3">
        <v>0</v>
      </c>
      <c r="J992" s="3">
        <v>464472000</v>
      </c>
      <c r="K992" s="3">
        <f>Project_Data_NYSE[[#This Row],[Gross Profit]]-Project_Data_NYSE[[#This Row],[ Sales, General and Admin. ]]-Project_Data_NYSE[[#This Row],[ Research and Development ]]-Project_Data_NYSE[[#This Row],[ Other Operating Items ]]</f>
        <v>296448000</v>
      </c>
      <c r="L992" t="s">
        <v>51</v>
      </c>
      <c r="M992" t="s">
        <v>264</v>
      </c>
      <c r="N992" s="31">
        <f>Project_Data_NYSE[[#This Row],[Gross Profit]]/Project_Data_NYSE[[#This Row],[ Total Revenue ]]</f>
        <v>0.61389637378905704</v>
      </c>
      <c r="O992" s="31">
        <f>Project_Data_NYSE[[#This Row],[Operating Profit]]/Project_Data_NYSE[[#This Row],[ Total Revenue ]]</f>
        <v>0.23013486793841395</v>
      </c>
    </row>
    <row r="993" spans="1:15" x14ac:dyDescent="0.2">
      <c r="A993">
        <v>1019</v>
      </c>
      <c r="B993" t="s">
        <v>371</v>
      </c>
      <c r="C993" t="s">
        <v>11</v>
      </c>
      <c r="D993" s="48">
        <v>41274</v>
      </c>
      <c r="E993" s="3">
        <v>11814000000</v>
      </c>
      <c r="F993" s="3">
        <v>10190000000</v>
      </c>
      <c r="G993" s="3">
        <f>Project_Data_NYSE[[#This Row],[ Total Revenue ]]-Project_Data_NYSE[[#This Row],[ Cost of Goods Sold ]]</f>
        <v>1624000000</v>
      </c>
      <c r="H993" s="3">
        <v>582000000</v>
      </c>
      <c r="I993" s="3">
        <v>0</v>
      </c>
      <c r="J993" s="3">
        <v>102000000</v>
      </c>
      <c r="K993" s="3">
        <f>Project_Data_NYSE[[#This Row],[Gross Profit]]-Project_Data_NYSE[[#This Row],[ Sales, General and Admin. ]]-Project_Data_NYSE[[#This Row],[ Research and Development ]]-Project_Data_NYSE[[#This Row],[ Other Operating Items ]]</f>
        <v>940000000</v>
      </c>
      <c r="L993" t="s">
        <v>18</v>
      </c>
      <c r="M993" t="s">
        <v>132</v>
      </c>
      <c r="N993" s="31">
        <f>Project_Data_NYSE[[#This Row],[Gross Profit]]/Project_Data_NYSE[[#This Row],[ Total Revenue ]]</f>
        <v>0.13746402573218217</v>
      </c>
      <c r="O993" s="31">
        <f>Project_Data_NYSE[[#This Row],[Operating Profit]]/Project_Data_NYSE[[#This Row],[ Total Revenue ]]</f>
        <v>7.9566615879465036E-2</v>
      </c>
    </row>
    <row r="994" spans="1:15" x14ac:dyDescent="0.2">
      <c r="A994">
        <v>1020</v>
      </c>
      <c r="B994" t="s">
        <v>371</v>
      </c>
      <c r="C994" t="s">
        <v>14</v>
      </c>
      <c r="D994" s="48">
        <v>41639</v>
      </c>
      <c r="E994" s="3">
        <v>12784000000</v>
      </c>
      <c r="F994" s="3">
        <v>11020000000</v>
      </c>
      <c r="G994" s="3">
        <f>Project_Data_NYSE[[#This Row],[ Total Revenue ]]-Project_Data_NYSE[[#This Row],[ Cost of Goods Sold ]]</f>
        <v>1764000000</v>
      </c>
      <c r="H994" s="3">
        <v>649000000</v>
      </c>
      <c r="I994" s="3">
        <v>0</v>
      </c>
      <c r="J994" s="3">
        <v>127000000</v>
      </c>
      <c r="K994" s="3">
        <f>Project_Data_NYSE[[#This Row],[Gross Profit]]-Project_Data_NYSE[[#This Row],[ Sales, General and Admin. ]]-Project_Data_NYSE[[#This Row],[ Research and Development ]]-Project_Data_NYSE[[#This Row],[ Other Operating Items ]]</f>
        <v>988000000</v>
      </c>
      <c r="L994" t="s">
        <v>18</v>
      </c>
      <c r="M994" t="s">
        <v>132</v>
      </c>
      <c r="N994" s="31">
        <f>Project_Data_NYSE[[#This Row],[Gross Profit]]/Project_Data_NYSE[[#This Row],[ Total Revenue ]]</f>
        <v>0.13798498122653316</v>
      </c>
      <c r="O994" s="31">
        <f>Project_Data_NYSE[[#This Row],[Operating Profit]]/Project_Data_NYSE[[#This Row],[ Total Revenue ]]</f>
        <v>7.7284105131414274E-2</v>
      </c>
    </row>
    <row r="995" spans="1:15" x14ac:dyDescent="0.2">
      <c r="A995">
        <v>1021</v>
      </c>
      <c r="B995" t="s">
        <v>371</v>
      </c>
      <c r="C995" t="s">
        <v>15</v>
      </c>
      <c r="D995" s="48">
        <v>42004</v>
      </c>
      <c r="E995" s="3">
        <v>13796000000</v>
      </c>
      <c r="F995" s="3">
        <v>11830000000</v>
      </c>
      <c r="G995" s="3">
        <f>Project_Data_NYSE[[#This Row],[ Total Revenue ]]-Project_Data_NYSE[[#This Row],[ Cost of Goods Sold ]]</f>
        <v>1966000000</v>
      </c>
      <c r="H995" s="3">
        <v>659000000</v>
      </c>
      <c r="I995" s="3">
        <v>0</v>
      </c>
      <c r="J995" s="3">
        <v>148000000</v>
      </c>
      <c r="K995" s="3">
        <f>Project_Data_NYSE[[#This Row],[Gross Profit]]-Project_Data_NYSE[[#This Row],[ Sales, General and Admin. ]]-Project_Data_NYSE[[#This Row],[ Research and Development ]]-Project_Data_NYSE[[#This Row],[ Other Operating Items ]]</f>
        <v>1159000000</v>
      </c>
      <c r="L995" t="s">
        <v>18</v>
      </c>
      <c r="M995" t="s">
        <v>132</v>
      </c>
      <c r="N995" s="31">
        <f>Project_Data_NYSE[[#This Row],[Gross Profit]]/Project_Data_NYSE[[#This Row],[ Total Revenue ]]</f>
        <v>0.14250507393447376</v>
      </c>
      <c r="O995" s="31">
        <f>Project_Data_NYSE[[#This Row],[Operating Profit]]/Project_Data_NYSE[[#This Row],[ Total Revenue ]]</f>
        <v>8.400985792983473E-2</v>
      </c>
    </row>
    <row r="996" spans="1:15" x14ac:dyDescent="0.2">
      <c r="A996">
        <v>1022</v>
      </c>
      <c r="B996" t="s">
        <v>371</v>
      </c>
      <c r="C996" t="s">
        <v>16</v>
      </c>
      <c r="D996" s="48">
        <v>42369</v>
      </c>
      <c r="E996" s="3">
        <v>14486000000</v>
      </c>
      <c r="F996" s="3">
        <v>12363000000</v>
      </c>
      <c r="G996" s="3">
        <f>Project_Data_NYSE[[#This Row],[ Total Revenue ]]-Project_Data_NYSE[[#This Row],[ Cost of Goods Sold ]]</f>
        <v>2123000000</v>
      </c>
      <c r="H996" s="3">
        <v>634000000</v>
      </c>
      <c r="I996" s="3">
        <v>0</v>
      </c>
      <c r="J996" s="3">
        <v>139000000</v>
      </c>
      <c r="K996" s="3">
        <f>Project_Data_NYSE[[#This Row],[Gross Profit]]-Project_Data_NYSE[[#This Row],[ Sales, General and Admin. ]]-Project_Data_NYSE[[#This Row],[ Research and Development ]]-Project_Data_NYSE[[#This Row],[ Other Operating Items ]]</f>
        <v>1350000000</v>
      </c>
      <c r="L996" t="s">
        <v>18</v>
      </c>
      <c r="M996" t="s">
        <v>132</v>
      </c>
      <c r="N996" s="31">
        <f>Project_Data_NYSE[[#This Row],[Gross Profit]]/Project_Data_NYSE[[#This Row],[ Total Revenue ]]</f>
        <v>0.14655529476736159</v>
      </c>
      <c r="O996" s="31">
        <f>Project_Data_NYSE[[#This Row],[Operating Profit]]/Project_Data_NYSE[[#This Row],[ Total Revenue ]]</f>
        <v>9.319342813751208E-2</v>
      </c>
    </row>
    <row r="997" spans="1:15" x14ac:dyDescent="0.2">
      <c r="A997">
        <v>1023</v>
      </c>
      <c r="B997" t="s">
        <v>372</v>
      </c>
      <c r="C997" t="s">
        <v>11</v>
      </c>
      <c r="D997" s="48">
        <v>41639</v>
      </c>
      <c r="E997" s="3">
        <v>6761000000</v>
      </c>
      <c r="F997" s="3">
        <v>4802000000</v>
      </c>
      <c r="G997" s="3">
        <f>Project_Data_NYSE[[#This Row],[ Total Revenue ]]-Project_Data_NYSE[[#This Row],[ Cost of Goods Sold ]]</f>
        <v>1959000000</v>
      </c>
      <c r="H997" s="3">
        <v>1347000000</v>
      </c>
      <c r="I997" s="3">
        <v>0</v>
      </c>
      <c r="J997" s="3">
        <v>0</v>
      </c>
      <c r="K997" s="3">
        <f>Project_Data_NYSE[[#This Row],[Gross Profit]]-Project_Data_NYSE[[#This Row],[ Sales, General and Admin. ]]-Project_Data_NYSE[[#This Row],[ Research and Development ]]-Project_Data_NYSE[[#This Row],[ Other Operating Items ]]</f>
        <v>612000000</v>
      </c>
      <c r="L997" t="s">
        <v>12</v>
      </c>
      <c r="M997" t="s">
        <v>63</v>
      </c>
      <c r="N997" s="31">
        <f>Project_Data_NYSE[[#This Row],[Gross Profit]]/Project_Data_NYSE[[#This Row],[ Total Revenue ]]</f>
        <v>0.28975003697677859</v>
      </c>
      <c r="O997" s="31">
        <f>Project_Data_NYSE[[#This Row],[Operating Profit]]/Project_Data_NYSE[[#This Row],[ Total Revenue ]]</f>
        <v>9.0519153971306027E-2</v>
      </c>
    </row>
    <row r="998" spans="1:15" x14ac:dyDescent="0.2">
      <c r="A998">
        <v>1024</v>
      </c>
      <c r="B998" t="s">
        <v>372</v>
      </c>
      <c r="C998" t="s">
        <v>14</v>
      </c>
      <c r="D998" s="48">
        <v>42004</v>
      </c>
      <c r="E998" s="3">
        <v>7006000000</v>
      </c>
      <c r="F998" s="3">
        <v>4946000000</v>
      </c>
      <c r="G998" s="3">
        <f>Project_Data_NYSE[[#This Row],[ Total Revenue ]]-Project_Data_NYSE[[#This Row],[ Cost of Goods Sold ]]</f>
        <v>2060000000</v>
      </c>
      <c r="H998" s="3">
        <v>1338000000</v>
      </c>
      <c r="I998" s="3">
        <v>0</v>
      </c>
      <c r="J998" s="3">
        <v>0</v>
      </c>
      <c r="K998" s="3">
        <f>Project_Data_NYSE[[#This Row],[Gross Profit]]-Project_Data_NYSE[[#This Row],[ Sales, General and Admin. ]]-Project_Data_NYSE[[#This Row],[ Research and Development ]]-Project_Data_NYSE[[#This Row],[ Other Operating Items ]]</f>
        <v>722000000</v>
      </c>
      <c r="L998" t="s">
        <v>12</v>
      </c>
      <c r="M998" t="s">
        <v>63</v>
      </c>
      <c r="N998" s="31">
        <f>Project_Data_NYSE[[#This Row],[Gross Profit]]/Project_Data_NYSE[[#This Row],[ Total Revenue ]]</f>
        <v>0.29403368541250358</v>
      </c>
      <c r="O998" s="31">
        <f>Project_Data_NYSE[[#This Row],[Operating Profit]]/Project_Data_NYSE[[#This Row],[ Total Revenue ]]</f>
        <v>0.10305452469312018</v>
      </c>
    </row>
    <row r="999" spans="1:15" x14ac:dyDescent="0.2">
      <c r="A999">
        <v>1025</v>
      </c>
      <c r="B999" t="s">
        <v>372</v>
      </c>
      <c r="C999" t="s">
        <v>15</v>
      </c>
      <c r="D999" s="48">
        <v>42369</v>
      </c>
      <c r="E999" s="3">
        <v>7142000000</v>
      </c>
      <c r="F999" s="3">
        <v>4889000000</v>
      </c>
      <c r="G999" s="3">
        <f>Project_Data_NYSE[[#This Row],[ Total Revenue ]]-Project_Data_NYSE[[#This Row],[ Cost of Goods Sold ]]</f>
        <v>2253000000</v>
      </c>
      <c r="H999" s="3">
        <v>1339000000</v>
      </c>
      <c r="I999" s="3">
        <v>0</v>
      </c>
      <c r="J999" s="3">
        <v>0</v>
      </c>
      <c r="K999" s="3">
        <f>Project_Data_NYSE[[#This Row],[Gross Profit]]-Project_Data_NYSE[[#This Row],[ Sales, General and Admin. ]]-Project_Data_NYSE[[#This Row],[ Research and Development ]]-Project_Data_NYSE[[#This Row],[ Other Operating Items ]]</f>
        <v>914000000</v>
      </c>
      <c r="L999" t="s">
        <v>12</v>
      </c>
      <c r="M999" t="s">
        <v>63</v>
      </c>
      <c r="N999" s="31">
        <f>Project_Data_NYSE[[#This Row],[Gross Profit]]/Project_Data_NYSE[[#This Row],[ Total Revenue ]]</f>
        <v>0.3154578549425931</v>
      </c>
      <c r="O999" s="31">
        <f>Project_Data_NYSE[[#This Row],[Operating Profit]]/Project_Data_NYSE[[#This Row],[ Total Revenue ]]</f>
        <v>0.12797535704284513</v>
      </c>
    </row>
    <row r="1000" spans="1:15" x14ac:dyDescent="0.2">
      <c r="A1000">
        <v>1026</v>
      </c>
      <c r="B1000" t="s">
        <v>372</v>
      </c>
      <c r="C1000" t="s">
        <v>16</v>
      </c>
      <c r="D1000" s="48">
        <v>42735</v>
      </c>
      <c r="E1000" s="3">
        <v>7357000000</v>
      </c>
      <c r="F1000" s="3">
        <v>4901000000</v>
      </c>
      <c r="G1000" s="3">
        <f>Project_Data_NYSE[[#This Row],[ Total Revenue ]]-Project_Data_NYSE[[#This Row],[ Cost of Goods Sold ]]</f>
        <v>2456000000</v>
      </c>
      <c r="H1000" s="3">
        <v>1403000000</v>
      </c>
      <c r="I1000" s="3">
        <v>0</v>
      </c>
      <c r="J1000" s="3">
        <v>0</v>
      </c>
      <c r="K1000" s="3">
        <f>Project_Data_NYSE[[#This Row],[Gross Profit]]-Project_Data_NYSE[[#This Row],[ Sales, General and Admin. ]]-Project_Data_NYSE[[#This Row],[ Research and Development ]]-Project_Data_NYSE[[#This Row],[ Other Operating Items ]]</f>
        <v>1053000000</v>
      </c>
      <c r="L1000" t="s">
        <v>12</v>
      </c>
      <c r="M1000" t="s">
        <v>63</v>
      </c>
      <c r="N1000" s="31">
        <f>Project_Data_NYSE[[#This Row],[Gross Profit]]/Project_Data_NYSE[[#This Row],[ Total Revenue ]]</f>
        <v>0.33383172488786189</v>
      </c>
      <c r="O1000" s="31">
        <f>Project_Data_NYSE[[#This Row],[Operating Profit]]/Project_Data_NYSE[[#This Row],[ Total Revenue ]]</f>
        <v>0.14312899279597663</v>
      </c>
    </row>
    <row r="1001" spans="1:15" x14ac:dyDescent="0.2">
      <c r="A1001">
        <v>1027</v>
      </c>
      <c r="B1001" t="s">
        <v>373</v>
      </c>
      <c r="C1001" t="s">
        <v>11</v>
      </c>
      <c r="D1001" s="48">
        <v>41274</v>
      </c>
      <c r="E1001" s="3">
        <v>6420881000</v>
      </c>
      <c r="F1001" s="3">
        <v>3011684000</v>
      </c>
      <c r="G1001" s="3">
        <f>Project_Data_NYSE[[#This Row],[ Total Revenue ]]-Project_Data_NYSE[[#This Row],[ Cost of Goods Sold ]]</f>
        <v>3409197000</v>
      </c>
      <c r="H1001" s="3">
        <v>2388182000</v>
      </c>
      <c r="I1001" s="3">
        <v>0</v>
      </c>
      <c r="J1001" s="3">
        <v>0</v>
      </c>
      <c r="K1001" s="3">
        <f>Project_Data_NYSE[[#This Row],[Gross Profit]]-Project_Data_NYSE[[#This Row],[ Sales, General and Admin. ]]-Project_Data_NYSE[[#This Row],[ Research and Development ]]-Project_Data_NYSE[[#This Row],[ Other Operating Items ]]</f>
        <v>1021015000</v>
      </c>
      <c r="L1001" t="s">
        <v>18</v>
      </c>
      <c r="M1001" t="s">
        <v>285</v>
      </c>
      <c r="N1001" s="31">
        <f>Project_Data_NYSE[[#This Row],[Gross Profit]]/Project_Data_NYSE[[#This Row],[ Total Revenue ]]</f>
        <v>0.53095470855167692</v>
      </c>
      <c r="O1001" s="31">
        <f>Project_Data_NYSE[[#This Row],[Operating Profit]]/Project_Data_NYSE[[#This Row],[ Total Revenue ]]</f>
        <v>0.15901478317383549</v>
      </c>
    </row>
    <row r="1002" spans="1:15" x14ac:dyDescent="0.2">
      <c r="A1002">
        <v>1028</v>
      </c>
      <c r="B1002" t="s">
        <v>373</v>
      </c>
      <c r="C1002" t="s">
        <v>14</v>
      </c>
      <c r="D1002" s="48">
        <v>41639</v>
      </c>
      <c r="E1002" s="3">
        <v>6484892000</v>
      </c>
      <c r="F1002" s="3">
        <v>3006009000</v>
      </c>
      <c r="G1002" s="3">
        <f>Project_Data_NYSE[[#This Row],[ Total Revenue ]]-Project_Data_NYSE[[#This Row],[ Cost of Goods Sold ]]</f>
        <v>3478883000</v>
      </c>
      <c r="H1002" s="3">
        <v>2310780000</v>
      </c>
      <c r="I1002" s="3">
        <v>0</v>
      </c>
      <c r="J1002" s="3">
        <v>0</v>
      </c>
      <c r="K1002" s="3">
        <f>Project_Data_NYSE[[#This Row],[Gross Profit]]-Project_Data_NYSE[[#This Row],[ Sales, General and Admin. ]]-Project_Data_NYSE[[#This Row],[ Research and Development ]]-Project_Data_NYSE[[#This Row],[ Other Operating Items ]]</f>
        <v>1168103000</v>
      </c>
      <c r="L1002" t="s">
        <v>18</v>
      </c>
      <c r="M1002" t="s">
        <v>285</v>
      </c>
      <c r="N1002" s="31">
        <f>Project_Data_NYSE[[#This Row],[Gross Profit]]/Project_Data_NYSE[[#This Row],[ Total Revenue ]]</f>
        <v>0.53645966656036836</v>
      </c>
      <c r="O1002" s="31">
        <f>Project_Data_NYSE[[#This Row],[Operating Profit]]/Project_Data_NYSE[[#This Row],[ Total Revenue ]]</f>
        <v>0.18012682400878843</v>
      </c>
    </row>
    <row r="1003" spans="1:15" x14ac:dyDescent="0.2">
      <c r="A1003">
        <v>1029</v>
      </c>
      <c r="B1003" t="s">
        <v>373</v>
      </c>
      <c r="C1003" t="s">
        <v>15</v>
      </c>
      <c r="D1003" s="48">
        <v>42004</v>
      </c>
      <c r="E1003" s="3">
        <v>6023819000</v>
      </c>
      <c r="F1003" s="3">
        <v>3022797000</v>
      </c>
      <c r="G1003" s="3">
        <f>Project_Data_NYSE[[#This Row],[ Total Revenue ]]-Project_Data_NYSE[[#This Row],[ Cost of Goods Sold ]]</f>
        <v>3001022000</v>
      </c>
      <c r="H1003" s="3">
        <v>2347308000</v>
      </c>
      <c r="I1003" s="3">
        <v>0</v>
      </c>
      <c r="J1003" s="3">
        <v>0</v>
      </c>
      <c r="K1003" s="3">
        <f>Project_Data_NYSE[[#This Row],[Gross Profit]]-Project_Data_NYSE[[#This Row],[ Sales, General and Admin. ]]-Project_Data_NYSE[[#This Row],[ Research and Development ]]-Project_Data_NYSE[[#This Row],[ Other Operating Items ]]</f>
        <v>653714000</v>
      </c>
      <c r="L1003" t="s">
        <v>18</v>
      </c>
      <c r="M1003" t="s">
        <v>285</v>
      </c>
      <c r="N1003" s="31">
        <f>Project_Data_NYSE[[#This Row],[Gross Profit]]/Project_Data_NYSE[[#This Row],[ Total Revenue ]]</f>
        <v>0.49819259177608094</v>
      </c>
      <c r="O1003" s="31">
        <f>Project_Data_NYSE[[#This Row],[Operating Profit]]/Project_Data_NYSE[[#This Row],[ Total Revenue ]]</f>
        <v>0.10852152098195514</v>
      </c>
    </row>
    <row r="1004" spans="1:15" x14ac:dyDescent="0.2">
      <c r="A1004">
        <v>1030</v>
      </c>
      <c r="B1004" t="s">
        <v>373</v>
      </c>
      <c r="C1004" t="s">
        <v>16</v>
      </c>
      <c r="D1004" s="48">
        <v>42369</v>
      </c>
      <c r="E1004" s="3">
        <v>5702613000</v>
      </c>
      <c r="F1004" s="3">
        <v>2896255000</v>
      </c>
      <c r="G1004" s="3">
        <f>Project_Data_NYSE[[#This Row],[ Total Revenue ]]-Project_Data_NYSE[[#This Row],[ Cost of Goods Sold ]]</f>
        <v>2806358000</v>
      </c>
      <c r="H1004" s="3">
        <v>2265436000</v>
      </c>
      <c r="I1004" s="3">
        <v>0</v>
      </c>
      <c r="J1004" s="3">
        <v>0</v>
      </c>
      <c r="K1004" s="3">
        <f>Project_Data_NYSE[[#This Row],[Gross Profit]]-Project_Data_NYSE[[#This Row],[ Sales, General and Admin. ]]-Project_Data_NYSE[[#This Row],[ Research and Development ]]-Project_Data_NYSE[[#This Row],[ Other Operating Items ]]</f>
        <v>540922000</v>
      </c>
      <c r="L1004" t="s">
        <v>18</v>
      </c>
      <c r="M1004" t="s">
        <v>285</v>
      </c>
      <c r="N1004" s="31">
        <f>Project_Data_NYSE[[#This Row],[Gross Profit]]/Project_Data_NYSE[[#This Row],[ Total Revenue ]]</f>
        <v>0.49211791156089324</v>
      </c>
      <c r="O1004" s="31">
        <f>Project_Data_NYSE[[#This Row],[Operating Profit]]/Project_Data_NYSE[[#This Row],[ Total Revenue ]]</f>
        <v>9.4855112910520137E-2</v>
      </c>
    </row>
    <row r="1005" spans="1:15" x14ac:dyDescent="0.2">
      <c r="A1005">
        <v>1031</v>
      </c>
      <c r="B1005" t="s">
        <v>374</v>
      </c>
      <c r="C1005" t="s">
        <v>11</v>
      </c>
      <c r="D1005" s="48">
        <v>41274</v>
      </c>
      <c r="E1005" s="3">
        <v>27567000000</v>
      </c>
      <c r="F1005" s="3">
        <v>16750700000</v>
      </c>
      <c r="G1005" s="3">
        <f>Project_Data_NYSE[[#This Row],[ Total Revenue ]]-Project_Data_NYSE[[#This Row],[ Cost of Goods Sold ]]</f>
        <v>10816300000</v>
      </c>
      <c r="H1005" s="3">
        <v>2211700000</v>
      </c>
      <c r="I1005" s="3">
        <v>0</v>
      </c>
      <c r="J1005" s="3">
        <v>0</v>
      </c>
      <c r="K1005" s="3">
        <f>Project_Data_NYSE[[#This Row],[Gross Profit]]-Project_Data_NYSE[[#This Row],[ Sales, General and Admin. ]]-Project_Data_NYSE[[#This Row],[ Research and Development ]]-Project_Data_NYSE[[#This Row],[ Other Operating Items ]]</f>
        <v>8604600000</v>
      </c>
      <c r="L1005" t="s">
        <v>18</v>
      </c>
      <c r="M1005" t="s">
        <v>154</v>
      </c>
      <c r="N1005" s="31">
        <f>Project_Data_NYSE[[#This Row],[Gross Profit]]/Project_Data_NYSE[[#This Row],[ Total Revenue ]]</f>
        <v>0.39236405847571371</v>
      </c>
      <c r="O1005" s="31">
        <f>Project_Data_NYSE[[#This Row],[Operating Profit]]/Project_Data_NYSE[[#This Row],[ Total Revenue ]]</f>
        <v>0.31213407334856896</v>
      </c>
    </row>
    <row r="1006" spans="1:15" x14ac:dyDescent="0.2">
      <c r="A1006">
        <v>1032</v>
      </c>
      <c r="B1006" t="s">
        <v>374</v>
      </c>
      <c r="C1006" t="s">
        <v>14</v>
      </c>
      <c r="D1006" s="48">
        <v>41639</v>
      </c>
      <c r="E1006" s="3">
        <v>28105700000</v>
      </c>
      <c r="F1006" s="3">
        <v>17203000000</v>
      </c>
      <c r="G1006" s="3">
        <f>Project_Data_NYSE[[#This Row],[ Total Revenue ]]-Project_Data_NYSE[[#This Row],[ Cost of Goods Sold ]]</f>
        <v>10902700000</v>
      </c>
      <c r="H1006" s="3">
        <v>2138400000</v>
      </c>
      <c r="I1006" s="3">
        <v>0</v>
      </c>
      <c r="J1006" s="3">
        <v>0</v>
      </c>
      <c r="K1006" s="3">
        <f>Project_Data_NYSE[[#This Row],[Gross Profit]]-Project_Data_NYSE[[#This Row],[ Sales, General and Admin. ]]-Project_Data_NYSE[[#This Row],[ Research and Development ]]-Project_Data_NYSE[[#This Row],[ Other Operating Items ]]</f>
        <v>8764300000</v>
      </c>
      <c r="L1006" t="s">
        <v>18</v>
      </c>
      <c r="M1006" t="s">
        <v>154</v>
      </c>
      <c r="N1006" s="31">
        <f>Project_Data_NYSE[[#This Row],[Gross Profit]]/Project_Data_NYSE[[#This Row],[ Total Revenue ]]</f>
        <v>0.38791775333829082</v>
      </c>
      <c r="O1006" s="31">
        <f>Project_Data_NYSE[[#This Row],[Operating Profit]]/Project_Data_NYSE[[#This Row],[ Total Revenue ]]</f>
        <v>0.31183354266216462</v>
      </c>
    </row>
    <row r="1007" spans="1:15" x14ac:dyDescent="0.2">
      <c r="A1007">
        <v>1033</v>
      </c>
      <c r="B1007" t="s">
        <v>374</v>
      </c>
      <c r="C1007" t="s">
        <v>15</v>
      </c>
      <c r="D1007" s="48">
        <v>42004</v>
      </c>
      <c r="E1007" s="3">
        <v>27441300000</v>
      </c>
      <c r="F1007" s="3">
        <v>16985600000</v>
      </c>
      <c r="G1007" s="3">
        <f>Project_Data_NYSE[[#This Row],[ Total Revenue ]]-Project_Data_NYSE[[#This Row],[ Cost of Goods Sold ]]</f>
        <v>10455700000</v>
      </c>
      <c r="H1007" s="3">
        <v>2506500000</v>
      </c>
      <c r="I1007" s="3">
        <v>0</v>
      </c>
      <c r="J1007" s="3">
        <v>0</v>
      </c>
      <c r="K1007" s="3">
        <f>Project_Data_NYSE[[#This Row],[Gross Profit]]-Project_Data_NYSE[[#This Row],[ Sales, General and Admin. ]]-Project_Data_NYSE[[#This Row],[ Research and Development ]]-Project_Data_NYSE[[#This Row],[ Other Operating Items ]]</f>
        <v>7949200000</v>
      </c>
      <c r="L1007" t="s">
        <v>18</v>
      </c>
      <c r="M1007" t="s">
        <v>154</v>
      </c>
      <c r="N1007" s="31">
        <f>Project_Data_NYSE[[#This Row],[Gross Profit]]/Project_Data_NYSE[[#This Row],[ Total Revenue ]]</f>
        <v>0.38102057847113657</v>
      </c>
      <c r="O1007" s="31">
        <f>Project_Data_NYSE[[#This Row],[Operating Profit]]/Project_Data_NYSE[[#This Row],[ Total Revenue ]]</f>
        <v>0.28968015363703614</v>
      </c>
    </row>
    <row r="1008" spans="1:15" x14ac:dyDescent="0.2">
      <c r="A1008">
        <v>1034</v>
      </c>
      <c r="B1008" t="s">
        <v>374</v>
      </c>
      <c r="C1008" t="s">
        <v>16</v>
      </c>
      <c r="D1008" s="48">
        <v>42369</v>
      </c>
      <c r="E1008" s="3">
        <v>25413000000</v>
      </c>
      <c r="F1008" s="3">
        <v>15623800000</v>
      </c>
      <c r="G1008" s="3">
        <f>Project_Data_NYSE[[#This Row],[ Total Revenue ]]-Project_Data_NYSE[[#This Row],[ Cost of Goods Sold ]]</f>
        <v>9789200000</v>
      </c>
      <c r="H1008" s="3">
        <v>2643700000</v>
      </c>
      <c r="I1008" s="3">
        <v>0</v>
      </c>
      <c r="J1008" s="3">
        <v>0</v>
      </c>
      <c r="K1008" s="3">
        <f>Project_Data_NYSE[[#This Row],[Gross Profit]]-Project_Data_NYSE[[#This Row],[ Sales, General and Admin. ]]-Project_Data_NYSE[[#This Row],[ Research and Development ]]-Project_Data_NYSE[[#This Row],[ Other Operating Items ]]</f>
        <v>7145500000</v>
      </c>
      <c r="L1008" t="s">
        <v>18</v>
      </c>
      <c r="M1008" t="s">
        <v>154</v>
      </c>
      <c r="N1008" s="31">
        <f>Project_Data_NYSE[[#This Row],[Gross Profit]]/Project_Data_NYSE[[#This Row],[ Total Revenue ]]</f>
        <v>0.38520442293314444</v>
      </c>
      <c r="O1008" s="31">
        <f>Project_Data_NYSE[[#This Row],[Operating Profit]]/Project_Data_NYSE[[#This Row],[ Total Revenue ]]</f>
        <v>0.28117498917876677</v>
      </c>
    </row>
    <row r="1009" spans="1:15" x14ac:dyDescent="0.2">
      <c r="A1009">
        <v>1035</v>
      </c>
      <c r="B1009" t="s">
        <v>375</v>
      </c>
      <c r="C1009" t="s">
        <v>11</v>
      </c>
      <c r="D1009" s="48">
        <v>41364</v>
      </c>
      <c r="E1009" s="3">
        <v>1581623000</v>
      </c>
      <c r="F1009" s="3">
        <v>743164000</v>
      </c>
      <c r="G1009" s="3">
        <f>Project_Data_NYSE[[#This Row],[ Total Revenue ]]-Project_Data_NYSE[[#This Row],[ Cost of Goods Sold ]]</f>
        <v>838459000</v>
      </c>
      <c r="H1009" s="3">
        <v>261471000</v>
      </c>
      <c r="I1009" s="3">
        <v>254723000</v>
      </c>
      <c r="J1009" s="3">
        <v>111537000</v>
      </c>
      <c r="K1009" s="3">
        <f>Project_Data_NYSE[[#This Row],[Gross Profit]]-Project_Data_NYSE[[#This Row],[ Sales, General and Admin. ]]-Project_Data_NYSE[[#This Row],[ Research and Development ]]-Project_Data_NYSE[[#This Row],[ Other Operating Items ]]</f>
        <v>210728000</v>
      </c>
      <c r="L1009" t="s">
        <v>21</v>
      </c>
      <c r="M1009" t="s">
        <v>33</v>
      </c>
      <c r="N1009" s="31">
        <f>Project_Data_NYSE[[#This Row],[Gross Profit]]/Project_Data_NYSE[[#This Row],[ Total Revenue ]]</f>
        <v>0.53012569999298187</v>
      </c>
      <c r="O1009" s="31">
        <f>Project_Data_NYSE[[#This Row],[Operating Profit]]/Project_Data_NYSE[[#This Row],[ Total Revenue ]]</f>
        <v>0.13323529058441866</v>
      </c>
    </row>
    <row r="1010" spans="1:15" x14ac:dyDescent="0.2">
      <c r="A1010">
        <v>1036</v>
      </c>
      <c r="B1010" t="s">
        <v>375</v>
      </c>
      <c r="C1010" t="s">
        <v>14</v>
      </c>
      <c r="D1010" s="48">
        <v>41729</v>
      </c>
      <c r="E1010" s="3">
        <v>1931217000</v>
      </c>
      <c r="F1010" s="3">
        <v>802474000</v>
      </c>
      <c r="G1010" s="3">
        <f>Project_Data_NYSE[[#This Row],[ Total Revenue ]]-Project_Data_NYSE[[#This Row],[ Cost of Goods Sold ]]</f>
        <v>1128743000</v>
      </c>
      <c r="H1010" s="3">
        <v>267278000</v>
      </c>
      <c r="I1010" s="3">
        <v>305043000</v>
      </c>
      <c r="J1010" s="3">
        <v>94534000</v>
      </c>
      <c r="K1010" s="3">
        <f>Project_Data_NYSE[[#This Row],[Gross Profit]]-Project_Data_NYSE[[#This Row],[ Sales, General and Admin. ]]-Project_Data_NYSE[[#This Row],[ Research and Development ]]-Project_Data_NYSE[[#This Row],[ Other Operating Items ]]</f>
        <v>461888000</v>
      </c>
      <c r="L1010" t="s">
        <v>21</v>
      </c>
      <c r="M1010" t="s">
        <v>33</v>
      </c>
      <c r="N1010" s="31">
        <f>Project_Data_NYSE[[#This Row],[Gross Profit]]/Project_Data_NYSE[[#This Row],[ Total Revenue ]]</f>
        <v>0.58447238192290152</v>
      </c>
      <c r="O1010" s="31">
        <f>Project_Data_NYSE[[#This Row],[Operating Profit]]/Project_Data_NYSE[[#This Row],[ Total Revenue ]]</f>
        <v>0.23916939422136405</v>
      </c>
    </row>
    <row r="1011" spans="1:15" x14ac:dyDescent="0.2">
      <c r="A1011">
        <v>1037</v>
      </c>
      <c r="B1011" t="s">
        <v>375</v>
      </c>
      <c r="C1011" t="s">
        <v>15</v>
      </c>
      <c r="D1011" s="48">
        <v>42094</v>
      </c>
      <c r="E1011" s="3">
        <v>2147036000</v>
      </c>
      <c r="F1011" s="3">
        <v>917472000</v>
      </c>
      <c r="G1011" s="3">
        <f>Project_Data_NYSE[[#This Row],[ Total Revenue ]]-Project_Data_NYSE[[#This Row],[ Cost of Goods Sold ]]</f>
        <v>1229564000</v>
      </c>
      <c r="H1011" s="3">
        <v>274815000</v>
      </c>
      <c r="I1011" s="3">
        <v>349543000</v>
      </c>
      <c r="J1011" s="3">
        <v>176746000</v>
      </c>
      <c r="K1011" s="3">
        <f>Project_Data_NYSE[[#This Row],[Gross Profit]]-Project_Data_NYSE[[#This Row],[ Sales, General and Admin. ]]-Project_Data_NYSE[[#This Row],[ Research and Development ]]-Project_Data_NYSE[[#This Row],[ Other Operating Items ]]</f>
        <v>428460000</v>
      </c>
      <c r="L1011" t="s">
        <v>21</v>
      </c>
      <c r="M1011" t="s">
        <v>33</v>
      </c>
      <c r="N1011" s="31">
        <f>Project_Data_NYSE[[#This Row],[Gross Profit]]/Project_Data_NYSE[[#This Row],[ Total Revenue ]]</f>
        <v>0.5726797314996116</v>
      </c>
      <c r="O1011" s="31">
        <f>Project_Data_NYSE[[#This Row],[Operating Profit]]/Project_Data_NYSE[[#This Row],[ Total Revenue ]]</f>
        <v>0.19955883366650581</v>
      </c>
    </row>
    <row r="1012" spans="1:15" x14ac:dyDescent="0.2">
      <c r="A1012">
        <v>1038</v>
      </c>
      <c r="B1012" t="s">
        <v>375</v>
      </c>
      <c r="C1012" t="s">
        <v>16</v>
      </c>
      <c r="D1012" s="48">
        <v>42460</v>
      </c>
      <c r="E1012" s="3">
        <v>2173334000</v>
      </c>
      <c r="F1012" s="3">
        <v>967870000</v>
      </c>
      <c r="G1012" s="3">
        <f>Project_Data_NYSE[[#This Row],[ Total Revenue ]]-Project_Data_NYSE[[#This Row],[ Cost of Goods Sold ]]</f>
        <v>1205464000</v>
      </c>
      <c r="H1012" s="3">
        <v>301670000</v>
      </c>
      <c r="I1012" s="3">
        <v>372596000</v>
      </c>
      <c r="J1012" s="3">
        <v>174896000</v>
      </c>
      <c r="K1012" s="3">
        <f>Project_Data_NYSE[[#This Row],[Gross Profit]]-Project_Data_NYSE[[#This Row],[ Sales, General and Admin. ]]-Project_Data_NYSE[[#This Row],[ Research and Development ]]-Project_Data_NYSE[[#This Row],[ Other Operating Items ]]</f>
        <v>356302000</v>
      </c>
      <c r="L1012" t="s">
        <v>21</v>
      </c>
      <c r="M1012" t="s">
        <v>33</v>
      </c>
      <c r="N1012" s="31">
        <f>Project_Data_NYSE[[#This Row],[Gross Profit]]/Project_Data_NYSE[[#This Row],[ Total Revenue ]]</f>
        <v>0.5546611795517854</v>
      </c>
      <c r="O1012" s="31">
        <f>Project_Data_NYSE[[#This Row],[Operating Profit]]/Project_Data_NYSE[[#This Row],[ Total Revenue ]]</f>
        <v>0.16394258774767248</v>
      </c>
    </row>
    <row r="1013" spans="1:15" x14ac:dyDescent="0.2">
      <c r="A1013">
        <v>1099</v>
      </c>
      <c r="B1013" t="s">
        <v>396</v>
      </c>
      <c r="C1013" t="s">
        <v>11</v>
      </c>
      <c r="D1013" s="48">
        <v>41274</v>
      </c>
      <c r="E1013" s="3">
        <v>47267000000</v>
      </c>
      <c r="F1013" s="3">
        <v>16446000000</v>
      </c>
      <c r="G1013" s="3">
        <f>Project_Data_NYSE[[#This Row],[ Total Revenue ]]-Project_Data_NYSE[[#This Row],[ Cost of Goods Sold ]]</f>
        <v>30821000000</v>
      </c>
      <c r="H1013" s="3">
        <v>12776000000</v>
      </c>
      <c r="I1013" s="3">
        <v>8168000000</v>
      </c>
      <c r="J1013" s="3">
        <v>0</v>
      </c>
      <c r="K1013" s="3">
        <f>Project_Data_NYSE[[#This Row],[Gross Profit]]-Project_Data_NYSE[[#This Row],[ Sales, General and Admin. ]]-Project_Data_NYSE[[#This Row],[ Research and Development ]]-Project_Data_NYSE[[#This Row],[ Other Operating Items ]]</f>
        <v>9877000000</v>
      </c>
      <c r="L1013" t="s">
        <v>24</v>
      </c>
      <c r="M1013" t="s">
        <v>25</v>
      </c>
      <c r="N1013" s="31">
        <f>Project_Data_NYSE[[#This Row],[Gross Profit]]/Project_Data_NYSE[[#This Row],[ Total Revenue ]]</f>
        <v>0.65206169208961851</v>
      </c>
      <c r="O1013" s="31">
        <f>Project_Data_NYSE[[#This Row],[Operating Profit]]/Project_Data_NYSE[[#This Row],[ Total Revenue ]]</f>
        <v>0.20896185499397044</v>
      </c>
    </row>
    <row r="1014" spans="1:15" x14ac:dyDescent="0.2">
      <c r="A1014">
        <v>1117</v>
      </c>
      <c r="B1014" t="s">
        <v>401</v>
      </c>
      <c r="C1014" t="s">
        <v>15</v>
      </c>
      <c r="D1014" s="48">
        <v>42369</v>
      </c>
      <c r="E1014" s="3">
        <v>2395447000</v>
      </c>
      <c r="F1014" s="3">
        <v>1043454000</v>
      </c>
      <c r="G1014" s="3">
        <f>Project_Data_NYSE[[#This Row],[ Total Revenue ]]-Project_Data_NYSE[[#This Row],[ Cost of Goods Sold ]]</f>
        <v>1351993000</v>
      </c>
      <c r="H1014" s="3">
        <v>700810000</v>
      </c>
      <c r="I1014" s="3">
        <v>119076000</v>
      </c>
      <c r="J1014" s="3">
        <v>30951000</v>
      </c>
      <c r="K1014" s="3">
        <f>Project_Data_NYSE[[#This Row],[Gross Profit]]-Project_Data_NYSE[[#This Row],[ Sales, General and Admin. ]]-Project_Data_NYSE[[#This Row],[ Research and Development ]]-Project_Data_NYSE[[#This Row],[ Other Operating Items ]]</f>
        <v>501156000</v>
      </c>
      <c r="L1014" t="s">
        <v>24</v>
      </c>
      <c r="M1014" t="s">
        <v>317</v>
      </c>
      <c r="N1014" s="31">
        <f>Project_Data_NYSE[[#This Row],[Gross Profit]]/Project_Data_NYSE[[#This Row],[ Total Revenue ]]</f>
        <v>0.56440113264872904</v>
      </c>
      <c r="O1014" s="31">
        <f>Project_Data_NYSE[[#This Row],[Operating Profit]]/Project_Data_NYSE[[#This Row],[ Total Revenue ]]</f>
        <v>0.20921189239419616</v>
      </c>
    </row>
    <row r="1015" spans="1:15" x14ac:dyDescent="0.2">
      <c r="A1015">
        <v>210</v>
      </c>
      <c r="B1015" t="s">
        <v>110</v>
      </c>
      <c r="C1015" t="s">
        <v>11</v>
      </c>
      <c r="D1015" s="48">
        <v>41639</v>
      </c>
      <c r="E1015" s="3">
        <v>3049500000</v>
      </c>
      <c r="F1015" s="3">
        <v>1194400000</v>
      </c>
      <c r="G1015" s="3">
        <f>Project_Data_NYSE[[#This Row],[ Total Revenue ]]-Project_Data_NYSE[[#This Row],[ Cost of Goods Sold ]]</f>
        <v>1855100000</v>
      </c>
      <c r="H1015" s="3">
        <v>920300000</v>
      </c>
      <c r="I1015" s="3">
        <v>295700000</v>
      </c>
      <c r="J1015" s="3">
        <v>0</v>
      </c>
      <c r="K1015" s="3">
        <f>Project_Data_NYSE[[#This Row],[Gross Profit]]-Project_Data_NYSE[[#This Row],[ Sales, General and Admin. ]]-Project_Data_NYSE[[#This Row],[ Research and Development ]]-Project_Data_NYSE[[#This Row],[ Other Operating Items ]]</f>
        <v>639100000</v>
      </c>
      <c r="L1015" t="s">
        <v>24</v>
      </c>
      <c r="M1015" t="s">
        <v>29</v>
      </c>
      <c r="N1015" s="31">
        <f>Project_Data_NYSE[[#This Row],[Gross Profit]]/Project_Data_NYSE[[#This Row],[ Total Revenue ]]</f>
        <v>0.60832923430070507</v>
      </c>
      <c r="O1015" s="31">
        <f>Project_Data_NYSE[[#This Row],[Operating Profit]]/Project_Data_NYSE[[#This Row],[ Total Revenue ]]</f>
        <v>0.20957534021970814</v>
      </c>
    </row>
    <row r="1016" spans="1:15" x14ac:dyDescent="0.2">
      <c r="A1016">
        <v>1772</v>
      </c>
      <c r="B1016" t="s">
        <v>572</v>
      </c>
      <c r="C1016" t="s">
        <v>16</v>
      </c>
      <c r="D1016" s="48">
        <v>42369</v>
      </c>
      <c r="E1016" s="3">
        <v>5997800000</v>
      </c>
      <c r="F1016" s="3">
        <v>1800600000</v>
      </c>
      <c r="G1016" s="3">
        <f>Project_Data_NYSE[[#This Row],[ Total Revenue ]]-Project_Data_NYSE[[#This Row],[ Cost of Goods Sold ]]</f>
        <v>4197200000</v>
      </c>
      <c r="H1016" s="3">
        <v>2291900000</v>
      </c>
      <c r="I1016" s="3">
        <v>268800000</v>
      </c>
      <c r="J1016" s="3">
        <v>337400000</v>
      </c>
      <c r="K1016" s="3">
        <f>Project_Data_NYSE[[#This Row],[Gross Profit]]-Project_Data_NYSE[[#This Row],[ Sales, General and Admin. ]]-Project_Data_NYSE[[#This Row],[ Research and Development ]]-Project_Data_NYSE[[#This Row],[ Other Operating Items ]]</f>
        <v>1299100000</v>
      </c>
      <c r="L1016" t="s">
        <v>24</v>
      </c>
      <c r="M1016" t="s">
        <v>29</v>
      </c>
      <c r="N1016" s="31">
        <f>Project_Data_NYSE[[#This Row],[Gross Profit]]/Project_Data_NYSE[[#This Row],[ Total Revenue ]]</f>
        <v>0.69978992297175635</v>
      </c>
      <c r="O1016" s="31">
        <f>Project_Data_NYSE[[#This Row],[Operating Profit]]/Project_Data_NYSE[[#This Row],[ Total Revenue ]]</f>
        <v>0.21659608523125146</v>
      </c>
    </row>
    <row r="1017" spans="1:15" x14ac:dyDescent="0.2">
      <c r="A1017">
        <v>1043</v>
      </c>
      <c r="B1017" t="s">
        <v>377</v>
      </c>
      <c r="C1017" t="s">
        <v>11</v>
      </c>
      <c r="D1017" s="48">
        <v>41274</v>
      </c>
      <c r="E1017" s="3">
        <v>2730300000</v>
      </c>
      <c r="F1017" s="3">
        <v>795000000</v>
      </c>
      <c r="G1017" s="3">
        <f>Project_Data_NYSE[[#This Row],[ Total Revenue ]]-Project_Data_NYSE[[#This Row],[ Cost of Goods Sold ]]</f>
        <v>1935300000</v>
      </c>
      <c r="H1017" s="3">
        <v>752200000</v>
      </c>
      <c r="I1017" s="3">
        <v>0</v>
      </c>
      <c r="J1017" s="3">
        <v>93500000</v>
      </c>
      <c r="K1017" s="3">
        <f>Project_Data_NYSE[[#This Row],[Gross Profit]]-Project_Data_NYSE[[#This Row],[ Sales, General and Admin. ]]-Project_Data_NYSE[[#This Row],[ Research and Development ]]-Project_Data_NYSE[[#This Row],[ Other Operating Items ]]</f>
        <v>1089600000</v>
      </c>
      <c r="L1017" t="s">
        <v>46</v>
      </c>
      <c r="M1017" t="s">
        <v>378</v>
      </c>
      <c r="N1017" s="31">
        <f>Project_Data_NYSE[[#This Row],[Gross Profit]]/Project_Data_NYSE[[#This Row],[ Total Revenue ]]</f>
        <v>0.70882320624107242</v>
      </c>
      <c r="O1017" s="31">
        <f>Project_Data_NYSE[[#This Row],[Operating Profit]]/Project_Data_NYSE[[#This Row],[ Total Revenue ]]</f>
        <v>0.39907702450280191</v>
      </c>
    </row>
    <row r="1018" spans="1:15" x14ac:dyDescent="0.2">
      <c r="A1018">
        <v>1044</v>
      </c>
      <c r="B1018" t="s">
        <v>377</v>
      </c>
      <c r="C1018" t="s">
        <v>14</v>
      </c>
      <c r="D1018" s="48">
        <v>41639</v>
      </c>
      <c r="E1018" s="3">
        <v>2972500000</v>
      </c>
      <c r="F1018" s="3">
        <v>822400000</v>
      </c>
      <c r="G1018" s="3">
        <f>Project_Data_NYSE[[#This Row],[ Total Revenue ]]-Project_Data_NYSE[[#This Row],[ Cost of Goods Sold ]]</f>
        <v>2150100000</v>
      </c>
      <c r="H1018" s="3">
        <v>822100000</v>
      </c>
      <c r="I1018" s="3">
        <v>0</v>
      </c>
      <c r="J1018" s="3">
        <v>93400000</v>
      </c>
      <c r="K1018" s="3">
        <f>Project_Data_NYSE[[#This Row],[Gross Profit]]-Project_Data_NYSE[[#This Row],[ Sales, General and Admin. ]]-Project_Data_NYSE[[#This Row],[ Research and Development ]]-Project_Data_NYSE[[#This Row],[ Other Operating Items ]]</f>
        <v>1234600000</v>
      </c>
      <c r="L1018" t="s">
        <v>46</v>
      </c>
      <c r="M1018" t="s">
        <v>378</v>
      </c>
      <c r="N1018" s="31">
        <f>Project_Data_NYSE[[#This Row],[Gross Profit]]/Project_Data_NYSE[[#This Row],[ Total Revenue ]]</f>
        <v>0.72333052985702273</v>
      </c>
      <c r="O1018" s="31">
        <f>Project_Data_NYSE[[#This Row],[Operating Profit]]/Project_Data_NYSE[[#This Row],[ Total Revenue ]]</f>
        <v>0.41534062237174096</v>
      </c>
    </row>
    <row r="1019" spans="1:15" x14ac:dyDescent="0.2">
      <c r="A1019">
        <v>1045</v>
      </c>
      <c r="B1019" t="s">
        <v>377</v>
      </c>
      <c r="C1019" t="s">
        <v>15</v>
      </c>
      <c r="D1019" s="48">
        <v>42004</v>
      </c>
      <c r="E1019" s="3">
        <v>3334300000</v>
      </c>
      <c r="F1019" s="3">
        <v>930300000</v>
      </c>
      <c r="G1019" s="3">
        <f>Project_Data_NYSE[[#This Row],[ Total Revenue ]]-Project_Data_NYSE[[#This Row],[ Cost of Goods Sold ]]</f>
        <v>2404000000</v>
      </c>
      <c r="H1019" s="3">
        <v>869300000</v>
      </c>
      <c r="I1019" s="3">
        <v>0</v>
      </c>
      <c r="J1019" s="3">
        <v>95600000</v>
      </c>
      <c r="K1019" s="3">
        <f>Project_Data_NYSE[[#This Row],[Gross Profit]]-Project_Data_NYSE[[#This Row],[ Sales, General and Admin. ]]-Project_Data_NYSE[[#This Row],[ Research and Development ]]-Project_Data_NYSE[[#This Row],[ Other Operating Items ]]</f>
        <v>1439100000</v>
      </c>
      <c r="L1019" t="s">
        <v>46</v>
      </c>
      <c r="M1019" t="s">
        <v>378</v>
      </c>
      <c r="N1019" s="31">
        <f>Project_Data_NYSE[[#This Row],[Gross Profit]]/Project_Data_NYSE[[#This Row],[ Total Revenue ]]</f>
        <v>0.72099091263533577</v>
      </c>
      <c r="O1019" s="31">
        <f>Project_Data_NYSE[[#This Row],[Operating Profit]]/Project_Data_NYSE[[#This Row],[ Total Revenue ]]</f>
        <v>0.43160483459796661</v>
      </c>
    </row>
    <row r="1020" spans="1:15" x14ac:dyDescent="0.2">
      <c r="A1020">
        <v>1046</v>
      </c>
      <c r="B1020" t="s">
        <v>377</v>
      </c>
      <c r="C1020" t="s">
        <v>16</v>
      </c>
      <c r="D1020" s="48">
        <v>42369</v>
      </c>
      <c r="E1020" s="3">
        <v>3484500000</v>
      </c>
      <c r="F1020" s="3">
        <v>976300000</v>
      </c>
      <c r="G1020" s="3">
        <f>Project_Data_NYSE[[#This Row],[ Total Revenue ]]-Project_Data_NYSE[[#This Row],[ Cost of Goods Sold ]]</f>
        <v>2508200000</v>
      </c>
      <c r="H1020" s="3">
        <v>921300000</v>
      </c>
      <c r="I1020" s="3">
        <v>0</v>
      </c>
      <c r="J1020" s="3">
        <v>113500000</v>
      </c>
      <c r="K1020" s="3">
        <f>Project_Data_NYSE[[#This Row],[Gross Profit]]-Project_Data_NYSE[[#This Row],[ Sales, General and Admin. ]]-Project_Data_NYSE[[#This Row],[ Research and Development ]]-Project_Data_NYSE[[#This Row],[ Other Operating Items ]]</f>
        <v>1473400000</v>
      </c>
      <c r="L1020" t="s">
        <v>46</v>
      </c>
      <c r="M1020" t="s">
        <v>378</v>
      </c>
      <c r="N1020" s="31">
        <f>Project_Data_NYSE[[#This Row],[Gross Profit]]/Project_Data_NYSE[[#This Row],[ Total Revenue ]]</f>
        <v>0.71981632945903284</v>
      </c>
      <c r="O1020" s="31">
        <f>Project_Data_NYSE[[#This Row],[Operating Profit]]/Project_Data_NYSE[[#This Row],[ Total Revenue ]]</f>
        <v>0.42284402353278805</v>
      </c>
    </row>
    <row r="1021" spans="1:15" x14ac:dyDescent="0.2">
      <c r="A1021">
        <v>1047</v>
      </c>
      <c r="B1021" t="s">
        <v>379</v>
      </c>
      <c r="C1021" t="s">
        <v>11</v>
      </c>
      <c r="D1021" s="48">
        <v>41274</v>
      </c>
      <c r="E1021" s="3">
        <v>35015000000</v>
      </c>
      <c r="F1021" s="3">
        <v>21939000000</v>
      </c>
      <c r="G1021" s="3">
        <f>Project_Data_NYSE[[#This Row],[ Total Revenue ]]-Project_Data_NYSE[[#This Row],[ Cost of Goods Sold ]]</f>
        <v>13076000000</v>
      </c>
      <c r="H1021" s="3">
        <v>9176000000</v>
      </c>
      <c r="I1021" s="3">
        <v>0</v>
      </c>
      <c r="J1021" s="3">
        <v>217000000</v>
      </c>
      <c r="K1021" s="3">
        <f>Project_Data_NYSE[[#This Row],[Gross Profit]]-Project_Data_NYSE[[#This Row],[ Sales, General and Admin. ]]-Project_Data_NYSE[[#This Row],[ Research and Development ]]-Project_Data_NYSE[[#This Row],[ Other Operating Items ]]</f>
        <v>3683000000</v>
      </c>
      <c r="L1021" t="s">
        <v>35</v>
      </c>
      <c r="M1021" t="s">
        <v>123</v>
      </c>
      <c r="N1021" s="31">
        <f>Project_Data_NYSE[[#This Row],[Gross Profit]]/Project_Data_NYSE[[#This Row],[ Total Revenue ]]</f>
        <v>0.37343995430529775</v>
      </c>
      <c r="O1021" s="31">
        <f>Project_Data_NYSE[[#This Row],[Operating Profit]]/Project_Data_NYSE[[#This Row],[ Total Revenue ]]</f>
        <v>0.1051834927888048</v>
      </c>
    </row>
    <row r="1022" spans="1:15" x14ac:dyDescent="0.2">
      <c r="A1022">
        <v>1048</v>
      </c>
      <c r="B1022" t="s">
        <v>379</v>
      </c>
      <c r="C1022" t="s">
        <v>14</v>
      </c>
      <c r="D1022" s="48">
        <v>41639</v>
      </c>
      <c r="E1022" s="3">
        <v>35299000000</v>
      </c>
      <c r="F1022" s="3">
        <v>22189000000</v>
      </c>
      <c r="G1022" s="3">
        <f>Project_Data_NYSE[[#This Row],[ Total Revenue ]]-Project_Data_NYSE[[#This Row],[ Cost of Goods Sold ]]</f>
        <v>13110000000</v>
      </c>
      <c r="H1022" s="3">
        <v>8679000000</v>
      </c>
      <c r="I1022" s="3">
        <v>0</v>
      </c>
      <c r="J1022" s="3">
        <v>217000000</v>
      </c>
      <c r="K1022" s="3">
        <f>Project_Data_NYSE[[#This Row],[Gross Profit]]-Project_Data_NYSE[[#This Row],[ Sales, General and Admin. ]]-Project_Data_NYSE[[#This Row],[ Research and Development ]]-Project_Data_NYSE[[#This Row],[ Other Operating Items ]]</f>
        <v>4214000000</v>
      </c>
      <c r="L1022" t="s">
        <v>35</v>
      </c>
      <c r="M1022" t="s">
        <v>123</v>
      </c>
      <c r="N1022" s="31">
        <f>Project_Data_NYSE[[#This Row],[Gross Profit]]/Project_Data_NYSE[[#This Row],[ Total Revenue ]]</f>
        <v>0.37139862319045863</v>
      </c>
      <c r="O1022" s="31">
        <f>Project_Data_NYSE[[#This Row],[Operating Profit]]/Project_Data_NYSE[[#This Row],[ Total Revenue ]]</f>
        <v>0.11938015241224964</v>
      </c>
    </row>
    <row r="1023" spans="1:15" x14ac:dyDescent="0.2">
      <c r="A1023">
        <v>1049</v>
      </c>
      <c r="B1023" t="s">
        <v>379</v>
      </c>
      <c r="C1023" t="s">
        <v>15</v>
      </c>
      <c r="D1023" s="48">
        <v>42004</v>
      </c>
      <c r="E1023" s="3">
        <v>34244000000</v>
      </c>
      <c r="F1023" s="3">
        <v>21647000000</v>
      </c>
      <c r="G1023" s="3">
        <f>Project_Data_NYSE[[#This Row],[ Total Revenue ]]-Project_Data_NYSE[[#This Row],[ Cost of Goods Sold ]]</f>
        <v>12597000000</v>
      </c>
      <c r="H1023" s="3">
        <v>8457000000</v>
      </c>
      <c r="I1023" s="3">
        <v>0</v>
      </c>
      <c r="J1023" s="3">
        <v>206000000</v>
      </c>
      <c r="K1023" s="3">
        <f>Project_Data_NYSE[[#This Row],[Gross Profit]]-Project_Data_NYSE[[#This Row],[ Sales, General and Admin. ]]-Project_Data_NYSE[[#This Row],[ Research and Development ]]-Project_Data_NYSE[[#This Row],[ Other Operating Items ]]</f>
        <v>3934000000</v>
      </c>
      <c r="L1023" t="s">
        <v>35</v>
      </c>
      <c r="M1023" t="s">
        <v>123</v>
      </c>
      <c r="N1023" s="31">
        <f>Project_Data_NYSE[[#This Row],[Gross Profit]]/Project_Data_NYSE[[#This Row],[ Total Revenue ]]</f>
        <v>0.36786006307674335</v>
      </c>
      <c r="O1023" s="31">
        <f>Project_Data_NYSE[[#This Row],[Operating Profit]]/Project_Data_NYSE[[#This Row],[ Total Revenue ]]</f>
        <v>0.11488143908421913</v>
      </c>
    </row>
    <row r="1024" spans="1:15" x14ac:dyDescent="0.2">
      <c r="A1024">
        <v>1050</v>
      </c>
      <c r="B1024" t="s">
        <v>379</v>
      </c>
      <c r="C1024" t="s">
        <v>16</v>
      </c>
      <c r="D1024" s="48">
        <v>42369</v>
      </c>
      <c r="E1024" s="3">
        <v>29636000000</v>
      </c>
      <c r="F1024" s="3">
        <v>18124000000</v>
      </c>
      <c r="G1024" s="3">
        <f>Project_Data_NYSE[[#This Row],[ Total Revenue ]]-Project_Data_NYSE[[#This Row],[ Cost of Goods Sold ]]</f>
        <v>11512000000</v>
      </c>
      <c r="H1024" s="3">
        <v>7577000000</v>
      </c>
      <c r="I1024" s="3">
        <v>0</v>
      </c>
      <c r="J1024" s="3">
        <v>181000000</v>
      </c>
      <c r="K1024" s="3">
        <f>Project_Data_NYSE[[#This Row],[Gross Profit]]-Project_Data_NYSE[[#This Row],[ Sales, General and Admin. ]]-Project_Data_NYSE[[#This Row],[ Research and Development ]]-Project_Data_NYSE[[#This Row],[ Other Operating Items ]]</f>
        <v>3754000000</v>
      </c>
      <c r="L1024" t="s">
        <v>35</v>
      </c>
      <c r="M1024" t="s">
        <v>123</v>
      </c>
      <c r="N1024" s="31">
        <f>Project_Data_NYSE[[#This Row],[Gross Profit]]/Project_Data_NYSE[[#This Row],[ Total Revenue ]]</f>
        <v>0.38844648400593873</v>
      </c>
      <c r="O1024" s="31">
        <f>Project_Data_NYSE[[#This Row],[Operating Profit]]/Project_Data_NYSE[[#This Row],[ Total Revenue ]]</f>
        <v>0.12667026589283303</v>
      </c>
    </row>
    <row r="1025" spans="1:15" x14ac:dyDescent="0.2">
      <c r="A1025">
        <v>1051</v>
      </c>
      <c r="B1025" t="s">
        <v>380</v>
      </c>
      <c r="C1025" t="s">
        <v>11</v>
      </c>
      <c r="D1025" s="48">
        <v>41274</v>
      </c>
      <c r="E1025" s="3">
        <v>68150000000</v>
      </c>
      <c r="F1025" s="3">
        <v>37987000000</v>
      </c>
      <c r="G1025" s="3">
        <f>Project_Data_NYSE[[#This Row],[ Total Revenue ]]-Project_Data_NYSE[[#This Row],[ Cost of Goods Sold ]]</f>
        <v>30163000000</v>
      </c>
      <c r="H1025" s="3">
        <v>9098000000</v>
      </c>
      <c r="I1025" s="3">
        <v>0</v>
      </c>
      <c r="J1025" s="3">
        <v>17755000000</v>
      </c>
      <c r="K1025" s="3">
        <f>Project_Data_NYSE[[#This Row],[Gross Profit]]-Project_Data_NYSE[[#This Row],[ Sales, General and Admin. ]]-Project_Data_NYSE[[#This Row],[ Research and Development ]]-Project_Data_NYSE[[#This Row],[ Other Operating Items ]]</f>
        <v>3310000000</v>
      </c>
      <c r="L1025" t="s">
        <v>46</v>
      </c>
      <c r="M1025" t="s">
        <v>47</v>
      </c>
      <c r="N1025" s="31">
        <f>Project_Data_NYSE[[#This Row],[Gross Profit]]/Project_Data_NYSE[[#This Row],[ Total Revenue ]]</f>
        <v>0.44259721203228175</v>
      </c>
      <c r="O1025" s="31">
        <f>Project_Data_NYSE[[#This Row],[Operating Profit]]/Project_Data_NYSE[[#This Row],[ Total Revenue ]]</f>
        <v>4.8569332355099047E-2</v>
      </c>
    </row>
    <row r="1026" spans="1:15" x14ac:dyDescent="0.2">
      <c r="A1026">
        <v>1052</v>
      </c>
      <c r="B1026" t="s">
        <v>380</v>
      </c>
      <c r="C1026" t="s">
        <v>14</v>
      </c>
      <c r="D1026" s="48">
        <v>41639</v>
      </c>
      <c r="E1026" s="3">
        <v>68199000000</v>
      </c>
      <c r="F1026" s="3">
        <v>38107000000</v>
      </c>
      <c r="G1026" s="3">
        <f>Project_Data_NYSE[[#This Row],[ Total Revenue ]]-Project_Data_NYSE[[#This Row],[ Cost of Goods Sold ]]</f>
        <v>30092000000</v>
      </c>
      <c r="H1026" s="3">
        <v>9438000000</v>
      </c>
      <c r="I1026" s="3">
        <v>0</v>
      </c>
      <c r="J1026" s="3">
        <v>16602000000</v>
      </c>
      <c r="K1026" s="3">
        <f>Project_Data_NYSE[[#This Row],[Gross Profit]]-Project_Data_NYSE[[#This Row],[ Sales, General and Admin. ]]-Project_Data_NYSE[[#This Row],[ Research and Development ]]-Project_Data_NYSE[[#This Row],[ Other Operating Items ]]</f>
        <v>4052000000</v>
      </c>
      <c r="L1026" t="s">
        <v>46</v>
      </c>
      <c r="M1026" t="s">
        <v>47</v>
      </c>
      <c r="N1026" s="31">
        <f>Project_Data_NYSE[[#This Row],[Gross Profit]]/Project_Data_NYSE[[#This Row],[ Total Revenue ]]</f>
        <v>0.44123814132172023</v>
      </c>
      <c r="O1026" s="31">
        <f>Project_Data_NYSE[[#This Row],[Operating Profit]]/Project_Data_NYSE[[#This Row],[ Total Revenue ]]</f>
        <v>5.9414360914382909E-2</v>
      </c>
    </row>
    <row r="1027" spans="1:15" x14ac:dyDescent="0.2">
      <c r="A1027">
        <v>1053</v>
      </c>
      <c r="B1027" t="s">
        <v>380</v>
      </c>
      <c r="C1027" t="s">
        <v>15</v>
      </c>
      <c r="D1027" s="48">
        <v>42004</v>
      </c>
      <c r="E1027" s="3">
        <v>73316000000</v>
      </c>
      <c r="F1027" s="3">
        <v>39102000000</v>
      </c>
      <c r="G1027" s="3">
        <f>Project_Data_NYSE[[#This Row],[ Total Revenue ]]-Project_Data_NYSE[[#This Row],[ Cost of Goods Sold ]]</f>
        <v>34214000000</v>
      </c>
      <c r="H1027" s="3">
        <v>8319000000</v>
      </c>
      <c r="I1027" s="3">
        <v>0</v>
      </c>
      <c r="J1027" s="3">
        <v>17091000000</v>
      </c>
      <c r="K1027" s="3">
        <f>Project_Data_NYSE[[#This Row],[Gross Profit]]-Project_Data_NYSE[[#This Row],[ Sales, General and Admin. ]]-Project_Data_NYSE[[#This Row],[ Research and Development ]]-Project_Data_NYSE[[#This Row],[ Other Operating Items ]]</f>
        <v>8804000000</v>
      </c>
      <c r="L1027" t="s">
        <v>46</v>
      </c>
      <c r="M1027" t="s">
        <v>47</v>
      </c>
      <c r="N1027" s="31">
        <f>Project_Data_NYSE[[#This Row],[Gross Profit]]/Project_Data_NYSE[[#This Row],[ Total Revenue ]]</f>
        <v>0.46666484805499481</v>
      </c>
      <c r="O1027" s="31">
        <f>Project_Data_NYSE[[#This Row],[Operating Profit]]/Project_Data_NYSE[[#This Row],[ Total Revenue ]]</f>
        <v>0.12008292869223634</v>
      </c>
    </row>
    <row r="1028" spans="1:15" x14ac:dyDescent="0.2">
      <c r="A1028">
        <v>1054</v>
      </c>
      <c r="B1028" t="s">
        <v>380</v>
      </c>
      <c r="C1028" t="s">
        <v>16</v>
      </c>
      <c r="D1028" s="48">
        <v>42369</v>
      </c>
      <c r="E1028" s="3">
        <v>69951000000</v>
      </c>
      <c r="F1028" s="3">
        <v>38714000000</v>
      </c>
      <c r="G1028" s="3">
        <f>Project_Data_NYSE[[#This Row],[ Total Revenue ]]-Project_Data_NYSE[[#This Row],[ Cost of Goods Sold ]]</f>
        <v>31237000000</v>
      </c>
      <c r="H1028" s="3">
        <v>6998000000</v>
      </c>
      <c r="I1028" s="3">
        <v>0</v>
      </c>
      <c r="J1028" s="3">
        <v>16769000000</v>
      </c>
      <c r="K1028" s="3">
        <f>Project_Data_NYSE[[#This Row],[Gross Profit]]-Project_Data_NYSE[[#This Row],[ Sales, General and Admin. ]]-Project_Data_NYSE[[#This Row],[ Research and Development ]]-Project_Data_NYSE[[#This Row],[ Other Operating Items ]]</f>
        <v>7470000000</v>
      </c>
      <c r="L1028" t="s">
        <v>46</v>
      </c>
      <c r="M1028" t="s">
        <v>47</v>
      </c>
      <c r="N1028" s="31">
        <f>Project_Data_NYSE[[#This Row],[Gross Profit]]/Project_Data_NYSE[[#This Row],[ Total Revenue ]]</f>
        <v>0.44655544595502566</v>
      </c>
      <c r="O1028" s="31">
        <f>Project_Data_NYSE[[#This Row],[Operating Profit]]/Project_Data_NYSE[[#This Row],[ Total Revenue ]]</f>
        <v>0.10678903804091436</v>
      </c>
    </row>
    <row r="1029" spans="1:15" x14ac:dyDescent="0.2">
      <c r="A1029">
        <v>1055</v>
      </c>
      <c r="B1029" t="s">
        <v>381</v>
      </c>
      <c r="C1029" t="s">
        <v>11</v>
      </c>
      <c r="D1029" s="48">
        <v>41274</v>
      </c>
      <c r="E1029" s="3">
        <v>5787980000</v>
      </c>
      <c r="F1029" s="3">
        <v>4297922000</v>
      </c>
      <c r="G1029" s="3">
        <f>Project_Data_NYSE[[#This Row],[ Total Revenue ]]-Project_Data_NYSE[[#This Row],[ Cost of Goods Sold ]]</f>
        <v>1490058000</v>
      </c>
      <c r="H1029" s="3">
        <v>1110550000</v>
      </c>
      <c r="I1029" s="3">
        <v>0</v>
      </c>
      <c r="J1029" s="3">
        <v>0</v>
      </c>
      <c r="K1029" s="3">
        <f>Project_Data_NYSE[[#This Row],[Gross Profit]]-Project_Data_NYSE[[#This Row],[ Sales, General and Admin. ]]-Project_Data_NYSE[[#This Row],[ Research and Development ]]-Project_Data_NYSE[[#This Row],[ Other Operating Items ]]</f>
        <v>379508000</v>
      </c>
      <c r="L1029" t="s">
        <v>18</v>
      </c>
      <c r="M1029" t="s">
        <v>382</v>
      </c>
      <c r="N1029" s="31">
        <f>Project_Data_NYSE[[#This Row],[Gross Profit]]/Project_Data_NYSE[[#This Row],[ Total Revenue ]]</f>
        <v>0.25744007408456837</v>
      </c>
      <c r="O1029" s="31">
        <f>Project_Data_NYSE[[#This Row],[Operating Profit]]/Project_Data_NYSE[[#This Row],[ Total Revenue ]]</f>
        <v>6.5568298439179121E-2</v>
      </c>
    </row>
    <row r="1030" spans="1:15" x14ac:dyDescent="0.2">
      <c r="A1030">
        <v>1056</v>
      </c>
      <c r="B1030" t="s">
        <v>381</v>
      </c>
      <c r="C1030" t="s">
        <v>14</v>
      </c>
      <c r="D1030" s="48">
        <v>41639</v>
      </c>
      <c r="E1030" s="3">
        <v>7348754000</v>
      </c>
      <c r="F1030" s="3">
        <v>5427945000</v>
      </c>
      <c r="G1030" s="3">
        <f>Project_Data_NYSE[[#This Row],[ Total Revenue ]]-Project_Data_NYSE[[#This Row],[ Cost of Goods Sold ]]</f>
        <v>1920809000</v>
      </c>
      <c r="H1030" s="3">
        <v>1373878000</v>
      </c>
      <c r="I1030" s="3">
        <v>0</v>
      </c>
      <c r="J1030" s="3">
        <v>0</v>
      </c>
      <c r="K1030" s="3">
        <f>Project_Data_NYSE[[#This Row],[Gross Profit]]-Project_Data_NYSE[[#This Row],[ Sales, General and Admin. ]]-Project_Data_NYSE[[#This Row],[ Research and Development ]]-Project_Data_NYSE[[#This Row],[ Other Operating Items ]]</f>
        <v>546931000</v>
      </c>
      <c r="L1030" t="s">
        <v>18</v>
      </c>
      <c r="M1030" t="s">
        <v>382</v>
      </c>
      <c r="N1030" s="31">
        <f>Project_Data_NYSE[[#This Row],[Gross Profit]]/Project_Data_NYSE[[#This Row],[ Total Revenue ]]</f>
        <v>0.26137886776452174</v>
      </c>
      <c r="O1030" s="31">
        <f>Project_Data_NYSE[[#This Row],[Operating Profit]]/Project_Data_NYSE[[#This Row],[ Total Revenue ]]</f>
        <v>7.4424997761525294E-2</v>
      </c>
    </row>
    <row r="1031" spans="1:15" x14ac:dyDescent="0.2">
      <c r="A1031">
        <v>1057</v>
      </c>
      <c r="B1031" t="s">
        <v>381</v>
      </c>
      <c r="C1031" t="s">
        <v>15</v>
      </c>
      <c r="D1031" s="48">
        <v>42004</v>
      </c>
      <c r="E1031" s="3">
        <v>7803446000</v>
      </c>
      <c r="F1031" s="3">
        <v>5649254000</v>
      </c>
      <c r="G1031" s="3">
        <f>Project_Data_NYSE[[#This Row],[ Total Revenue ]]-Project_Data_NYSE[[#This Row],[ Cost of Goods Sold ]]</f>
        <v>2154192000</v>
      </c>
      <c r="H1031" s="3">
        <v>1381396000</v>
      </c>
      <c r="I1031" s="3">
        <v>0</v>
      </c>
      <c r="J1031" s="3">
        <v>0</v>
      </c>
      <c r="K1031" s="3">
        <f>Project_Data_NYSE[[#This Row],[Gross Profit]]-Project_Data_NYSE[[#This Row],[ Sales, General and Admin. ]]-Project_Data_NYSE[[#This Row],[ Research and Development ]]-Project_Data_NYSE[[#This Row],[ Other Operating Items ]]</f>
        <v>772796000</v>
      </c>
      <c r="L1031" t="s">
        <v>18</v>
      </c>
      <c r="M1031" t="s">
        <v>382</v>
      </c>
      <c r="N1031" s="31">
        <f>Project_Data_NYSE[[#This Row],[Gross Profit]]/Project_Data_NYSE[[#This Row],[ Total Revenue ]]</f>
        <v>0.27605650119190933</v>
      </c>
      <c r="O1031" s="31">
        <f>Project_Data_NYSE[[#This Row],[Operating Profit]]/Project_Data_NYSE[[#This Row],[ Total Revenue ]]</f>
        <v>9.9032658135905602E-2</v>
      </c>
    </row>
    <row r="1032" spans="1:15" x14ac:dyDescent="0.2">
      <c r="A1032">
        <v>1058</v>
      </c>
      <c r="B1032" t="s">
        <v>381</v>
      </c>
      <c r="C1032" t="s">
        <v>16</v>
      </c>
      <c r="D1032" s="48">
        <v>42369</v>
      </c>
      <c r="E1032" s="3">
        <v>8071563000</v>
      </c>
      <c r="F1032" s="3">
        <v>5660877000</v>
      </c>
      <c r="G1032" s="3">
        <f>Project_Data_NYSE[[#This Row],[ Total Revenue ]]-Project_Data_NYSE[[#This Row],[ Cost of Goods Sold ]]</f>
        <v>2410686000</v>
      </c>
      <c r="H1032" s="3">
        <v>1573120000</v>
      </c>
      <c r="I1032" s="3">
        <v>0</v>
      </c>
      <c r="J1032" s="3">
        <v>0</v>
      </c>
      <c r="K1032" s="3">
        <f>Project_Data_NYSE[[#This Row],[Gross Profit]]-Project_Data_NYSE[[#This Row],[ Sales, General and Admin. ]]-Project_Data_NYSE[[#This Row],[ Research and Development ]]-Project_Data_NYSE[[#This Row],[ Other Operating Items ]]</f>
        <v>837566000</v>
      </c>
      <c r="L1032" t="s">
        <v>18</v>
      </c>
      <c r="M1032" t="s">
        <v>382</v>
      </c>
      <c r="N1032" s="31">
        <f>Project_Data_NYSE[[#This Row],[Gross Profit]]/Project_Data_NYSE[[#This Row],[ Total Revenue ]]</f>
        <v>0.29866408773616709</v>
      </c>
      <c r="O1032" s="31">
        <f>Project_Data_NYSE[[#This Row],[Operating Profit]]/Project_Data_NYSE[[#This Row],[ Total Revenue ]]</f>
        <v>0.10376751070393678</v>
      </c>
    </row>
    <row r="1033" spans="1:15" x14ac:dyDescent="0.2">
      <c r="A1033">
        <v>1059</v>
      </c>
      <c r="B1033" t="s">
        <v>383</v>
      </c>
      <c r="C1033" t="s">
        <v>11</v>
      </c>
      <c r="D1033" s="48">
        <v>41274</v>
      </c>
      <c r="E1033" s="3">
        <v>3901300000</v>
      </c>
      <c r="F1033" s="3">
        <v>1503800000</v>
      </c>
      <c r="G1033" s="3">
        <f>Project_Data_NYSE[[#This Row],[ Total Revenue ]]-Project_Data_NYSE[[#This Row],[ Cost of Goods Sold ]]</f>
        <v>2397500000</v>
      </c>
      <c r="H1033" s="3">
        <v>1457300000</v>
      </c>
      <c r="I1033" s="3">
        <v>100100000</v>
      </c>
      <c r="J1033" s="3">
        <v>0</v>
      </c>
      <c r="K1033" s="3">
        <f>Project_Data_NYSE[[#This Row],[Gross Profit]]-Project_Data_NYSE[[#This Row],[ Sales, General and Admin. ]]-Project_Data_NYSE[[#This Row],[ Research and Development ]]-Project_Data_NYSE[[#This Row],[ Other Operating Items ]]</f>
        <v>840100000</v>
      </c>
      <c r="L1033" t="s">
        <v>35</v>
      </c>
      <c r="M1033" t="s">
        <v>123</v>
      </c>
      <c r="N1033" s="31">
        <f>Project_Data_NYSE[[#This Row],[Gross Profit]]/Project_Data_NYSE[[#This Row],[ Total Revenue ]]</f>
        <v>0.61453874349575788</v>
      </c>
      <c r="O1033" s="31">
        <f>Project_Data_NYSE[[#This Row],[Operating Profit]]/Project_Data_NYSE[[#This Row],[ Total Revenue ]]</f>
        <v>0.21533847691795044</v>
      </c>
    </row>
    <row r="1034" spans="1:15" x14ac:dyDescent="0.2">
      <c r="A1034">
        <v>1060</v>
      </c>
      <c r="B1034" t="s">
        <v>383</v>
      </c>
      <c r="C1034" t="s">
        <v>14</v>
      </c>
      <c r="D1034" s="48">
        <v>41639</v>
      </c>
      <c r="E1034" s="3">
        <v>4200700000</v>
      </c>
      <c r="F1034" s="3">
        <v>1528500000</v>
      </c>
      <c r="G1034" s="3">
        <f>Project_Data_NYSE[[#This Row],[ Total Revenue ]]-Project_Data_NYSE[[#This Row],[ Cost of Goods Sold ]]</f>
        <v>2672200000</v>
      </c>
      <c r="H1034" s="3">
        <v>1548600000</v>
      </c>
      <c r="I1034" s="3">
        <v>100200000</v>
      </c>
      <c r="J1034" s="3">
        <v>0</v>
      </c>
      <c r="K1034" s="3">
        <f>Project_Data_NYSE[[#This Row],[Gross Profit]]-Project_Data_NYSE[[#This Row],[ Sales, General and Admin. ]]-Project_Data_NYSE[[#This Row],[ Research and Development ]]-Project_Data_NYSE[[#This Row],[ Other Operating Items ]]</f>
        <v>1023400000</v>
      </c>
      <c r="L1034" t="s">
        <v>35</v>
      </c>
      <c r="M1034" t="s">
        <v>123</v>
      </c>
      <c r="N1034" s="31">
        <f>Project_Data_NYSE[[#This Row],[Gross Profit]]/Project_Data_NYSE[[#This Row],[ Total Revenue ]]</f>
        <v>0.63613207322589094</v>
      </c>
      <c r="O1034" s="31">
        <f>Project_Data_NYSE[[#This Row],[Operating Profit]]/Project_Data_NYSE[[#This Row],[ Total Revenue ]]</f>
        <v>0.24362606232294617</v>
      </c>
    </row>
    <row r="1035" spans="1:15" x14ac:dyDescent="0.2">
      <c r="A1035">
        <v>1061</v>
      </c>
      <c r="B1035" t="s">
        <v>383</v>
      </c>
      <c r="C1035" t="s">
        <v>15</v>
      </c>
      <c r="D1035" s="48">
        <v>42004</v>
      </c>
      <c r="E1035" s="3">
        <v>4409300000</v>
      </c>
      <c r="F1035" s="3">
        <v>1700600000</v>
      </c>
      <c r="G1035" s="3">
        <f>Project_Data_NYSE[[#This Row],[ Total Revenue ]]-Project_Data_NYSE[[#This Row],[ Cost of Goods Sold ]]</f>
        <v>2708700000</v>
      </c>
      <c r="H1035" s="3">
        <v>1617600000</v>
      </c>
      <c r="I1035" s="3">
        <v>115100000</v>
      </c>
      <c r="J1035" s="3">
        <v>0</v>
      </c>
      <c r="K1035" s="3">
        <f>Project_Data_NYSE[[#This Row],[Gross Profit]]-Project_Data_NYSE[[#This Row],[ Sales, General and Admin. ]]-Project_Data_NYSE[[#This Row],[ Research and Development ]]-Project_Data_NYSE[[#This Row],[ Other Operating Items ]]</f>
        <v>976000000</v>
      </c>
      <c r="L1035" t="s">
        <v>35</v>
      </c>
      <c r="M1035" t="s">
        <v>123</v>
      </c>
      <c r="N1035" s="31">
        <f>Project_Data_NYSE[[#This Row],[Gross Profit]]/Project_Data_NYSE[[#This Row],[ Total Revenue ]]</f>
        <v>0.61431519742362728</v>
      </c>
      <c r="O1035" s="31">
        <f>Project_Data_NYSE[[#This Row],[Operating Profit]]/Project_Data_NYSE[[#This Row],[ Total Revenue ]]</f>
        <v>0.22135032771641758</v>
      </c>
    </row>
    <row r="1036" spans="1:15" x14ac:dyDescent="0.2">
      <c r="A1036">
        <v>1062</v>
      </c>
      <c r="B1036" t="s">
        <v>383</v>
      </c>
      <c r="C1036" t="s">
        <v>16</v>
      </c>
      <c r="D1036" s="48">
        <v>42369</v>
      </c>
      <c r="E1036" s="3">
        <v>4071300000</v>
      </c>
      <c r="F1036" s="3">
        <v>1455300000</v>
      </c>
      <c r="G1036" s="3">
        <f>Project_Data_NYSE[[#This Row],[ Total Revenue ]]-Project_Data_NYSE[[#This Row],[ Cost of Goods Sold ]]</f>
        <v>2616000000</v>
      </c>
      <c r="H1036" s="3">
        <v>1532400000</v>
      </c>
      <c r="I1036" s="3">
        <v>108400000</v>
      </c>
      <c r="J1036" s="3">
        <v>0</v>
      </c>
      <c r="K1036" s="3">
        <f>Project_Data_NYSE[[#This Row],[Gross Profit]]-Project_Data_NYSE[[#This Row],[ Sales, General and Admin. ]]-Project_Data_NYSE[[#This Row],[ Research and Development ]]-Project_Data_NYSE[[#This Row],[ Other Operating Items ]]</f>
        <v>975200000</v>
      </c>
      <c r="L1036" t="s">
        <v>35</v>
      </c>
      <c r="M1036" t="s">
        <v>123</v>
      </c>
      <c r="N1036" s="31">
        <f>Project_Data_NYSE[[#This Row],[Gross Profit]]/Project_Data_NYSE[[#This Row],[ Total Revenue ]]</f>
        <v>0.64254660673494957</v>
      </c>
      <c r="O1036" s="31">
        <f>Project_Data_NYSE[[#This Row],[Operating Profit]]/Project_Data_NYSE[[#This Row],[ Total Revenue ]]</f>
        <v>0.23953037113452705</v>
      </c>
    </row>
    <row r="1037" spans="1:15" x14ac:dyDescent="0.2">
      <c r="A1037">
        <v>1063</v>
      </c>
      <c r="B1037" t="s">
        <v>384</v>
      </c>
      <c r="C1037" t="s">
        <v>11</v>
      </c>
      <c r="D1037" s="48">
        <v>41608</v>
      </c>
      <c r="E1037" s="3">
        <v>4123400000</v>
      </c>
      <c r="F1037" s="3">
        <v>2457600000</v>
      </c>
      <c r="G1037" s="3">
        <f>Project_Data_NYSE[[#This Row],[ Total Revenue ]]-Project_Data_NYSE[[#This Row],[ Cost of Goods Sold ]]</f>
        <v>1665800000</v>
      </c>
      <c r="H1037" s="3">
        <v>1090300000</v>
      </c>
      <c r="I1037" s="3">
        <v>0</v>
      </c>
      <c r="J1037" s="3">
        <v>0</v>
      </c>
      <c r="K1037" s="3">
        <f>Project_Data_NYSE[[#This Row],[Gross Profit]]-Project_Data_NYSE[[#This Row],[ Sales, General and Admin. ]]-Project_Data_NYSE[[#This Row],[ Research and Development ]]-Project_Data_NYSE[[#This Row],[ Other Operating Items ]]</f>
        <v>575500000</v>
      </c>
      <c r="L1037" t="s">
        <v>35</v>
      </c>
      <c r="M1037" t="s">
        <v>123</v>
      </c>
      <c r="N1037" s="31">
        <f>Project_Data_NYSE[[#This Row],[Gross Profit]]/Project_Data_NYSE[[#This Row],[ Total Revenue ]]</f>
        <v>0.40398700101857693</v>
      </c>
      <c r="O1037" s="31">
        <f>Project_Data_NYSE[[#This Row],[Operating Profit]]/Project_Data_NYSE[[#This Row],[ Total Revenue ]]</f>
        <v>0.13956928748120484</v>
      </c>
    </row>
    <row r="1038" spans="1:15" x14ac:dyDescent="0.2">
      <c r="A1038">
        <v>1064</v>
      </c>
      <c r="B1038" t="s">
        <v>384</v>
      </c>
      <c r="C1038" t="s">
        <v>14</v>
      </c>
      <c r="D1038" s="48">
        <v>41973</v>
      </c>
      <c r="E1038" s="3">
        <v>4243200000</v>
      </c>
      <c r="F1038" s="3">
        <v>2513000000</v>
      </c>
      <c r="G1038" s="3">
        <f>Project_Data_NYSE[[#This Row],[ Total Revenue ]]-Project_Data_NYSE[[#This Row],[ Cost of Goods Sold ]]</f>
        <v>1730200000</v>
      </c>
      <c r="H1038" s="3">
        <v>1122000000</v>
      </c>
      <c r="I1038" s="3">
        <v>0</v>
      </c>
      <c r="J1038" s="3">
        <v>0</v>
      </c>
      <c r="K1038" s="3">
        <f>Project_Data_NYSE[[#This Row],[Gross Profit]]-Project_Data_NYSE[[#This Row],[ Sales, General and Admin. ]]-Project_Data_NYSE[[#This Row],[ Research and Development ]]-Project_Data_NYSE[[#This Row],[ Other Operating Items ]]</f>
        <v>608200000</v>
      </c>
      <c r="L1038" t="s">
        <v>35</v>
      </c>
      <c r="M1038" t="s">
        <v>123</v>
      </c>
      <c r="N1038" s="31">
        <f>Project_Data_NYSE[[#This Row],[Gross Profit]]/Project_Data_NYSE[[#This Row],[ Total Revenue ]]</f>
        <v>0.40775829562594268</v>
      </c>
      <c r="O1038" s="31">
        <f>Project_Data_NYSE[[#This Row],[Operating Profit]]/Project_Data_NYSE[[#This Row],[ Total Revenue ]]</f>
        <v>0.14333521870286575</v>
      </c>
    </row>
    <row r="1039" spans="1:15" x14ac:dyDescent="0.2">
      <c r="A1039">
        <v>1065</v>
      </c>
      <c r="B1039" t="s">
        <v>384</v>
      </c>
      <c r="C1039" t="s">
        <v>15</v>
      </c>
      <c r="D1039" s="48">
        <v>42338</v>
      </c>
      <c r="E1039" s="3">
        <v>4296300000</v>
      </c>
      <c r="F1039" s="3">
        <v>2559000000</v>
      </c>
      <c r="G1039" s="3">
        <f>Project_Data_NYSE[[#This Row],[ Total Revenue ]]-Project_Data_NYSE[[#This Row],[ Cost of Goods Sold ]]</f>
        <v>1737300000</v>
      </c>
      <c r="H1039" s="3">
        <v>1127400000</v>
      </c>
      <c r="I1039" s="3">
        <v>0</v>
      </c>
      <c r="J1039" s="3">
        <v>0</v>
      </c>
      <c r="K1039" s="3">
        <f>Project_Data_NYSE[[#This Row],[Gross Profit]]-Project_Data_NYSE[[#This Row],[ Sales, General and Admin. ]]-Project_Data_NYSE[[#This Row],[ Research and Development ]]-Project_Data_NYSE[[#This Row],[ Other Operating Items ]]</f>
        <v>609900000</v>
      </c>
      <c r="L1039" t="s">
        <v>35</v>
      </c>
      <c r="M1039" t="s">
        <v>123</v>
      </c>
      <c r="N1039" s="31">
        <f>Project_Data_NYSE[[#This Row],[Gross Profit]]/Project_Data_NYSE[[#This Row],[ Total Revenue ]]</f>
        <v>0.40437120312827318</v>
      </c>
      <c r="O1039" s="31">
        <f>Project_Data_NYSE[[#This Row],[Operating Profit]]/Project_Data_NYSE[[#This Row],[ Total Revenue ]]</f>
        <v>0.14195936037986173</v>
      </c>
    </row>
    <row r="1040" spans="1:15" x14ac:dyDescent="0.2">
      <c r="A1040">
        <v>1066</v>
      </c>
      <c r="B1040" t="s">
        <v>384</v>
      </c>
      <c r="C1040" t="s">
        <v>16</v>
      </c>
      <c r="D1040" s="48">
        <v>42704</v>
      </c>
      <c r="E1040" s="3">
        <v>4411500000</v>
      </c>
      <c r="F1040" s="3">
        <v>2579800000</v>
      </c>
      <c r="G1040" s="3">
        <f>Project_Data_NYSE[[#This Row],[ Total Revenue ]]-Project_Data_NYSE[[#This Row],[ Cost of Goods Sold ]]</f>
        <v>1831700000</v>
      </c>
      <c r="H1040" s="3">
        <v>1175000000</v>
      </c>
      <c r="I1040" s="3">
        <v>0</v>
      </c>
      <c r="J1040" s="3">
        <v>0</v>
      </c>
      <c r="K1040" s="3">
        <f>Project_Data_NYSE[[#This Row],[Gross Profit]]-Project_Data_NYSE[[#This Row],[ Sales, General and Admin. ]]-Project_Data_NYSE[[#This Row],[ Research and Development ]]-Project_Data_NYSE[[#This Row],[ Other Operating Items ]]</f>
        <v>656700000</v>
      </c>
      <c r="L1040" t="s">
        <v>35</v>
      </c>
      <c r="M1040" t="s">
        <v>123</v>
      </c>
      <c r="N1040" s="31">
        <f>Project_Data_NYSE[[#This Row],[Gross Profit]]/Project_Data_NYSE[[#This Row],[ Total Revenue ]]</f>
        <v>0.4152102459480902</v>
      </c>
      <c r="O1040" s="31">
        <f>Project_Data_NYSE[[#This Row],[Operating Profit]]/Project_Data_NYSE[[#This Row],[ Total Revenue ]]</f>
        <v>0.14886093165589936</v>
      </c>
    </row>
    <row r="1041" spans="1:15" x14ac:dyDescent="0.2">
      <c r="A1041">
        <v>1067</v>
      </c>
      <c r="B1041" t="s">
        <v>385</v>
      </c>
      <c r="C1041" t="s">
        <v>11</v>
      </c>
      <c r="D1041" s="48">
        <v>41274</v>
      </c>
      <c r="E1041" s="3">
        <v>2031901000</v>
      </c>
      <c r="F1041" s="3">
        <v>1704767000</v>
      </c>
      <c r="G1041" s="3">
        <f>Project_Data_NYSE[[#This Row],[ Total Revenue ]]-Project_Data_NYSE[[#This Row],[ Cost of Goods Sold ]]</f>
        <v>327134000</v>
      </c>
      <c r="H1041" s="3">
        <v>135824000</v>
      </c>
      <c r="I1041" s="3">
        <v>0</v>
      </c>
      <c r="J1041" s="3">
        <v>0</v>
      </c>
      <c r="K1041" s="3">
        <f>Project_Data_NYSE[[#This Row],[Gross Profit]]-Project_Data_NYSE[[#This Row],[ Sales, General and Admin. ]]-Project_Data_NYSE[[#This Row],[ Research and Development ]]-Project_Data_NYSE[[#This Row],[ Other Operating Items ]]</f>
        <v>191310000</v>
      </c>
      <c r="L1041" t="s">
        <v>58</v>
      </c>
      <c r="M1041" t="s">
        <v>386</v>
      </c>
      <c r="N1041" s="31">
        <f>Project_Data_NYSE[[#This Row],[Gross Profit]]/Project_Data_NYSE[[#This Row],[ Total Revenue ]]</f>
        <v>0.16099898567892826</v>
      </c>
      <c r="O1041" s="31">
        <f>Project_Data_NYSE[[#This Row],[Operating Profit]]/Project_Data_NYSE[[#This Row],[ Total Revenue ]]</f>
        <v>9.4153209236079907E-2</v>
      </c>
    </row>
    <row r="1042" spans="1:15" x14ac:dyDescent="0.2">
      <c r="A1042">
        <v>1068</v>
      </c>
      <c r="B1042" t="s">
        <v>385</v>
      </c>
      <c r="C1042" t="s">
        <v>14</v>
      </c>
      <c r="D1042" s="48">
        <v>41639</v>
      </c>
      <c r="E1042" s="3">
        <v>2155551000</v>
      </c>
      <c r="F1042" s="3">
        <v>1791594000</v>
      </c>
      <c r="G1042" s="3">
        <f>Project_Data_NYSE[[#This Row],[ Total Revenue ]]-Project_Data_NYSE[[#This Row],[ Cost of Goods Sold ]]</f>
        <v>363957000</v>
      </c>
      <c r="H1042" s="3">
        <v>145298000</v>
      </c>
      <c r="I1042" s="3">
        <v>0</v>
      </c>
      <c r="J1042" s="3">
        <v>0</v>
      </c>
      <c r="K1042" s="3">
        <f>Project_Data_NYSE[[#This Row],[Gross Profit]]-Project_Data_NYSE[[#This Row],[ Sales, General and Admin. ]]-Project_Data_NYSE[[#This Row],[ Research and Development ]]-Project_Data_NYSE[[#This Row],[ Other Operating Items ]]</f>
        <v>218659000</v>
      </c>
      <c r="L1042" t="s">
        <v>58</v>
      </c>
      <c r="M1042" t="s">
        <v>386</v>
      </c>
      <c r="N1042" s="31">
        <f>Project_Data_NYSE[[#This Row],[Gross Profit]]/Project_Data_NYSE[[#This Row],[ Total Revenue ]]</f>
        <v>0.16884638776813909</v>
      </c>
      <c r="O1042" s="31">
        <f>Project_Data_NYSE[[#This Row],[Operating Profit]]/Project_Data_NYSE[[#This Row],[ Total Revenue ]]</f>
        <v>0.10143995665145478</v>
      </c>
    </row>
    <row r="1043" spans="1:15" x14ac:dyDescent="0.2">
      <c r="A1043">
        <v>1069</v>
      </c>
      <c r="B1043" t="s">
        <v>385</v>
      </c>
      <c r="C1043" t="s">
        <v>15</v>
      </c>
      <c r="D1043" s="48">
        <v>42004</v>
      </c>
      <c r="E1043" s="3">
        <v>2957951000</v>
      </c>
      <c r="F1043" s="3">
        <v>2435591000</v>
      </c>
      <c r="G1043" s="3">
        <f>Project_Data_NYSE[[#This Row],[ Total Revenue ]]-Project_Data_NYSE[[#This Row],[ Cost of Goods Sold ]]</f>
        <v>522360000</v>
      </c>
      <c r="H1043" s="3">
        <v>164596000</v>
      </c>
      <c r="I1043" s="3">
        <v>0</v>
      </c>
      <c r="J1043" s="3">
        <v>0</v>
      </c>
      <c r="K1043" s="3">
        <f>Project_Data_NYSE[[#This Row],[Gross Profit]]-Project_Data_NYSE[[#This Row],[ Sales, General and Admin. ]]-Project_Data_NYSE[[#This Row],[ Research and Development ]]-Project_Data_NYSE[[#This Row],[ Other Operating Items ]]</f>
        <v>357764000</v>
      </c>
      <c r="L1043" t="s">
        <v>58</v>
      </c>
      <c r="M1043" t="s">
        <v>386</v>
      </c>
      <c r="N1043" s="31">
        <f>Project_Data_NYSE[[#This Row],[Gross Profit]]/Project_Data_NYSE[[#This Row],[ Total Revenue ]]</f>
        <v>0.17659521743260792</v>
      </c>
      <c r="O1043" s="31">
        <f>Project_Data_NYSE[[#This Row],[Operating Profit]]/Project_Data_NYSE[[#This Row],[ Total Revenue ]]</f>
        <v>0.12094994136143566</v>
      </c>
    </row>
    <row r="1044" spans="1:15" x14ac:dyDescent="0.2">
      <c r="A1044">
        <v>1070</v>
      </c>
      <c r="B1044" t="s">
        <v>385</v>
      </c>
      <c r="C1044" t="s">
        <v>16</v>
      </c>
      <c r="D1044" s="48">
        <v>42369</v>
      </c>
      <c r="E1044" s="3">
        <v>3539570000</v>
      </c>
      <c r="F1044" s="3">
        <v>2817803000</v>
      </c>
      <c r="G1044" s="3">
        <f>Project_Data_NYSE[[#This Row],[ Total Revenue ]]-Project_Data_NYSE[[#This Row],[ Cost of Goods Sold ]]</f>
        <v>721767000</v>
      </c>
      <c r="H1044" s="3">
        <v>233887000</v>
      </c>
      <c r="I1044" s="3">
        <v>0</v>
      </c>
      <c r="J1044" s="3">
        <v>0</v>
      </c>
      <c r="K1044" s="3">
        <f>Project_Data_NYSE[[#This Row],[Gross Profit]]-Project_Data_NYSE[[#This Row],[ Sales, General and Admin. ]]-Project_Data_NYSE[[#This Row],[ Research and Development ]]-Project_Data_NYSE[[#This Row],[ Other Operating Items ]]</f>
        <v>487880000</v>
      </c>
      <c r="L1044" t="s">
        <v>58</v>
      </c>
      <c r="M1044" t="s">
        <v>386</v>
      </c>
      <c r="N1044" s="31">
        <f>Project_Data_NYSE[[#This Row],[Gross Profit]]/Project_Data_NYSE[[#This Row],[ Total Revenue ]]</f>
        <v>0.20391375223544103</v>
      </c>
      <c r="O1044" s="31">
        <f>Project_Data_NYSE[[#This Row],[Operating Profit]]/Project_Data_NYSE[[#This Row],[ Total Revenue ]]</f>
        <v>0.13783595182465666</v>
      </c>
    </row>
    <row r="1045" spans="1:15" x14ac:dyDescent="0.2">
      <c r="A1045">
        <v>1071</v>
      </c>
      <c r="B1045" t="s">
        <v>387</v>
      </c>
      <c r="C1045" t="s">
        <v>11</v>
      </c>
      <c r="D1045" s="48">
        <v>41274</v>
      </c>
      <c r="E1045" s="3">
        <v>11924000000</v>
      </c>
      <c r="F1045" s="3">
        <v>0</v>
      </c>
      <c r="G1045" s="3">
        <f>Project_Data_NYSE[[#This Row],[ Total Revenue ]]-Project_Data_NYSE[[#This Row],[ Cost of Goods Sold ]]</f>
        <v>11924000000</v>
      </c>
      <c r="H1045" s="3">
        <v>7134000000</v>
      </c>
      <c r="I1045" s="3">
        <v>0</v>
      </c>
      <c r="J1045" s="3">
        <v>2961000000</v>
      </c>
      <c r="K1045" s="3">
        <f>Project_Data_NYSE[[#This Row],[Gross Profit]]-Project_Data_NYSE[[#This Row],[ Sales, General and Admin. ]]-Project_Data_NYSE[[#This Row],[ Research and Development ]]-Project_Data_NYSE[[#This Row],[ Other Operating Items ]]</f>
        <v>1829000000</v>
      </c>
      <c r="L1045" t="s">
        <v>46</v>
      </c>
      <c r="M1045" t="s">
        <v>388</v>
      </c>
      <c r="N1045" s="31">
        <f>Project_Data_NYSE[[#This Row],[Gross Profit]]/Project_Data_NYSE[[#This Row],[ Total Revenue ]]</f>
        <v>1</v>
      </c>
      <c r="O1045" s="31">
        <f>Project_Data_NYSE[[#This Row],[Operating Profit]]/Project_Data_NYSE[[#This Row],[ Total Revenue ]]</f>
        <v>0.15338812479033881</v>
      </c>
    </row>
    <row r="1046" spans="1:15" x14ac:dyDescent="0.2">
      <c r="A1046">
        <v>1072</v>
      </c>
      <c r="B1046" t="s">
        <v>387</v>
      </c>
      <c r="C1046" t="s">
        <v>14</v>
      </c>
      <c r="D1046" s="48">
        <v>41639</v>
      </c>
      <c r="E1046" s="3">
        <v>12261000000</v>
      </c>
      <c r="F1046" s="3">
        <v>0</v>
      </c>
      <c r="G1046" s="3">
        <f>Project_Data_NYSE[[#This Row],[ Total Revenue ]]-Project_Data_NYSE[[#This Row],[ Cost of Goods Sold ]]</f>
        <v>12261000000</v>
      </c>
      <c r="H1046" s="3">
        <v>7226000000</v>
      </c>
      <c r="I1046" s="3">
        <v>0</v>
      </c>
      <c r="J1046" s="3">
        <v>2958000000</v>
      </c>
      <c r="K1046" s="3">
        <f>Project_Data_NYSE[[#This Row],[Gross Profit]]-Project_Data_NYSE[[#This Row],[ Sales, General and Admin. ]]-Project_Data_NYSE[[#This Row],[ Research and Development ]]-Project_Data_NYSE[[#This Row],[ Other Operating Items ]]</f>
        <v>2077000000</v>
      </c>
      <c r="L1046" t="s">
        <v>46</v>
      </c>
      <c r="M1046" t="s">
        <v>388</v>
      </c>
      <c r="N1046" s="31">
        <f>Project_Data_NYSE[[#This Row],[Gross Profit]]/Project_Data_NYSE[[#This Row],[ Total Revenue ]]</f>
        <v>1</v>
      </c>
      <c r="O1046" s="31">
        <f>Project_Data_NYSE[[#This Row],[Operating Profit]]/Project_Data_NYSE[[#This Row],[ Total Revenue ]]</f>
        <v>0.16939890710382513</v>
      </c>
    </row>
    <row r="1047" spans="1:15" x14ac:dyDescent="0.2">
      <c r="A1047">
        <v>1073</v>
      </c>
      <c r="B1047" t="s">
        <v>387</v>
      </c>
      <c r="C1047" t="s">
        <v>15</v>
      </c>
      <c r="D1047" s="48">
        <v>42004</v>
      </c>
      <c r="E1047" s="3">
        <v>12951000000</v>
      </c>
      <c r="F1047" s="3">
        <v>0</v>
      </c>
      <c r="G1047" s="3">
        <f>Project_Data_NYSE[[#This Row],[ Total Revenue ]]-Project_Data_NYSE[[#This Row],[ Cost of Goods Sold ]]</f>
        <v>12951000000</v>
      </c>
      <c r="H1047" s="3">
        <v>7515000000</v>
      </c>
      <c r="I1047" s="3">
        <v>0</v>
      </c>
      <c r="J1047" s="3">
        <v>3135000000</v>
      </c>
      <c r="K1047" s="3">
        <f>Project_Data_NYSE[[#This Row],[Gross Profit]]-Project_Data_NYSE[[#This Row],[ Sales, General and Admin. ]]-Project_Data_NYSE[[#This Row],[ Research and Development ]]-Project_Data_NYSE[[#This Row],[ Other Operating Items ]]</f>
        <v>2301000000</v>
      </c>
      <c r="L1047" t="s">
        <v>46</v>
      </c>
      <c r="M1047" t="s">
        <v>388</v>
      </c>
      <c r="N1047" s="31">
        <f>Project_Data_NYSE[[#This Row],[Gross Profit]]/Project_Data_NYSE[[#This Row],[ Total Revenue ]]</f>
        <v>1</v>
      </c>
      <c r="O1047" s="31">
        <f>Project_Data_NYSE[[#This Row],[Operating Profit]]/Project_Data_NYSE[[#This Row],[ Total Revenue ]]</f>
        <v>0.17766967801714154</v>
      </c>
    </row>
    <row r="1048" spans="1:15" x14ac:dyDescent="0.2">
      <c r="A1048">
        <v>1074</v>
      </c>
      <c r="B1048" t="s">
        <v>387</v>
      </c>
      <c r="C1048" t="s">
        <v>16</v>
      </c>
      <c r="D1048" s="48">
        <v>42369</v>
      </c>
      <c r="E1048" s="3">
        <v>12893000000</v>
      </c>
      <c r="F1048" s="3">
        <v>0</v>
      </c>
      <c r="G1048" s="3">
        <f>Project_Data_NYSE[[#This Row],[ Total Revenue ]]-Project_Data_NYSE[[#This Row],[ Cost of Goods Sold ]]</f>
        <v>12893000000</v>
      </c>
      <c r="H1048" s="3">
        <v>7334000000</v>
      </c>
      <c r="I1048" s="3">
        <v>0</v>
      </c>
      <c r="J1048" s="3">
        <v>3140000000</v>
      </c>
      <c r="K1048" s="3">
        <f>Project_Data_NYSE[[#This Row],[Gross Profit]]-Project_Data_NYSE[[#This Row],[ Sales, General and Admin. ]]-Project_Data_NYSE[[#This Row],[ Research and Development ]]-Project_Data_NYSE[[#This Row],[ Other Operating Items ]]</f>
        <v>2419000000</v>
      </c>
      <c r="L1048" t="s">
        <v>46</v>
      </c>
      <c r="M1048" t="s">
        <v>388</v>
      </c>
      <c r="N1048" s="31">
        <f>Project_Data_NYSE[[#This Row],[Gross Profit]]/Project_Data_NYSE[[#This Row],[ Total Revenue ]]</f>
        <v>1</v>
      </c>
      <c r="O1048" s="31">
        <f>Project_Data_NYSE[[#This Row],[Operating Profit]]/Project_Data_NYSE[[#This Row],[ Total Revenue ]]</f>
        <v>0.18762118979291087</v>
      </c>
    </row>
    <row r="1049" spans="1:15" x14ac:dyDescent="0.2">
      <c r="A1049">
        <v>1075</v>
      </c>
      <c r="B1049" t="s">
        <v>389</v>
      </c>
      <c r="C1049" t="s">
        <v>11</v>
      </c>
      <c r="D1049" s="48">
        <v>41639</v>
      </c>
      <c r="E1049" s="3">
        <v>30871000000</v>
      </c>
      <c r="F1049" s="3">
        <v>16106000000</v>
      </c>
      <c r="G1049" s="3">
        <f>Project_Data_NYSE[[#This Row],[ Total Revenue ]]-Project_Data_NYSE[[#This Row],[ Cost of Goods Sold ]]</f>
        <v>14765000000</v>
      </c>
      <c r="H1049" s="3">
        <v>6384000000</v>
      </c>
      <c r="I1049" s="3">
        <v>1715000000</v>
      </c>
      <c r="J1049" s="3">
        <v>0</v>
      </c>
      <c r="K1049" s="3">
        <f>Project_Data_NYSE[[#This Row],[Gross Profit]]-Project_Data_NYSE[[#This Row],[ Sales, General and Admin. ]]-Project_Data_NYSE[[#This Row],[ Research and Development ]]-Project_Data_NYSE[[#This Row],[ Other Operating Items ]]</f>
        <v>6666000000</v>
      </c>
      <c r="L1049" t="s">
        <v>12</v>
      </c>
      <c r="M1049" t="s">
        <v>163</v>
      </c>
      <c r="N1049" s="31">
        <f>Project_Data_NYSE[[#This Row],[Gross Profit]]/Project_Data_NYSE[[#This Row],[ Total Revenue ]]</f>
        <v>0.47828058695863429</v>
      </c>
      <c r="O1049" s="31">
        <f>Project_Data_NYSE[[#This Row],[Operating Profit]]/Project_Data_NYSE[[#This Row],[ Total Revenue ]]</f>
        <v>0.21593080884972951</v>
      </c>
    </row>
    <row r="1050" spans="1:15" x14ac:dyDescent="0.2">
      <c r="A1050">
        <v>1076</v>
      </c>
      <c r="B1050" t="s">
        <v>389</v>
      </c>
      <c r="C1050" t="s">
        <v>14</v>
      </c>
      <c r="D1050" s="48">
        <v>42004</v>
      </c>
      <c r="E1050" s="3">
        <v>31821000000</v>
      </c>
      <c r="F1050" s="3">
        <v>16447000000</v>
      </c>
      <c r="G1050" s="3">
        <f>Project_Data_NYSE[[#This Row],[ Total Revenue ]]-Project_Data_NYSE[[#This Row],[ Cost of Goods Sold ]]</f>
        <v>15374000000</v>
      </c>
      <c r="H1050" s="3">
        <v>6469000000</v>
      </c>
      <c r="I1050" s="3">
        <v>1770000000</v>
      </c>
      <c r="J1050" s="3">
        <v>0</v>
      </c>
      <c r="K1050" s="3">
        <f>Project_Data_NYSE[[#This Row],[Gross Profit]]-Project_Data_NYSE[[#This Row],[ Sales, General and Admin. ]]-Project_Data_NYSE[[#This Row],[ Research and Development ]]-Project_Data_NYSE[[#This Row],[ Other Operating Items ]]</f>
        <v>7135000000</v>
      </c>
      <c r="L1050" t="s">
        <v>12</v>
      </c>
      <c r="M1050" t="s">
        <v>163</v>
      </c>
      <c r="N1050" s="31">
        <f>Project_Data_NYSE[[#This Row],[Gross Profit]]/Project_Data_NYSE[[#This Row],[ Total Revenue ]]</f>
        <v>0.48314006473712329</v>
      </c>
      <c r="O1050" s="31">
        <f>Project_Data_NYSE[[#This Row],[Operating Profit]]/Project_Data_NYSE[[#This Row],[ Total Revenue ]]</f>
        <v>0.2242229973916596</v>
      </c>
    </row>
    <row r="1051" spans="1:15" x14ac:dyDescent="0.2">
      <c r="A1051">
        <v>1077</v>
      </c>
      <c r="B1051" t="s">
        <v>389</v>
      </c>
      <c r="C1051" t="s">
        <v>15</v>
      </c>
      <c r="D1051" s="48">
        <v>42369</v>
      </c>
      <c r="E1051" s="3">
        <v>30274000000</v>
      </c>
      <c r="F1051" s="3">
        <v>15383000000</v>
      </c>
      <c r="G1051" s="3">
        <f>Project_Data_NYSE[[#This Row],[ Total Revenue ]]-Project_Data_NYSE[[#This Row],[ Cost of Goods Sold ]]</f>
        <v>14891000000</v>
      </c>
      <c r="H1051" s="3">
        <v>6182000000</v>
      </c>
      <c r="I1051" s="3">
        <v>1763000000</v>
      </c>
      <c r="J1051" s="3">
        <v>0</v>
      </c>
      <c r="K1051" s="3">
        <f>Project_Data_NYSE[[#This Row],[Gross Profit]]-Project_Data_NYSE[[#This Row],[ Sales, General and Admin. ]]-Project_Data_NYSE[[#This Row],[ Research and Development ]]-Project_Data_NYSE[[#This Row],[ Other Operating Items ]]</f>
        <v>6946000000</v>
      </c>
      <c r="L1051" t="s">
        <v>12</v>
      </c>
      <c r="M1051" t="s">
        <v>163</v>
      </c>
      <c r="N1051" s="31">
        <f>Project_Data_NYSE[[#This Row],[Gross Profit]]/Project_Data_NYSE[[#This Row],[ Total Revenue ]]</f>
        <v>0.49187421549844751</v>
      </c>
      <c r="O1051" s="31">
        <f>Project_Data_NYSE[[#This Row],[Operating Profit]]/Project_Data_NYSE[[#This Row],[ Total Revenue ]]</f>
        <v>0.22943780141375439</v>
      </c>
    </row>
    <row r="1052" spans="1:15" x14ac:dyDescent="0.2">
      <c r="A1052">
        <v>1078</v>
      </c>
      <c r="B1052" t="s">
        <v>389</v>
      </c>
      <c r="C1052" t="s">
        <v>16</v>
      </c>
      <c r="D1052" s="48">
        <v>42735</v>
      </c>
      <c r="E1052" s="3">
        <v>30109000000</v>
      </c>
      <c r="F1052" s="3">
        <v>15040000000</v>
      </c>
      <c r="G1052" s="3">
        <f>Project_Data_NYSE[[#This Row],[ Total Revenue ]]-Project_Data_NYSE[[#This Row],[ Cost of Goods Sold ]]</f>
        <v>15069000000</v>
      </c>
      <c r="H1052" s="3">
        <v>6111000000</v>
      </c>
      <c r="I1052" s="3">
        <v>1735000000</v>
      </c>
      <c r="J1052" s="3">
        <v>0</v>
      </c>
      <c r="K1052" s="3">
        <f>Project_Data_NYSE[[#This Row],[Gross Profit]]-Project_Data_NYSE[[#This Row],[ Sales, General and Admin. ]]-Project_Data_NYSE[[#This Row],[ Research and Development ]]-Project_Data_NYSE[[#This Row],[ Other Operating Items ]]</f>
        <v>7223000000</v>
      </c>
      <c r="L1052" t="s">
        <v>12</v>
      </c>
      <c r="M1052" t="s">
        <v>163</v>
      </c>
      <c r="N1052" s="31">
        <f>Project_Data_NYSE[[#This Row],[Gross Profit]]/Project_Data_NYSE[[#This Row],[ Total Revenue ]]</f>
        <v>0.50048158357966055</v>
      </c>
      <c r="O1052" s="31">
        <f>Project_Data_NYSE[[#This Row],[Operating Profit]]/Project_Data_NYSE[[#This Row],[ Total Revenue ]]</f>
        <v>0.23989504799229466</v>
      </c>
    </row>
    <row r="1053" spans="1:15" x14ac:dyDescent="0.2">
      <c r="A1053">
        <v>1079</v>
      </c>
      <c r="B1053" t="s">
        <v>390</v>
      </c>
      <c r="C1053" t="s">
        <v>11</v>
      </c>
      <c r="D1053" s="48">
        <v>41274</v>
      </c>
      <c r="E1053" s="3">
        <v>2060702000</v>
      </c>
      <c r="F1053" s="3">
        <v>995046000</v>
      </c>
      <c r="G1053" s="3">
        <f>Project_Data_NYSE[[#This Row],[ Total Revenue ]]-Project_Data_NYSE[[#This Row],[ Cost of Goods Sold ]]</f>
        <v>1065656000</v>
      </c>
      <c r="H1053" s="3">
        <v>0</v>
      </c>
      <c r="I1053" s="3">
        <v>0</v>
      </c>
      <c r="J1053" s="3">
        <v>0</v>
      </c>
      <c r="K1053" s="3">
        <f>Project_Data_NYSE[[#This Row],[Gross Profit]]-Project_Data_NYSE[[#This Row],[ Sales, General and Admin. ]]-Project_Data_NYSE[[#This Row],[ Research and Development ]]-Project_Data_NYSE[[#This Row],[ Other Operating Items ]]</f>
        <v>1065656000</v>
      </c>
      <c r="L1053" t="s">
        <v>35</v>
      </c>
      <c r="M1053" t="s">
        <v>213</v>
      </c>
      <c r="N1053" s="31">
        <f>Project_Data_NYSE[[#This Row],[Gross Profit]]/Project_Data_NYSE[[#This Row],[ Total Revenue ]]</f>
        <v>0.51713251115396597</v>
      </c>
      <c r="O1053" s="31">
        <f>Project_Data_NYSE[[#This Row],[Operating Profit]]/Project_Data_NYSE[[#This Row],[ Total Revenue ]]</f>
        <v>0.51713251115396597</v>
      </c>
    </row>
    <row r="1054" spans="1:15" x14ac:dyDescent="0.2">
      <c r="A1054">
        <v>1080</v>
      </c>
      <c r="B1054" t="s">
        <v>390</v>
      </c>
      <c r="C1054" t="s">
        <v>14</v>
      </c>
      <c r="D1054" s="48">
        <v>41639</v>
      </c>
      <c r="E1054" s="3">
        <v>2246428000</v>
      </c>
      <c r="F1054" s="3">
        <v>1073497000</v>
      </c>
      <c r="G1054" s="3">
        <f>Project_Data_NYSE[[#This Row],[ Total Revenue ]]-Project_Data_NYSE[[#This Row],[ Cost of Goods Sold ]]</f>
        <v>1172931000</v>
      </c>
      <c r="H1054" s="3">
        <v>0</v>
      </c>
      <c r="I1054" s="3">
        <v>0</v>
      </c>
      <c r="J1054" s="3">
        <v>0</v>
      </c>
      <c r="K1054" s="3">
        <f>Project_Data_NYSE[[#This Row],[Gross Profit]]-Project_Data_NYSE[[#This Row],[ Sales, General and Admin. ]]-Project_Data_NYSE[[#This Row],[ Research and Development ]]-Project_Data_NYSE[[#This Row],[ Other Operating Items ]]</f>
        <v>1172931000</v>
      </c>
      <c r="L1054" t="s">
        <v>35</v>
      </c>
      <c r="M1054" t="s">
        <v>213</v>
      </c>
      <c r="N1054" s="31">
        <f>Project_Data_NYSE[[#This Row],[Gross Profit]]/Project_Data_NYSE[[#This Row],[ Total Revenue ]]</f>
        <v>0.52213157955652267</v>
      </c>
      <c r="O1054" s="31">
        <f>Project_Data_NYSE[[#This Row],[Operating Profit]]/Project_Data_NYSE[[#This Row],[ Total Revenue ]]</f>
        <v>0.52213157955652267</v>
      </c>
    </row>
    <row r="1055" spans="1:15" x14ac:dyDescent="0.2">
      <c r="A1055">
        <v>1081</v>
      </c>
      <c r="B1055" t="s">
        <v>390</v>
      </c>
      <c r="C1055" t="s">
        <v>15</v>
      </c>
      <c r="D1055" s="48">
        <v>42004</v>
      </c>
      <c r="E1055" s="3">
        <v>2464867000</v>
      </c>
      <c r="F1055" s="3">
        <v>1125057000</v>
      </c>
      <c r="G1055" s="3">
        <f>Project_Data_NYSE[[#This Row],[ Total Revenue ]]-Project_Data_NYSE[[#This Row],[ Cost of Goods Sold ]]</f>
        <v>1339810000</v>
      </c>
      <c r="H1055" s="3">
        <v>0</v>
      </c>
      <c r="I1055" s="3">
        <v>0</v>
      </c>
      <c r="J1055" s="3">
        <v>0</v>
      </c>
      <c r="K1055" s="3">
        <f>Project_Data_NYSE[[#This Row],[Gross Profit]]-Project_Data_NYSE[[#This Row],[ Sales, General and Admin. ]]-Project_Data_NYSE[[#This Row],[ Research and Development ]]-Project_Data_NYSE[[#This Row],[ Other Operating Items ]]</f>
        <v>1339810000</v>
      </c>
      <c r="L1055" t="s">
        <v>35</v>
      </c>
      <c r="M1055" t="s">
        <v>213</v>
      </c>
      <c r="N1055" s="31">
        <f>Project_Data_NYSE[[#This Row],[Gross Profit]]/Project_Data_NYSE[[#This Row],[ Total Revenue ]]</f>
        <v>0.54356279669450724</v>
      </c>
      <c r="O1055" s="31">
        <f>Project_Data_NYSE[[#This Row],[Operating Profit]]/Project_Data_NYSE[[#This Row],[ Total Revenue ]]</f>
        <v>0.54356279669450724</v>
      </c>
    </row>
    <row r="1056" spans="1:15" x14ac:dyDescent="0.2">
      <c r="A1056">
        <v>1082</v>
      </c>
      <c r="B1056" t="s">
        <v>390</v>
      </c>
      <c r="C1056" t="s">
        <v>16</v>
      </c>
      <c r="D1056" s="48">
        <v>42369</v>
      </c>
      <c r="E1056" s="3">
        <v>2722564000</v>
      </c>
      <c r="F1056" s="3">
        <v>1090263000</v>
      </c>
      <c r="G1056" s="3">
        <f>Project_Data_NYSE[[#This Row],[ Total Revenue ]]-Project_Data_NYSE[[#This Row],[ Cost of Goods Sold ]]</f>
        <v>1632301000</v>
      </c>
      <c r="H1056" s="3">
        <v>0</v>
      </c>
      <c r="I1056" s="3">
        <v>0</v>
      </c>
      <c r="J1056" s="3">
        <v>0</v>
      </c>
      <c r="K1056" s="3">
        <f>Project_Data_NYSE[[#This Row],[Gross Profit]]-Project_Data_NYSE[[#This Row],[ Sales, General and Admin. ]]-Project_Data_NYSE[[#This Row],[ Research and Development ]]-Project_Data_NYSE[[#This Row],[ Other Operating Items ]]</f>
        <v>1632301000</v>
      </c>
      <c r="L1056" t="s">
        <v>35</v>
      </c>
      <c r="M1056" t="s">
        <v>213</v>
      </c>
      <c r="N1056" s="31">
        <f>Project_Data_NYSE[[#This Row],[Gross Profit]]/Project_Data_NYSE[[#This Row],[ Total Revenue ]]</f>
        <v>0.59954550196065182</v>
      </c>
      <c r="O1056" s="31">
        <f>Project_Data_NYSE[[#This Row],[Operating Profit]]/Project_Data_NYSE[[#This Row],[ Total Revenue ]]</f>
        <v>0.59954550196065182</v>
      </c>
    </row>
    <row r="1057" spans="1:15" x14ac:dyDescent="0.2">
      <c r="A1057">
        <v>1083</v>
      </c>
      <c r="B1057" t="s">
        <v>391</v>
      </c>
      <c r="C1057" t="s">
        <v>11</v>
      </c>
      <c r="D1057" s="48">
        <v>41274</v>
      </c>
      <c r="E1057" s="3">
        <v>24618000000</v>
      </c>
      <c r="F1057" s="3">
        <v>15055000000</v>
      </c>
      <c r="G1057" s="3">
        <f>Project_Data_NYSE[[#This Row],[ Total Revenue ]]-Project_Data_NYSE[[#This Row],[ Cost of Goods Sold ]]</f>
        <v>9563000000</v>
      </c>
      <c r="H1057" s="3">
        <v>2249000000</v>
      </c>
      <c r="I1057" s="3">
        <v>0</v>
      </c>
      <c r="J1057" s="3">
        <v>0</v>
      </c>
      <c r="K1057" s="3">
        <f>Project_Data_NYSE[[#This Row],[Gross Profit]]-Project_Data_NYSE[[#This Row],[ Sales, General and Admin. ]]-Project_Data_NYSE[[#This Row],[ Research and Development ]]-Project_Data_NYSE[[#This Row],[ Other Operating Items ]]</f>
        <v>7314000000</v>
      </c>
      <c r="L1057" t="s">
        <v>35</v>
      </c>
      <c r="M1057" t="s">
        <v>392</v>
      </c>
      <c r="N1057" s="31">
        <f>Project_Data_NYSE[[#This Row],[Gross Profit]]/Project_Data_NYSE[[#This Row],[ Total Revenue ]]</f>
        <v>0.38845560159233083</v>
      </c>
      <c r="O1057" s="31">
        <f>Project_Data_NYSE[[#This Row],[Operating Profit]]/Project_Data_NYSE[[#This Row],[ Total Revenue ]]</f>
        <v>0.29709968315866442</v>
      </c>
    </row>
    <row r="1058" spans="1:15" x14ac:dyDescent="0.2">
      <c r="A1058">
        <v>1084</v>
      </c>
      <c r="B1058" t="s">
        <v>391</v>
      </c>
      <c r="C1058" t="s">
        <v>14</v>
      </c>
      <c r="D1058" s="48">
        <v>41639</v>
      </c>
      <c r="E1058" s="3">
        <v>24466000000</v>
      </c>
      <c r="F1058" s="3">
        <v>14009000000</v>
      </c>
      <c r="G1058" s="3">
        <f>Project_Data_NYSE[[#This Row],[ Total Revenue ]]-Project_Data_NYSE[[#This Row],[ Cost of Goods Sold ]]</f>
        <v>10457000000</v>
      </c>
      <c r="H1058" s="3">
        <v>2362000000</v>
      </c>
      <c r="I1058" s="3">
        <v>0</v>
      </c>
      <c r="J1058" s="3">
        <v>0</v>
      </c>
      <c r="K1058" s="3">
        <f>Project_Data_NYSE[[#This Row],[Gross Profit]]-Project_Data_NYSE[[#This Row],[ Sales, General and Admin. ]]-Project_Data_NYSE[[#This Row],[ Research and Development ]]-Project_Data_NYSE[[#This Row],[ Other Operating Items ]]</f>
        <v>8095000000</v>
      </c>
      <c r="L1058" t="s">
        <v>35</v>
      </c>
      <c r="M1058" t="s">
        <v>392</v>
      </c>
      <c r="N1058" s="31">
        <f>Project_Data_NYSE[[#This Row],[Gross Profit]]/Project_Data_NYSE[[#This Row],[ Total Revenue ]]</f>
        <v>0.42740946619798903</v>
      </c>
      <c r="O1058" s="31">
        <f>Project_Data_NYSE[[#This Row],[Operating Profit]]/Project_Data_NYSE[[#This Row],[ Total Revenue ]]</f>
        <v>0.33086732608517944</v>
      </c>
    </row>
    <row r="1059" spans="1:15" x14ac:dyDescent="0.2">
      <c r="A1059">
        <v>1085</v>
      </c>
      <c r="B1059" t="s">
        <v>391</v>
      </c>
      <c r="C1059" t="s">
        <v>15</v>
      </c>
      <c r="D1059" s="48">
        <v>42004</v>
      </c>
      <c r="E1059" s="3">
        <v>24522000000</v>
      </c>
      <c r="F1059" s="3">
        <v>14362000000</v>
      </c>
      <c r="G1059" s="3">
        <f>Project_Data_NYSE[[#This Row],[ Total Revenue ]]-Project_Data_NYSE[[#This Row],[ Cost of Goods Sold ]]</f>
        <v>10160000000</v>
      </c>
      <c r="H1059" s="3">
        <v>2541000000</v>
      </c>
      <c r="I1059" s="3">
        <v>0</v>
      </c>
      <c r="J1059" s="3">
        <v>0</v>
      </c>
      <c r="K1059" s="3">
        <f>Project_Data_NYSE[[#This Row],[Gross Profit]]-Project_Data_NYSE[[#This Row],[ Sales, General and Admin. ]]-Project_Data_NYSE[[#This Row],[ Research and Development ]]-Project_Data_NYSE[[#This Row],[ Other Operating Items ]]</f>
        <v>7619000000</v>
      </c>
      <c r="L1059" t="s">
        <v>35</v>
      </c>
      <c r="M1059" t="s">
        <v>392</v>
      </c>
      <c r="N1059" s="31">
        <f>Project_Data_NYSE[[#This Row],[Gross Profit]]/Project_Data_NYSE[[#This Row],[ Total Revenue ]]</f>
        <v>0.41432183345567247</v>
      </c>
      <c r="O1059" s="31">
        <f>Project_Data_NYSE[[#This Row],[Operating Profit]]/Project_Data_NYSE[[#This Row],[ Total Revenue ]]</f>
        <v>0.31070059538373707</v>
      </c>
    </row>
    <row r="1060" spans="1:15" x14ac:dyDescent="0.2">
      <c r="A1060">
        <v>1086</v>
      </c>
      <c r="B1060" t="s">
        <v>391</v>
      </c>
      <c r="C1060" t="s">
        <v>16</v>
      </c>
      <c r="D1060" s="48">
        <v>42369</v>
      </c>
      <c r="E1060" s="3">
        <v>25434000000</v>
      </c>
      <c r="F1060" s="3">
        <v>14320000000</v>
      </c>
      <c r="G1060" s="3">
        <f>Project_Data_NYSE[[#This Row],[ Total Revenue ]]-Project_Data_NYSE[[#This Row],[ Cost of Goods Sold ]]</f>
        <v>11114000000</v>
      </c>
      <c r="H1060" s="3">
        <v>2749000000</v>
      </c>
      <c r="I1060" s="3">
        <v>0</v>
      </c>
      <c r="J1060" s="3">
        <v>0</v>
      </c>
      <c r="K1060" s="3">
        <f>Project_Data_NYSE[[#This Row],[Gross Profit]]-Project_Data_NYSE[[#This Row],[ Sales, General and Admin. ]]-Project_Data_NYSE[[#This Row],[ Research and Development ]]-Project_Data_NYSE[[#This Row],[ Other Operating Items ]]</f>
        <v>8365000000</v>
      </c>
      <c r="L1060" t="s">
        <v>35</v>
      </c>
      <c r="M1060" t="s">
        <v>392</v>
      </c>
      <c r="N1060" s="31">
        <f>Project_Data_NYSE[[#This Row],[Gross Profit]]/Project_Data_NYSE[[#This Row],[ Total Revenue ]]</f>
        <v>0.43697412911850281</v>
      </c>
      <c r="O1060" s="31">
        <f>Project_Data_NYSE[[#This Row],[Operating Profit]]/Project_Data_NYSE[[#This Row],[ Total Revenue ]]</f>
        <v>0.32889046158685226</v>
      </c>
    </row>
    <row r="1061" spans="1:15" x14ac:dyDescent="0.2">
      <c r="A1061">
        <v>1087</v>
      </c>
      <c r="B1061" t="s">
        <v>393</v>
      </c>
      <c r="C1061" t="s">
        <v>11</v>
      </c>
      <c r="D1061" s="48">
        <v>41517</v>
      </c>
      <c r="E1061" s="3">
        <v>14861000000</v>
      </c>
      <c r="F1061" s="3">
        <v>7208000000</v>
      </c>
      <c r="G1061" s="3">
        <f>Project_Data_NYSE[[#This Row],[ Total Revenue ]]-Project_Data_NYSE[[#This Row],[ Cost of Goods Sold ]]</f>
        <v>7653000000</v>
      </c>
      <c r="H1061" s="3">
        <v>2550000000</v>
      </c>
      <c r="I1061" s="3">
        <v>1533000000</v>
      </c>
      <c r="J1061" s="3">
        <v>0</v>
      </c>
      <c r="K1061" s="3">
        <f>Project_Data_NYSE[[#This Row],[Gross Profit]]-Project_Data_NYSE[[#This Row],[ Sales, General and Admin. ]]-Project_Data_NYSE[[#This Row],[ Research and Development ]]-Project_Data_NYSE[[#This Row],[ Other Operating Items ]]</f>
        <v>3570000000</v>
      </c>
      <c r="L1061" t="s">
        <v>58</v>
      </c>
      <c r="M1061" t="s">
        <v>137</v>
      </c>
      <c r="N1061" s="31">
        <f>Project_Data_NYSE[[#This Row],[Gross Profit]]/Project_Data_NYSE[[#This Row],[ Total Revenue ]]</f>
        <v>0.51497207455756677</v>
      </c>
      <c r="O1061" s="31">
        <f>Project_Data_NYSE[[#This Row],[Operating Profit]]/Project_Data_NYSE[[#This Row],[ Total Revenue ]]</f>
        <v>0.24022609514837495</v>
      </c>
    </row>
    <row r="1062" spans="1:15" x14ac:dyDescent="0.2">
      <c r="A1062">
        <v>1088</v>
      </c>
      <c r="B1062" t="s">
        <v>393</v>
      </c>
      <c r="C1062" t="s">
        <v>14</v>
      </c>
      <c r="D1062" s="48">
        <v>41882</v>
      </c>
      <c r="E1062" s="3">
        <v>15855000000</v>
      </c>
      <c r="F1062" s="3">
        <v>7281000000</v>
      </c>
      <c r="G1062" s="3">
        <f>Project_Data_NYSE[[#This Row],[ Total Revenue ]]-Project_Data_NYSE[[#This Row],[ Cost of Goods Sold ]]</f>
        <v>8574000000</v>
      </c>
      <c r="H1062" s="3">
        <v>2774000000</v>
      </c>
      <c r="I1062" s="3">
        <v>1725000000</v>
      </c>
      <c r="J1062" s="3">
        <v>0</v>
      </c>
      <c r="K1062" s="3">
        <f>Project_Data_NYSE[[#This Row],[Gross Profit]]-Project_Data_NYSE[[#This Row],[ Sales, General and Admin. ]]-Project_Data_NYSE[[#This Row],[ Research and Development ]]-Project_Data_NYSE[[#This Row],[ Other Operating Items ]]</f>
        <v>4075000000</v>
      </c>
      <c r="L1062" t="s">
        <v>58</v>
      </c>
      <c r="M1062" t="s">
        <v>137</v>
      </c>
      <c r="N1062" s="31">
        <f>Project_Data_NYSE[[#This Row],[Gross Profit]]/Project_Data_NYSE[[#This Row],[ Total Revenue ]]</f>
        <v>0.54077578051087982</v>
      </c>
      <c r="O1062" s="31">
        <f>Project_Data_NYSE[[#This Row],[Operating Profit]]/Project_Data_NYSE[[#This Row],[ Total Revenue ]]</f>
        <v>0.25701671397035636</v>
      </c>
    </row>
    <row r="1063" spans="1:15" x14ac:dyDescent="0.2">
      <c r="A1063">
        <v>1089</v>
      </c>
      <c r="B1063" t="s">
        <v>393</v>
      </c>
      <c r="C1063" t="s">
        <v>15</v>
      </c>
      <c r="D1063" s="48">
        <v>42247</v>
      </c>
      <c r="E1063" s="3">
        <v>15001000000</v>
      </c>
      <c r="F1063" s="3">
        <v>6819000000</v>
      </c>
      <c r="G1063" s="3">
        <f>Project_Data_NYSE[[#This Row],[ Total Revenue ]]-Project_Data_NYSE[[#This Row],[ Cost of Goods Sold ]]</f>
        <v>8182000000</v>
      </c>
      <c r="H1063" s="3">
        <v>2686000000</v>
      </c>
      <c r="I1063" s="3">
        <v>1580000000</v>
      </c>
      <c r="J1063" s="3">
        <v>0</v>
      </c>
      <c r="K1063" s="3">
        <f>Project_Data_NYSE[[#This Row],[Gross Profit]]-Project_Data_NYSE[[#This Row],[ Sales, General and Admin. ]]-Project_Data_NYSE[[#This Row],[ Research and Development ]]-Project_Data_NYSE[[#This Row],[ Other Operating Items ]]</f>
        <v>3916000000</v>
      </c>
      <c r="L1063" t="s">
        <v>58</v>
      </c>
      <c r="M1063" t="s">
        <v>137</v>
      </c>
      <c r="N1063" s="31">
        <f>Project_Data_NYSE[[#This Row],[Gross Profit]]/Project_Data_NYSE[[#This Row],[ Total Revenue ]]</f>
        <v>0.54543030464635689</v>
      </c>
      <c r="O1063" s="31">
        <f>Project_Data_NYSE[[#This Row],[Operating Profit]]/Project_Data_NYSE[[#This Row],[ Total Revenue ]]</f>
        <v>0.26104926338244117</v>
      </c>
    </row>
    <row r="1064" spans="1:15" x14ac:dyDescent="0.2">
      <c r="A1064">
        <v>1090</v>
      </c>
      <c r="B1064" t="s">
        <v>393</v>
      </c>
      <c r="C1064" t="s">
        <v>16</v>
      </c>
      <c r="D1064" s="48">
        <v>42613</v>
      </c>
      <c r="E1064" s="3">
        <v>13502000000</v>
      </c>
      <c r="F1064" s="3">
        <v>6485000000</v>
      </c>
      <c r="G1064" s="3">
        <f>Project_Data_NYSE[[#This Row],[ Total Revenue ]]-Project_Data_NYSE[[#This Row],[ Cost of Goods Sold ]]</f>
        <v>7017000000</v>
      </c>
      <c r="H1064" s="3">
        <v>2833000000</v>
      </c>
      <c r="I1064" s="3">
        <v>1512000000</v>
      </c>
      <c r="J1064" s="3">
        <v>0</v>
      </c>
      <c r="K1064" s="3">
        <f>Project_Data_NYSE[[#This Row],[Gross Profit]]-Project_Data_NYSE[[#This Row],[ Sales, General and Admin. ]]-Project_Data_NYSE[[#This Row],[ Research and Development ]]-Project_Data_NYSE[[#This Row],[ Other Operating Items ]]</f>
        <v>2672000000</v>
      </c>
      <c r="L1064" t="s">
        <v>58</v>
      </c>
      <c r="M1064" t="s">
        <v>137</v>
      </c>
      <c r="N1064" s="31">
        <f>Project_Data_NYSE[[#This Row],[Gross Profit]]/Project_Data_NYSE[[#This Row],[ Total Revenue ]]</f>
        <v>0.51970078506887873</v>
      </c>
      <c r="O1064" s="31">
        <f>Project_Data_NYSE[[#This Row],[Operating Profit]]/Project_Data_NYSE[[#This Row],[ Total Revenue ]]</f>
        <v>0.19789660790993926</v>
      </c>
    </row>
    <row r="1065" spans="1:15" x14ac:dyDescent="0.2">
      <c r="A1065">
        <v>1091</v>
      </c>
      <c r="B1065" t="s">
        <v>394</v>
      </c>
      <c r="C1065" t="s">
        <v>11</v>
      </c>
      <c r="D1065" s="48">
        <v>41425</v>
      </c>
      <c r="E1065" s="3">
        <v>9974100000</v>
      </c>
      <c r="F1065" s="3">
        <v>7213900000</v>
      </c>
      <c r="G1065" s="3">
        <f>Project_Data_NYSE[[#This Row],[ Total Revenue ]]-Project_Data_NYSE[[#This Row],[ Cost of Goods Sold ]]</f>
        <v>2760200000</v>
      </c>
      <c r="H1065" s="3">
        <v>550600000</v>
      </c>
      <c r="I1065" s="3">
        <v>0</v>
      </c>
      <c r="J1065" s="3">
        <v>0</v>
      </c>
      <c r="K1065" s="3">
        <f>Project_Data_NYSE[[#This Row],[Gross Profit]]-Project_Data_NYSE[[#This Row],[ Sales, General and Admin. ]]-Project_Data_NYSE[[#This Row],[ Research and Development ]]-Project_Data_NYSE[[#This Row],[ Other Operating Items ]]</f>
        <v>2209600000</v>
      </c>
      <c r="L1065" t="s">
        <v>58</v>
      </c>
      <c r="M1065" t="s">
        <v>137</v>
      </c>
      <c r="N1065" s="31">
        <f>Project_Data_NYSE[[#This Row],[Gross Profit]]/Project_Data_NYSE[[#This Row],[ Total Revenue ]]</f>
        <v>0.27673674817778043</v>
      </c>
      <c r="O1065" s="31">
        <f>Project_Data_NYSE[[#This Row],[Operating Profit]]/Project_Data_NYSE[[#This Row],[ Total Revenue ]]</f>
        <v>0.22153377247069911</v>
      </c>
    </row>
    <row r="1066" spans="1:15" x14ac:dyDescent="0.2">
      <c r="A1066">
        <v>1092</v>
      </c>
      <c r="B1066" t="s">
        <v>394</v>
      </c>
      <c r="C1066" t="s">
        <v>14</v>
      </c>
      <c r="D1066" s="48">
        <v>42004</v>
      </c>
      <c r="E1066" s="3">
        <v>9055800000</v>
      </c>
      <c r="F1066" s="3">
        <v>7129200000</v>
      </c>
      <c r="G1066" s="3">
        <f>Project_Data_NYSE[[#This Row],[ Total Revenue ]]-Project_Data_NYSE[[#This Row],[ Cost of Goods Sold ]]</f>
        <v>1926600000</v>
      </c>
      <c r="H1066" s="3">
        <v>505800000</v>
      </c>
      <c r="I1066" s="3">
        <v>0</v>
      </c>
      <c r="J1066" s="3">
        <v>0</v>
      </c>
      <c r="K1066" s="3">
        <f>Project_Data_NYSE[[#This Row],[Gross Profit]]-Project_Data_NYSE[[#This Row],[ Sales, General and Admin. ]]-Project_Data_NYSE[[#This Row],[ Research and Development ]]-Project_Data_NYSE[[#This Row],[ Other Operating Items ]]</f>
        <v>1420800000</v>
      </c>
      <c r="L1066" t="s">
        <v>58</v>
      </c>
      <c r="M1066" t="s">
        <v>137</v>
      </c>
      <c r="N1066" s="31">
        <f>Project_Data_NYSE[[#This Row],[Gross Profit]]/Project_Data_NYSE[[#This Row],[ Total Revenue ]]</f>
        <v>0.2127476313522825</v>
      </c>
      <c r="O1066" s="31">
        <f>Project_Data_NYSE[[#This Row],[Operating Profit]]/Project_Data_NYSE[[#This Row],[ Total Revenue ]]</f>
        <v>0.15689392433578481</v>
      </c>
    </row>
    <row r="1067" spans="1:15" x14ac:dyDescent="0.2">
      <c r="A1067">
        <v>1093</v>
      </c>
      <c r="B1067" t="s">
        <v>394</v>
      </c>
      <c r="C1067" t="s">
        <v>15</v>
      </c>
      <c r="D1067" s="48">
        <v>42369</v>
      </c>
      <c r="E1067" s="3">
        <v>8895300000</v>
      </c>
      <c r="F1067" s="3">
        <v>7177400000</v>
      </c>
      <c r="G1067" s="3">
        <f>Project_Data_NYSE[[#This Row],[ Total Revenue ]]-Project_Data_NYSE[[#This Row],[ Cost of Goods Sold ]]</f>
        <v>1717900000</v>
      </c>
      <c r="H1067" s="3">
        <v>439100000</v>
      </c>
      <c r="I1067" s="3">
        <v>0</v>
      </c>
      <c r="J1067" s="3">
        <v>0</v>
      </c>
      <c r="K1067" s="3">
        <f>Project_Data_NYSE[[#This Row],[Gross Profit]]-Project_Data_NYSE[[#This Row],[ Sales, General and Admin. ]]-Project_Data_NYSE[[#This Row],[ Research and Development ]]-Project_Data_NYSE[[#This Row],[ Other Operating Items ]]</f>
        <v>1278800000</v>
      </c>
      <c r="L1067" t="s">
        <v>58</v>
      </c>
      <c r="M1067" t="s">
        <v>137</v>
      </c>
      <c r="N1067" s="31">
        <f>Project_Data_NYSE[[#This Row],[Gross Profit]]/Project_Data_NYSE[[#This Row],[ Total Revenue ]]</f>
        <v>0.19312445898395783</v>
      </c>
      <c r="O1067" s="31">
        <f>Project_Data_NYSE[[#This Row],[Operating Profit]]/Project_Data_NYSE[[#This Row],[ Total Revenue ]]</f>
        <v>0.14376131215360921</v>
      </c>
    </row>
    <row r="1068" spans="1:15" x14ac:dyDescent="0.2">
      <c r="A1068">
        <v>1094</v>
      </c>
      <c r="B1068" t="s">
        <v>394</v>
      </c>
      <c r="C1068" t="s">
        <v>16</v>
      </c>
      <c r="D1068" s="48">
        <v>42735</v>
      </c>
      <c r="E1068" s="3">
        <v>7162800000</v>
      </c>
      <c r="F1068" s="3">
        <v>6352800000</v>
      </c>
      <c r="G1068" s="3">
        <f>Project_Data_NYSE[[#This Row],[ Total Revenue ]]-Project_Data_NYSE[[#This Row],[ Cost of Goods Sold ]]</f>
        <v>810000000</v>
      </c>
      <c r="H1068" s="3">
        <v>491000000</v>
      </c>
      <c r="I1068" s="3">
        <v>0</v>
      </c>
      <c r="J1068" s="3">
        <v>0</v>
      </c>
      <c r="K1068" s="3">
        <f>Project_Data_NYSE[[#This Row],[Gross Profit]]-Project_Data_NYSE[[#This Row],[ Sales, General and Admin. ]]-Project_Data_NYSE[[#This Row],[ Research and Development ]]-Project_Data_NYSE[[#This Row],[ Other Operating Items ]]</f>
        <v>319000000</v>
      </c>
      <c r="L1068" t="s">
        <v>58</v>
      </c>
      <c r="M1068" t="s">
        <v>137</v>
      </c>
      <c r="N1068" s="31">
        <f>Project_Data_NYSE[[#This Row],[Gross Profit]]/Project_Data_NYSE[[#This Row],[ Total Revenue ]]</f>
        <v>0.11308426872172893</v>
      </c>
      <c r="O1068" s="31">
        <f>Project_Data_NYSE[[#This Row],[Operating Profit]]/Project_Data_NYSE[[#This Row],[ Total Revenue ]]</f>
        <v>4.4535656447199416E-2</v>
      </c>
    </row>
    <row r="1069" spans="1:15" x14ac:dyDescent="0.2">
      <c r="A1069">
        <v>1095</v>
      </c>
      <c r="B1069" t="s">
        <v>395</v>
      </c>
      <c r="C1069" t="s">
        <v>11</v>
      </c>
      <c r="D1069" s="48">
        <v>41274</v>
      </c>
      <c r="E1069" s="3">
        <v>82243000000</v>
      </c>
      <c r="F1069" s="3">
        <v>68948000000</v>
      </c>
      <c r="G1069" s="3">
        <f>Project_Data_NYSE[[#This Row],[ Total Revenue ]]-Project_Data_NYSE[[#This Row],[ Cost of Goods Sold ]]</f>
        <v>13295000000</v>
      </c>
      <c r="H1069" s="3">
        <v>7202000000</v>
      </c>
      <c r="I1069" s="3">
        <v>0</v>
      </c>
      <c r="J1069" s="3">
        <v>995000000</v>
      </c>
      <c r="K1069" s="3">
        <f>Project_Data_NYSE[[#This Row],[Gross Profit]]-Project_Data_NYSE[[#This Row],[ Sales, General and Admin. ]]-Project_Data_NYSE[[#This Row],[ Research and Development ]]-Project_Data_NYSE[[#This Row],[ Other Operating Items ]]</f>
        <v>5098000000</v>
      </c>
      <c r="L1069" t="s">
        <v>82</v>
      </c>
      <c r="M1069" t="s">
        <v>340</v>
      </c>
      <c r="N1069" s="31">
        <f>Project_Data_NYSE[[#This Row],[Gross Profit]]/Project_Data_NYSE[[#This Row],[ Total Revenue ]]</f>
        <v>0.16165509526646646</v>
      </c>
      <c r="O1069" s="31">
        <f>Project_Data_NYSE[[#This Row],[Operating Profit]]/Project_Data_NYSE[[#This Row],[ Total Revenue ]]</f>
        <v>6.198703841056382E-2</v>
      </c>
    </row>
    <row r="1070" spans="1:15" x14ac:dyDescent="0.2">
      <c r="A1070">
        <v>1096</v>
      </c>
      <c r="B1070" t="s">
        <v>395</v>
      </c>
      <c r="C1070" t="s">
        <v>14</v>
      </c>
      <c r="D1070" s="48">
        <v>41639</v>
      </c>
      <c r="E1070" s="3">
        <v>100160000000</v>
      </c>
      <c r="F1070" s="3">
        <v>87758000000</v>
      </c>
      <c r="G1070" s="3">
        <f>Project_Data_NYSE[[#This Row],[ Total Revenue ]]-Project_Data_NYSE[[#This Row],[ Cost of Goods Sold ]]</f>
        <v>12402000000</v>
      </c>
      <c r="H1070" s="3">
        <v>7851000000</v>
      </c>
      <c r="I1070" s="3">
        <v>0</v>
      </c>
      <c r="J1070" s="3">
        <v>1220000000</v>
      </c>
      <c r="K1070" s="3">
        <f>Project_Data_NYSE[[#This Row],[Gross Profit]]-Project_Data_NYSE[[#This Row],[ Sales, General and Admin. ]]-Project_Data_NYSE[[#This Row],[ Research and Development ]]-Project_Data_NYSE[[#This Row],[ Other Operating Items ]]</f>
        <v>3331000000</v>
      </c>
      <c r="L1070" t="s">
        <v>82</v>
      </c>
      <c r="M1070" t="s">
        <v>340</v>
      </c>
      <c r="N1070" s="31">
        <f>Project_Data_NYSE[[#This Row],[Gross Profit]]/Project_Data_NYSE[[#This Row],[ Total Revenue ]]</f>
        <v>0.12382188498402556</v>
      </c>
      <c r="O1070" s="31">
        <f>Project_Data_NYSE[[#This Row],[Operating Profit]]/Project_Data_NYSE[[#This Row],[ Total Revenue ]]</f>
        <v>3.3256789137380192E-2</v>
      </c>
    </row>
    <row r="1071" spans="1:15" x14ac:dyDescent="0.2">
      <c r="A1071">
        <v>1097</v>
      </c>
      <c r="B1071" t="s">
        <v>395</v>
      </c>
      <c r="C1071" t="s">
        <v>15</v>
      </c>
      <c r="D1071" s="48">
        <v>42004</v>
      </c>
      <c r="E1071" s="3">
        <v>97817000000</v>
      </c>
      <c r="F1071" s="3">
        <v>84275000000</v>
      </c>
      <c r="G1071" s="3">
        <f>Project_Data_NYSE[[#This Row],[ Total Revenue ]]-Project_Data_NYSE[[#This Row],[ Cost of Goods Sold ]]</f>
        <v>13542000000</v>
      </c>
      <c r="H1071" s="3">
        <v>8450000000</v>
      </c>
      <c r="I1071" s="3">
        <v>0</v>
      </c>
      <c r="J1071" s="3">
        <v>1326000000</v>
      </c>
      <c r="K1071" s="3">
        <f>Project_Data_NYSE[[#This Row],[Gross Profit]]-Project_Data_NYSE[[#This Row],[ Sales, General and Admin. ]]-Project_Data_NYSE[[#This Row],[ Research and Development ]]-Project_Data_NYSE[[#This Row],[ Other Operating Items ]]</f>
        <v>3766000000</v>
      </c>
      <c r="L1071" t="s">
        <v>82</v>
      </c>
      <c r="M1071" t="s">
        <v>340</v>
      </c>
      <c r="N1071" s="31">
        <f>Project_Data_NYSE[[#This Row],[Gross Profit]]/Project_Data_NYSE[[#This Row],[ Total Revenue ]]</f>
        <v>0.13844219307482339</v>
      </c>
      <c r="O1071" s="31">
        <f>Project_Data_NYSE[[#This Row],[Operating Profit]]/Project_Data_NYSE[[#This Row],[ Total Revenue ]]</f>
        <v>3.8500465154318778E-2</v>
      </c>
    </row>
    <row r="1072" spans="1:15" x14ac:dyDescent="0.2">
      <c r="A1072">
        <v>1098</v>
      </c>
      <c r="B1072" t="s">
        <v>395</v>
      </c>
      <c r="C1072" t="s">
        <v>16</v>
      </c>
      <c r="D1072" s="48">
        <v>42369</v>
      </c>
      <c r="E1072" s="3">
        <v>72051000000</v>
      </c>
      <c r="F1072" s="3">
        <v>55891000000</v>
      </c>
      <c r="G1072" s="3">
        <f>Project_Data_NYSE[[#This Row],[ Total Revenue ]]-Project_Data_NYSE[[#This Row],[ Cost of Goods Sold ]]</f>
        <v>16160000000</v>
      </c>
      <c r="H1072" s="3">
        <v>10029000000</v>
      </c>
      <c r="I1072" s="3">
        <v>0</v>
      </c>
      <c r="J1072" s="3">
        <v>1646000000</v>
      </c>
      <c r="K1072" s="3">
        <f>Project_Data_NYSE[[#This Row],[Gross Profit]]-Project_Data_NYSE[[#This Row],[ Sales, General and Admin. ]]-Project_Data_NYSE[[#This Row],[ Research and Development ]]-Project_Data_NYSE[[#This Row],[ Other Operating Items ]]</f>
        <v>4485000000</v>
      </c>
      <c r="L1072" t="s">
        <v>82</v>
      </c>
      <c r="M1072" t="s">
        <v>340</v>
      </c>
      <c r="N1072" s="31">
        <f>Project_Data_NYSE[[#This Row],[Gross Profit]]/Project_Data_NYSE[[#This Row],[ Total Revenue ]]</f>
        <v>0.22428557549513539</v>
      </c>
      <c r="O1072" s="31">
        <f>Project_Data_NYSE[[#This Row],[Operating Profit]]/Project_Data_NYSE[[#This Row],[ Total Revenue ]]</f>
        <v>6.2247574634633804E-2</v>
      </c>
    </row>
    <row r="1073" spans="1:15" x14ac:dyDescent="0.2">
      <c r="A1073">
        <v>1118</v>
      </c>
      <c r="B1073" t="s">
        <v>401</v>
      </c>
      <c r="C1073" t="s">
        <v>16</v>
      </c>
      <c r="D1073" s="48">
        <v>42735</v>
      </c>
      <c r="E1073" s="3">
        <v>2508257000</v>
      </c>
      <c r="F1073" s="3">
        <v>1072670000</v>
      </c>
      <c r="G1073" s="3">
        <f>Project_Data_NYSE[[#This Row],[ Total Revenue ]]-Project_Data_NYSE[[#This Row],[ Cost of Goods Sold ]]</f>
        <v>1435587000</v>
      </c>
      <c r="H1073" s="3">
        <v>732622000</v>
      </c>
      <c r="I1073" s="3">
        <v>119968000</v>
      </c>
      <c r="J1073" s="3">
        <v>36052000</v>
      </c>
      <c r="K1073" s="3">
        <f>Project_Data_NYSE[[#This Row],[Gross Profit]]-Project_Data_NYSE[[#This Row],[ Sales, General and Admin. ]]-Project_Data_NYSE[[#This Row],[ Research and Development ]]-Project_Data_NYSE[[#This Row],[ Other Operating Items ]]</f>
        <v>546945000</v>
      </c>
      <c r="L1073" t="s">
        <v>24</v>
      </c>
      <c r="M1073" t="s">
        <v>317</v>
      </c>
      <c r="N1073" s="31">
        <f>Project_Data_NYSE[[#This Row],[Gross Profit]]/Project_Data_NYSE[[#This Row],[ Total Revenue ]]</f>
        <v>0.57234446071514999</v>
      </c>
      <c r="O1073" s="31">
        <f>Project_Data_NYSE[[#This Row],[Operating Profit]]/Project_Data_NYSE[[#This Row],[ Total Revenue ]]</f>
        <v>0.21805779870244557</v>
      </c>
    </row>
    <row r="1074" spans="1:15" x14ac:dyDescent="0.2">
      <c r="A1074">
        <v>588</v>
      </c>
      <c r="B1074" t="s">
        <v>238</v>
      </c>
      <c r="C1074" t="s">
        <v>11</v>
      </c>
      <c r="D1074" s="48">
        <v>41274</v>
      </c>
      <c r="E1074" s="3">
        <v>1899600000</v>
      </c>
      <c r="F1074" s="3">
        <v>491000000</v>
      </c>
      <c r="G1074" s="3">
        <f>Project_Data_NYSE[[#This Row],[ Total Revenue ]]-Project_Data_NYSE[[#This Row],[ Cost of Goods Sold ]]</f>
        <v>1408600000</v>
      </c>
      <c r="H1074" s="3">
        <v>697400000</v>
      </c>
      <c r="I1074" s="3">
        <v>291300000</v>
      </c>
      <c r="J1074" s="3">
        <v>0</v>
      </c>
      <c r="K1074" s="3">
        <f>Project_Data_NYSE[[#This Row],[Gross Profit]]-Project_Data_NYSE[[#This Row],[ Sales, General and Admin. ]]-Project_Data_NYSE[[#This Row],[ Research and Development ]]-Project_Data_NYSE[[#This Row],[ Other Operating Items ]]</f>
        <v>419900000</v>
      </c>
      <c r="L1074" t="s">
        <v>24</v>
      </c>
      <c r="M1074" t="s">
        <v>29</v>
      </c>
      <c r="N1074" s="31">
        <f>Project_Data_NYSE[[#This Row],[Gross Profit]]/Project_Data_NYSE[[#This Row],[ Total Revenue ]]</f>
        <v>0.74152453148031161</v>
      </c>
      <c r="O1074" s="31">
        <f>Project_Data_NYSE[[#This Row],[Operating Profit]]/Project_Data_NYSE[[#This Row],[ Total Revenue ]]</f>
        <v>0.22104653611286587</v>
      </c>
    </row>
    <row r="1075" spans="1:15" x14ac:dyDescent="0.2">
      <c r="A1075">
        <v>589</v>
      </c>
      <c r="B1075" t="s">
        <v>238</v>
      </c>
      <c r="C1075" t="s">
        <v>14</v>
      </c>
      <c r="D1075" s="48">
        <v>41639</v>
      </c>
      <c r="E1075" s="3">
        <v>2045500000</v>
      </c>
      <c r="F1075" s="3">
        <v>516600000</v>
      </c>
      <c r="G1075" s="3">
        <f>Project_Data_NYSE[[#This Row],[ Total Revenue ]]-Project_Data_NYSE[[#This Row],[ Cost of Goods Sold ]]</f>
        <v>1528900000</v>
      </c>
      <c r="H1075" s="3">
        <v>749700000</v>
      </c>
      <c r="I1075" s="3">
        <v>323000000</v>
      </c>
      <c r="J1075" s="3">
        <v>0</v>
      </c>
      <c r="K1075" s="3">
        <f>Project_Data_NYSE[[#This Row],[Gross Profit]]-Project_Data_NYSE[[#This Row],[ Sales, General and Admin. ]]-Project_Data_NYSE[[#This Row],[ Research and Development ]]-Project_Data_NYSE[[#This Row],[ Other Operating Items ]]</f>
        <v>456200000</v>
      </c>
      <c r="L1075" t="s">
        <v>24</v>
      </c>
      <c r="M1075" t="s">
        <v>29</v>
      </c>
      <c r="N1075" s="31">
        <f>Project_Data_NYSE[[#This Row],[Gross Profit]]/Project_Data_NYSE[[#This Row],[ Total Revenue ]]</f>
        <v>0.74744561231972628</v>
      </c>
      <c r="O1075" s="31">
        <f>Project_Data_NYSE[[#This Row],[Operating Profit]]/Project_Data_NYSE[[#This Row],[ Total Revenue ]]</f>
        <v>0.2230261549743339</v>
      </c>
    </row>
    <row r="1076" spans="1:15" x14ac:dyDescent="0.2">
      <c r="A1076">
        <v>287</v>
      </c>
      <c r="B1076" t="s">
        <v>134</v>
      </c>
      <c r="C1076" t="s">
        <v>14</v>
      </c>
      <c r="D1076" s="48">
        <v>42007</v>
      </c>
      <c r="E1076" s="3">
        <v>3402703000</v>
      </c>
      <c r="F1076" s="3">
        <v>604377000</v>
      </c>
      <c r="G1076" s="3">
        <f>Project_Data_NYSE[[#This Row],[ Total Revenue ]]-Project_Data_NYSE[[#This Row],[ Cost of Goods Sold ]]</f>
        <v>2798326000</v>
      </c>
      <c r="H1076" s="3">
        <v>1628961000</v>
      </c>
      <c r="I1076" s="3">
        <v>392805000</v>
      </c>
      <c r="J1076" s="3">
        <v>13476000</v>
      </c>
      <c r="K1076" s="3">
        <f>Project_Data_NYSE[[#This Row],[Gross Profit]]-Project_Data_NYSE[[#This Row],[ Sales, General and Admin. ]]-Project_Data_NYSE[[#This Row],[ Research and Development ]]-Project_Data_NYSE[[#This Row],[ Other Operating Items ]]</f>
        <v>763084000</v>
      </c>
      <c r="L1076" t="s">
        <v>24</v>
      </c>
      <c r="M1076" t="s">
        <v>135</v>
      </c>
      <c r="N1076" s="31">
        <f>Project_Data_NYSE[[#This Row],[Gross Profit]]/Project_Data_NYSE[[#This Row],[ Total Revenue ]]</f>
        <v>0.82238326412854723</v>
      </c>
      <c r="O1076" s="31">
        <f>Project_Data_NYSE[[#This Row],[Operating Profit]]/Project_Data_NYSE[[#This Row],[ Total Revenue ]]</f>
        <v>0.22425818533089723</v>
      </c>
    </row>
    <row r="1077" spans="1:15" x14ac:dyDescent="0.2">
      <c r="A1077">
        <v>1103</v>
      </c>
      <c r="B1077" t="s">
        <v>397</v>
      </c>
      <c r="C1077" t="s">
        <v>11</v>
      </c>
      <c r="D1077" s="48">
        <v>41274</v>
      </c>
      <c r="E1077" s="3">
        <v>11966000000</v>
      </c>
      <c r="F1077" s="3">
        <v>2079000000</v>
      </c>
      <c r="G1077" s="3">
        <f>Project_Data_NYSE[[#This Row],[ Total Revenue ]]-Project_Data_NYSE[[#This Row],[ Cost of Goods Sold ]]</f>
        <v>9887000000</v>
      </c>
      <c r="H1077" s="3">
        <v>4017000000</v>
      </c>
      <c r="I1077" s="3">
        <v>0</v>
      </c>
      <c r="J1077" s="3">
        <v>2008000000</v>
      </c>
      <c r="K1077" s="3">
        <f>Project_Data_NYSE[[#This Row],[Gross Profit]]-Project_Data_NYSE[[#This Row],[ Sales, General and Admin. ]]-Project_Data_NYSE[[#This Row],[ Research and Development ]]-Project_Data_NYSE[[#This Row],[ Other Operating Items ]]</f>
        <v>3862000000</v>
      </c>
      <c r="L1077" t="s">
        <v>82</v>
      </c>
      <c r="M1077" t="s">
        <v>83</v>
      </c>
      <c r="N1077" s="31">
        <f>Project_Data_NYSE[[#This Row],[Gross Profit]]/Project_Data_NYSE[[#This Row],[ Total Revenue ]]</f>
        <v>0.82625773023566773</v>
      </c>
      <c r="O1077" s="31">
        <f>Project_Data_NYSE[[#This Row],[Operating Profit]]/Project_Data_NYSE[[#This Row],[ Total Revenue ]]</f>
        <v>0.32274778539194382</v>
      </c>
    </row>
    <row r="1078" spans="1:15" x14ac:dyDescent="0.2">
      <c r="A1078">
        <v>1104</v>
      </c>
      <c r="B1078" t="s">
        <v>397</v>
      </c>
      <c r="C1078" t="s">
        <v>14</v>
      </c>
      <c r="D1078" s="48">
        <v>41639</v>
      </c>
      <c r="E1078" s="3">
        <v>11325000000</v>
      </c>
      <c r="F1078" s="3">
        <v>2156000000</v>
      </c>
      <c r="G1078" s="3">
        <f>Project_Data_NYSE[[#This Row],[ Total Revenue ]]-Project_Data_NYSE[[#This Row],[ Cost of Goods Sold ]]</f>
        <v>9169000000</v>
      </c>
      <c r="H1078" s="3">
        <v>3469000000</v>
      </c>
      <c r="I1078" s="3">
        <v>0</v>
      </c>
      <c r="J1078" s="3">
        <v>2500000000</v>
      </c>
      <c r="K1078" s="3">
        <f>Project_Data_NYSE[[#This Row],[Gross Profit]]-Project_Data_NYSE[[#This Row],[ Sales, General and Admin. ]]-Project_Data_NYSE[[#This Row],[ Research and Development ]]-Project_Data_NYSE[[#This Row],[ Other Operating Items ]]</f>
        <v>3200000000</v>
      </c>
      <c r="L1078" t="s">
        <v>82</v>
      </c>
      <c r="M1078" t="s">
        <v>83</v>
      </c>
      <c r="N1078" s="31">
        <f>Project_Data_NYSE[[#This Row],[Gross Profit]]/Project_Data_NYSE[[#This Row],[ Total Revenue ]]</f>
        <v>0.80962472406181019</v>
      </c>
      <c r="O1078" s="31">
        <f>Project_Data_NYSE[[#This Row],[Operating Profit]]/Project_Data_NYSE[[#This Row],[ Total Revenue ]]</f>
        <v>0.282560706401766</v>
      </c>
    </row>
    <row r="1079" spans="1:15" x14ac:dyDescent="0.2">
      <c r="A1079">
        <v>1105</v>
      </c>
      <c r="B1079" t="s">
        <v>397</v>
      </c>
      <c r="C1079" t="s">
        <v>15</v>
      </c>
      <c r="D1079" s="48">
        <v>42004</v>
      </c>
      <c r="E1079" s="3">
        <v>10846000000</v>
      </c>
      <c r="F1079" s="3">
        <v>2246000000</v>
      </c>
      <c r="G1079" s="3">
        <f>Project_Data_NYSE[[#This Row],[ Total Revenue ]]-Project_Data_NYSE[[#This Row],[ Cost of Goods Sold ]]</f>
        <v>8600000000</v>
      </c>
      <c r="H1079" s="3">
        <v>3627000000</v>
      </c>
      <c r="I1079" s="3">
        <v>0</v>
      </c>
      <c r="J1079" s="3">
        <v>2861000000</v>
      </c>
      <c r="K1079" s="3">
        <f>Project_Data_NYSE[[#This Row],[Gross Profit]]-Project_Data_NYSE[[#This Row],[ Sales, General and Admin. ]]-Project_Data_NYSE[[#This Row],[ Research and Development ]]-Project_Data_NYSE[[#This Row],[ Other Operating Items ]]</f>
        <v>2112000000</v>
      </c>
      <c r="L1079" t="s">
        <v>82</v>
      </c>
      <c r="M1079" t="s">
        <v>83</v>
      </c>
      <c r="N1079" s="31">
        <f>Project_Data_NYSE[[#This Row],[Gross Profit]]/Project_Data_NYSE[[#This Row],[ Total Revenue ]]</f>
        <v>0.79291904849714179</v>
      </c>
      <c r="O1079" s="31">
        <f>Project_Data_NYSE[[#This Row],[Operating Profit]]/Project_Data_NYSE[[#This Row],[ Total Revenue ]]</f>
        <v>0.1947261663286004</v>
      </c>
    </row>
    <row r="1080" spans="1:15" x14ac:dyDescent="0.2">
      <c r="A1080">
        <v>1106</v>
      </c>
      <c r="B1080" t="s">
        <v>397</v>
      </c>
      <c r="C1080" t="s">
        <v>16</v>
      </c>
      <c r="D1080" s="48">
        <v>42369</v>
      </c>
      <c r="E1080" s="3">
        <v>5522000000</v>
      </c>
      <c r="F1080" s="3">
        <v>1694000000</v>
      </c>
      <c r="G1080" s="3">
        <f>Project_Data_NYSE[[#This Row],[ Total Revenue ]]-Project_Data_NYSE[[#This Row],[ Cost of Goods Sold ]]</f>
        <v>3828000000</v>
      </c>
      <c r="H1080" s="3">
        <v>1831000000</v>
      </c>
      <c r="I1080" s="3">
        <v>0</v>
      </c>
      <c r="J1080" s="3">
        <v>2957000000</v>
      </c>
      <c r="K1080" s="3">
        <f>Project_Data_NYSE[[#This Row],[Gross Profit]]-Project_Data_NYSE[[#This Row],[ Sales, General and Admin. ]]-Project_Data_NYSE[[#This Row],[ Research and Development ]]-Project_Data_NYSE[[#This Row],[ Other Operating Items ]]</f>
        <v>-960000000</v>
      </c>
      <c r="L1080" t="s">
        <v>82</v>
      </c>
      <c r="M1080" t="s">
        <v>83</v>
      </c>
      <c r="N1080" s="31">
        <f>Project_Data_NYSE[[#This Row],[Gross Profit]]/Project_Data_NYSE[[#This Row],[ Total Revenue ]]</f>
        <v>0.69322709163346619</v>
      </c>
      <c r="O1080" s="31">
        <f>Project_Data_NYSE[[#This Row],[Operating Profit]]/Project_Data_NYSE[[#This Row],[ Total Revenue ]]</f>
        <v>-0.17385005432814199</v>
      </c>
    </row>
    <row r="1081" spans="1:15" x14ac:dyDescent="0.2">
      <c r="A1081">
        <v>1107</v>
      </c>
      <c r="B1081" t="s">
        <v>398</v>
      </c>
      <c r="C1081" t="s">
        <v>11</v>
      </c>
      <c r="D1081" s="48">
        <v>41455</v>
      </c>
      <c r="E1081" s="3">
        <v>77849000000</v>
      </c>
      <c r="F1081" s="3">
        <v>20385000000</v>
      </c>
      <c r="G1081" s="3">
        <f>Project_Data_NYSE[[#This Row],[ Total Revenue ]]-Project_Data_NYSE[[#This Row],[ Cost of Goods Sold ]]</f>
        <v>57464000000</v>
      </c>
      <c r="H1081" s="3">
        <v>20289000000</v>
      </c>
      <c r="I1081" s="3">
        <v>10411000000</v>
      </c>
      <c r="J1081" s="3">
        <v>0</v>
      </c>
      <c r="K1081" s="3">
        <f>Project_Data_NYSE[[#This Row],[Gross Profit]]-Project_Data_NYSE[[#This Row],[ Sales, General and Admin. ]]-Project_Data_NYSE[[#This Row],[ Research and Development ]]-Project_Data_NYSE[[#This Row],[ Other Operating Items ]]</f>
        <v>26764000000</v>
      </c>
      <c r="L1081" t="s">
        <v>21</v>
      </c>
      <c r="M1081" t="s">
        <v>399</v>
      </c>
      <c r="N1081" s="31">
        <f>Project_Data_NYSE[[#This Row],[Gross Profit]]/Project_Data_NYSE[[#This Row],[ Total Revenue ]]</f>
        <v>0.73814692545825888</v>
      </c>
      <c r="O1081" s="31">
        <f>Project_Data_NYSE[[#This Row],[Operating Profit]]/Project_Data_NYSE[[#This Row],[ Total Revenue ]]</f>
        <v>0.34379375457616668</v>
      </c>
    </row>
    <row r="1082" spans="1:15" x14ac:dyDescent="0.2">
      <c r="A1082">
        <v>1108</v>
      </c>
      <c r="B1082" t="s">
        <v>398</v>
      </c>
      <c r="C1082" t="s">
        <v>14</v>
      </c>
      <c r="D1082" s="48">
        <v>41820</v>
      </c>
      <c r="E1082" s="3">
        <v>86833000000</v>
      </c>
      <c r="F1082" s="3">
        <v>27078000000</v>
      </c>
      <c r="G1082" s="3">
        <f>Project_Data_NYSE[[#This Row],[ Total Revenue ]]-Project_Data_NYSE[[#This Row],[ Cost of Goods Sold ]]</f>
        <v>59755000000</v>
      </c>
      <c r="H1082" s="3">
        <v>20488000000</v>
      </c>
      <c r="I1082" s="3">
        <v>11381000000</v>
      </c>
      <c r="J1082" s="3">
        <v>0</v>
      </c>
      <c r="K1082" s="3">
        <f>Project_Data_NYSE[[#This Row],[Gross Profit]]-Project_Data_NYSE[[#This Row],[ Sales, General and Admin. ]]-Project_Data_NYSE[[#This Row],[ Research and Development ]]-Project_Data_NYSE[[#This Row],[ Other Operating Items ]]</f>
        <v>27886000000</v>
      </c>
      <c r="L1082" t="s">
        <v>21</v>
      </c>
      <c r="M1082" t="s">
        <v>399</v>
      </c>
      <c r="N1082" s="31">
        <f>Project_Data_NYSE[[#This Row],[Gross Profit]]/Project_Data_NYSE[[#This Row],[ Total Revenue ]]</f>
        <v>0.68816003132449644</v>
      </c>
      <c r="O1082" s="31">
        <f>Project_Data_NYSE[[#This Row],[Operating Profit]]/Project_Data_NYSE[[#This Row],[ Total Revenue ]]</f>
        <v>0.32114518673776099</v>
      </c>
    </row>
    <row r="1083" spans="1:15" x14ac:dyDescent="0.2">
      <c r="A1083">
        <v>1109</v>
      </c>
      <c r="B1083" t="s">
        <v>398</v>
      </c>
      <c r="C1083" t="s">
        <v>15</v>
      </c>
      <c r="D1083" s="48">
        <v>42185</v>
      </c>
      <c r="E1083" s="3">
        <v>93580000000</v>
      </c>
      <c r="F1083" s="3">
        <v>33038000000</v>
      </c>
      <c r="G1083" s="3">
        <f>Project_Data_NYSE[[#This Row],[ Total Revenue ]]-Project_Data_NYSE[[#This Row],[ Cost of Goods Sold ]]</f>
        <v>60542000000</v>
      </c>
      <c r="H1083" s="3">
        <v>20324000000</v>
      </c>
      <c r="I1083" s="3">
        <v>12046000000</v>
      </c>
      <c r="J1083" s="3">
        <v>0</v>
      </c>
      <c r="K1083" s="3">
        <f>Project_Data_NYSE[[#This Row],[Gross Profit]]-Project_Data_NYSE[[#This Row],[ Sales, General and Admin. ]]-Project_Data_NYSE[[#This Row],[ Research and Development ]]-Project_Data_NYSE[[#This Row],[ Other Operating Items ]]</f>
        <v>28172000000</v>
      </c>
      <c r="L1083" t="s">
        <v>21</v>
      </c>
      <c r="M1083" t="s">
        <v>399</v>
      </c>
      <c r="N1083" s="31">
        <f>Project_Data_NYSE[[#This Row],[Gross Profit]]/Project_Data_NYSE[[#This Row],[ Total Revenue ]]</f>
        <v>0.64695447745244705</v>
      </c>
      <c r="O1083" s="31">
        <f>Project_Data_NYSE[[#This Row],[Operating Profit]]/Project_Data_NYSE[[#This Row],[ Total Revenue ]]</f>
        <v>0.30104723231459712</v>
      </c>
    </row>
    <row r="1084" spans="1:15" x14ac:dyDescent="0.2">
      <c r="A1084">
        <v>1110</v>
      </c>
      <c r="B1084" t="s">
        <v>398</v>
      </c>
      <c r="C1084" t="s">
        <v>16</v>
      </c>
      <c r="D1084" s="48">
        <v>42551</v>
      </c>
      <c r="E1084" s="3">
        <v>85320000000</v>
      </c>
      <c r="F1084" s="3">
        <v>32780000000</v>
      </c>
      <c r="G1084" s="3">
        <f>Project_Data_NYSE[[#This Row],[ Total Revenue ]]-Project_Data_NYSE[[#This Row],[ Cost of Goods Sold ]]</f>
        <v>52540000000</v>
      </c>
      <c r="H1084" s="3">
        <v>19260000000</v>
      </c>
      <c r="I1084" s="3">
        <v>11988000000</v>
      </c>
      <c r="J1084" s="3">
        <v>0</v>
      </c>
      <c r="K1084" s="3">
        <f>Project_Data_NYSE[[#This Row],[Gross Profit]]-Project_Data_NYSE[[#This Row],[ Sales, General and Admin. ]]-Project_Data_NYSE[[#This Row],[ Research and Development ]]-Project_Data_NYSE[[#This Row],[ Other Operating Items ]]</f>
        <v>21292000000</v>
      </c>
      <c r="L1084" t="s">
        <v>21</v>
      </c>
      <c r="M1084" t="s">
        <v>399</v>
      </c>
      <c r="N1084" s="31">
        <f>Project_Data_NYSE[[#This Row],[Gross Profit]]/Project_Data_NYSE[[#This Row],[ Total Revenue ]]</f>
        <v>0.61579934364744493</v>
      </c>
      <c r="O1084" s="31">
        <f>Project_Data_NYSE[[#This Row],[Operating Profit]]/Project_Data_NYSE[[#This Row],[ Total Revenue ]]</f>
        <v>0.24955461790904829</v>
      </c>
    </row>
    <row r="1085" spans="1:15" x14ac:dyDescent="0.2">
      <c r="A1085">
        <v>1111</v>
      </c>
      <c r="B1085" t="s">
        <v>400</v>
      </c>
      <c r="C1085" t="s">
        <v>11</v>
      </c>
      <c r="D1085" s="48">
        <v>41274</v>
      </c>
      <c r="E1085" s="3">
        <v>4608955000</v>
      </c>
      <c r="F1085" s="3">
        <v>116586000</v>
      </c>
      <c r="G1085" s="3">
        <f>Project_Data_NYSE[[#This Row],[ Total Revenue ]]-Project_Data_NYSE[[#This Row],[ Cost of Goods Sold ]]</f>
        <v>4492369000</v>
      </c>
      <c r="H1085" s="3">
        <v>2448629000</v>
      </c>
      <c r="I1085" s="3">
        <v>0</v>
      </c>
      <c r="J1085" s="3">
        <v>264631000</v>
      </c>
      <c r="K1085" s="3">
        <f>Project_Data_NYSE[[#This Row],[Gross Profit]]-Project_Data_NYSE[[#This Row],[ Sales, General and Admin. ]]-Project_Data_NYSE[[#This Row],[ Research and Development ]]-Project_Data_NYSE[[#This Row],[ Other Operating Items ]]</f>
        <v>1779109000</v>
      </c>
      <c r="L1085" t="s">
        <v>46</v>
      </c>
      <c r="M1085" t="s">
        <v>104</v>
      </c>
      <c r="N1085" s="31">
        <f>Project_Data_NYSE[[#This Row],[Gross Profit]]/Project_Data_NYSE[[#This Row],[ Total Revenue ]]</f>
        <v>0.97470446120649912</v>
      </c>
      <c r="O1085" s="31">
        <f>Project_Data_NYSE[[#This Row],[Operating Profit]]/Project_Data_NYSE[[#This Row],[ Total Revenue ]]</f>
        <v>0.38601136266246905</v>
      </c>
    </row>
    <row r="1086" spans="1:15" x14ac:dyDescent="0.2">
      <c r="A1086">
        <v>1112</v>
      </c>
      <c r="B1086" t="s">
        <v>400</v>
      </c>
      <c r="C1086" t="s">
        <v>14</v>
      </c>
      <c r="D1086" s="48">
        <v>41639</v>
      </c>
      <c r="E1086" s="3">
        <v>4822539000</v>
      </c>
      <c r="F1086" s="3">
        <v>83692000</v>
      </c>
      <c r="G1086" s="3">
        <f>Project_Data_NYSE[[#This Row],[ Total Revenue ]]-Project_Data_NYSE[[#This Row],[ Cost of Goods Sold ]]</f>
        <v>4738847000</v>
      </c>
      <c r="H1086" s="3">
        <v>2540954000</v>
      </c>
      <c r="I1086" s="3">
        <v>0</v>
      </c>
      <c r="J1086" s="3">
        <v>231912000</v>
      </c>
      <c r="K1086" s="3">
        <f>Project_Data_NYSE[[#This Row],[Gross Profit]]-Project_Data_NYSE[[#This Row],[ Sales, General and Admin. ]]-Project_Data_NYSE[[#This Row],[ Research and Development ]]-Project_Data_NYSE[[#This Row],[ Other Operating Items ]]</f>
        <v>1965981000</v>
      </c>
      <c r="L1086" t="s">
        <v>46</v>
      </c>
      <c r="M1086" t="s">
        <v>104</v>
      </c>
      <c r="N1086" s="31">
        <f>Project_Data_NYSE[[#This Row],[Gross Profit]]/Project_Data_NYSE[[#This Row],[ Total Revenue ]]</f>
        <v>0.98264565615747224</v>
      </c>
      <c r="O1086" s="31">
        <f>Project_Data_NYSE[[#This Row],[Operating Profit]]/Project_Data_NYSE[[#This Row],[ Total Revenue ]]</f>
        <v>0.40766513241261504</v>
      </c>
    </row>
    <row r="1087" spans="1:15" x14ac:dyDescent="0.2">
      <c r="A1087">
        <v>1113</v>
      </c>
      <c r="B1087" t="s">
        <v>400</v>
      </c>
      <c r="C1087" t="s">
        <v>15</v>
      </c>
      <c r="D1087" s="48">
        <v>42004</v>
      </c>
      <c r="E1087" s="3">
        <v>4736150000</v>
      </c>
      <c r="F1087" s="3">
        <v>63083000</v>
      </c>
      <c r="G1087" s="3">
        <f>Project_Data_NYSE[[#This Row],[ Total Revenue ]]-Project_Data_NYSE[[#This Row],[ Cost of Goods Sold ]]</f>
        <v>4673067000</v>
      </c>
      <c r="H1087" s="3">
        <v>2655650000</v>
      </c>
      <c r="I1087" s="3">
        <v>0</v>
      </c>
      <c r="J1087" s="3">
        <v>157824000</v>
      </c>
      <c r="K1087" s="3">
        <f>Project_Data_NYSE[[#This Row],[Gross Profit]]-Project_Data_NYSE[[#This Row],[ Sales, General and Admin. ]]-Project_Data_NYSE[[#This Row],[ Research and Development ]]-Project_Data_NYSE[[#This Row],[ Other Operating Items ]]</f>
        <v>1859593000</v>
      </c>
      <c r="L1087" t="s">
        <v>46</v>
      </c>
      <c r="M1087" t="s">
        <v>104</v>
      </c>
      <c r="N1087" s="31">
        <f>Project_Data_NYSE[[#This Row],[Gross Profit]]/Project_Data_NYSE[[#This Row],[ Total Revenue ]]</f>
        <v>0.98668053165545855</v>
      </c>
      <c r="O1087" s="31">
        <f>Project_Data_NYSE[[#This Row],[Operating Profit]]/Project_Data_NYSE[[#This Row],[ Total Revenue ]]</f>
        <v>0.39263811323543385</v>
      </c>
    </row>
    <row r="1088" spans="1:15" x14ac:dyDescent="0.2">
      <c r="A1088">
        <v>1114</v>
      </c>
      <c r="B1088" t="s">
        <v>400</v>
      </c>
      <c r="C1088" t="s">
        <v>16</v>
      </c>
      <c r="D1088" s="48">
        <v>42369</v>
      </c>
      <c r="E1088" s="3">
        <v>4995881000</v>
      </c>
      <c r="F1088" s="3">
        <v>73814000</v>
      </c>
      <c r="G1088" s="3">
        <f>Project_Data_NYSE[[#This Row],[ Total Revenue ]]-Project_Data_NYSE[[#This Row],[ Cost of Goods Sold ]]</f>
        <v>4922067000</v>
      </c>
      <c r="H1088" s="3">
        <v>2796508000</v>
      </c>
      <c r="I1088" s="3">
        <v>0</v>
      </c>
      <c r="J1088" s="3">
        <v>196424000</v>
      </c>
      <c r="K1088" s="3">
        <f>Project_Data_NYSE[[#This Row],[Gross Profit]]-Project_Data_NYSE[[#This Row],[ Sales, General and Admin. ]]-Project_Data_NYSE[[#This Row],[ Research and Development ]]-Project_Data_NYSE[[#This Row],[ Other Operating Items ]]</f>
        <v>1929135000</v>
      </c>
      <c r="L1088" t="s">
        <v>46</v>
      </c>
      <c r="M1088" t="s">
        <v>104</v>
      </c>
      <c r="N1088" s="31">
        <f>Project_Data_NYSE[[#This Row],[Gross Profit]]/Project_Data_NYSE[[#This Row],[ Total Revenue ]]</f>
        <v>0.98522502837837811</v>
      </c>
      <c r="O1088" s="31">
        <f>Project_Data_NYSE[[#This Row],[Operating Profit]]/Project_Data_NYSE[[#This Row],[ Total Revenue ]]</f>
        <v>0.38614510633860172</v>
      </c>
    </row>
    <row r="1089" spans="1:15" x14ac:dyDescent="0.2">
      <c r="A1089">
        <v>1779</v>
      </c>
      <c r="B1089" t="s">
        <v>574</v>
      </c>
      <c r="C1089" t="s">
        <v>15</v>
      </c>
      <c r="D1089" s="48">
        <v>42369</v>
      </c>
      <c r="E1089" s="3">
        <v>4765000000</v>
      </c>
      <c r="F1089" s="3">
        <v>1738000000</v>
      </c>
      <c r="G1089" s="3">
        <f>Project_Data_NYSE[[#This Row],[ Total Revenue ]]-Project_Data_NYSE[[#This Row],[ Cost of Goods Sold ]]</f>
        <v>3027000000</v>
      </c>
      <c r="H1089" s="3">
        <v>1532000000</v>
      </c>
      <c r="I1089" s="3">
        <v>364000000</v>
      </c>
      <c r="J1089" s="3">
        <v>61000000</v>
      </c>
      <c r="K1089" s="3">
        <f>Project_Data_NYSE[[#This Row],[Gross Profit]]-Project_Data_NYSE[[#This Row],[ Sales, General and Admin. ]]-Project_Data_NYSE[[#This Row],[ Research and Development ]]-Project_Data_NYSE[[#This Row],[ Other Operating Items ]]</f>
        <v>1070000000</v>
      </c>
      <c r="L1089" t="s">
        <v>24</v>
      </c>
      <c r="M1089" t="s">
        <v>25</v>
      </c>
      <c r="N1089" s="31">
        <f>Project_Data_NYSE[[#This Row],[Gross Profit]]/Project_Data_NYSE[[#This Row],[ Total Revenue ]]</f>
        <v>0.63525708289611749</v>
      </c>
      <c r="O1089" s="31">
        <f>Project_Data_NYSE[[#This Row],[Operating Profit]]/Project_Data_NYSE[[#This Row],[ Total Revenue ]]</f>
        <v>0.22455403987408185</v>
      </c>
    </row>
    <row r="1090" spans="1:15" x14ac:dyDescent="0.2">
      <c r="A1090">
        <v>234</v>
      </c>
      <c r="B1090" t="s">
        <v>117</v>
      </c>
      <c r="C1090" t="s">
        <v>11</v>
      </c>
      <c r="D1090" s="48">
        <v>41274</v>
      </c>
      <c r="E1090" s="3">
        <v>17621000000</v>
      </c>
      <c r="F1090" s="3">
        <v>4610000000</v>
      </c>
      <c r="G1090" s="3">
        <f>Project_Data_NYSE[[#This Row],[ Total Revenue ]]-Project_Data_NYSE[[#This Row],[ Cost of Goods Sold ]]</f>
        <v>13011000000</v>
      </c>
      <c r="H1090" s="3">
        <v>5017000000</v>
      </c>
      <c r="I1090" s="3">
        <v>3904000000</v>
      </c>
      <c r="J1090" s="3">
        <v>0</v>
      </c>
      <c r="K1090" s="3">
        <f>Project_Data_NYSE[[#This Row],[Gross Profit]]-Project_Data_NYSE[[#This Row],[ Sales, General and Admin. ]]-Project_Data_NYSE[[#This Row],[ Research and Development ]]-Project_Data_NYSE[[#This Row],[ Other Operating Items ]]</f>
        <v>4090000000</v>
      </c>
      <c r="L1090" t="s">
        <v>24</v>
      </c>
      <c r="M1090" t="s">
        <v>27</v>
      </c>
      <c r="N1090" s="31">
        <f>Project_Data_NYSE[[#This Row],[Gross Profit]]/Project_Data_NYSE[[#This Row],[ Total Revenue ]]</f>
        <v>0.73838034163781852</v>
      </c>
      <c r="O1090" s="31">
        <f>Project_Data_NYSE[[#This Row],[Operating Profit]]/Project_Data_NYSE[[#This Row],[ Total Revenue ]]</f>
        <v>0.23210941490267295</v>
      </c>
    </row>
    <row r="1091" spans="1:15" x14ac:dyDescent="0.2">
      <c r="A1091">
        <v>211</v>
      </c>
      <c r="B1091" t="s">
        <v>110</v>
      </c>
      <c r="C1091" t="s">
        <v>14</v>
      </c>
      <c r="D1091" s="48">
        <v>42004</v>
      </c>
      <c r="E1091" s="3">
        <v>3323600000</v>
      </c>
      <c r="F1091" s="3">
        <v>1258600000</v>
      </c>
      <c r="G1091" s="3">
        <f>Project_Data_NYSE[[#This Row],[ Total Revenue ]]-Project_Data_NYSE[[#This Row],[ Cost of Goods Sold ]]</f>
        <v>2065000000</v>
      </c>
      <c r="H1091" s="3">
        <v>981500000</v>
      </c>
      <c r="I1091" s="3">
        <v>302000000</v>
      </c>
      <c r="J1091" s="3">
        <v>0</v>
      </c>
      <c r="K1091" s="3">
        <f>Project_Data_NYSE[[#This Row],[Gross Profit]]-Project_Data_NYSE[[#This Row],[ Sales, General and Admin. ]]-Project_Data_NYSE[[#This Row],[ Research and Development ]]-Project_Data_NYSE[[#This Row],[ Other Operating Items ]]</f>
        <v>781500000</v>
      </c>
      <c r="L1091" t="s">
        <v>24</v>
      </c>
      <c r="M1091" t="s">
        <v>29</v>
      </c>
      <c r="N1091" s="31">
        <f>Project_Data_NYSE[[#This Row],[Gross Profit]]/Project_Data_NYSE[[#This Row],[ Total Revenue ]]</f>
        <v>0.62131423757371529</v>
      </c>
      <c r="O1091" s="31">
        <f>Project_Data_NYSE[[#This Row],[Operating Profit]]/Project_Data_NYSE[[#This Row],[ Total Revenue ]]</f>
        <v>0.23513659886869659</v>
      </c>
    </row>
    <row r="1092" spans="1:15" x14ac:dyDescent="0.2">
      <c r="A1092">
        <v>836</v>
      </c>
      <c r="B1092" t="s">
        <v>316</v>
      </c>
      <c r="C1092" t="s">
        <v>14</v>
      </c>
      <c r="D1092" s="48">
        <v>42001</v>
      </c>
      <c r="E1092" s="3">
        <v>1861358000</v>
      </c>
      <c r="F1092" s="3">
        <v>563648000</v>
      </c>
      <c r="G1092" s="3">
        <f>Project_Data_NYSE[[#This Row],[ Total Revenue ]]-Project_Data_NYSE[[#This Row],[ Cost of Goods Sold ]]</f>
        <v>1297710000</v>
      </c>
      <c r="H1092" s="3">
        <v>471921000</v>
      </c>
      <c r="I1092" s="3">
        <v>388055000</v>
      </c>
      <c r="J1092" s="3">
        <v>0</v>
      </c>
      <c r="K1092" s="3">
        <f>Project_Data_NYSE[[#This Row],[Gross Profit]]-Project_Data_NYSE[[#This Row],[ Sales, General and Admin. ]]-Project_Data_NYSE[[#This Row],[ Research and Development ]]-Project_Data_NYSE[[#This Row],[ Other Operating Items ]]</f>
        <v>437734000</v>
      </c>
      <c r="L1092" t="s">
        <v>24</v>
      </c>
      <c r="M1092" t="s">
        <v>317</v>
      </c>
      <c r="N1092" s="31">
        <f>Project_Data_NYSE[[#This Row],[Gross Profit]]/Project_Data_NYSE[[#This Row],[ Total Revenue ]]</f>
        <v>0.69718452871505643</v>
      </c>
      <c r="O1092" s="31">
        <f>Project_Data_NYSE[[#This Row],[Operating Profit]]/Project_Data_NYSE[[#This Row],[ Total Revenue ]]</f>
        <v>0.23516916144019581</v>
      </c>
    </row>
    <row r="1093" spans="1:15" x14ac:dyDescent="0.2">
      <c r="A1093">
        <v>1119</v>
      </c>
      <c r="B1093" t="s">
        <v>402</v>
      </c>
      <c r="C1093" t="s">
        <v>11</v>
      </c>
      <c r="D1093" s="48">
        <v>41515</v>
      </c>
      <c r="E1093" s="3">
        <v>9073000000</v>
      </c>
      <c r="F1093" s="3">
        <v>7226000000</v>
      </c>
      <c r="G1093" s="3">
        <f>Project_Data_NYSE[[#This Row],[ Total Revenue ]]-Project_Data_NYSE[[#This Row],[ Cost of Goods Sold ]]</f>
        <v>1847000000</v>
      </c>
      <c r="H1093" s="3">
        <v>554000000</v>
      </c>
      <c r="I1093" s="3">
        <v>931000000</v>
      </c>
      <c r="J1093" s="3">
        <v>0</v>
      </c>
      <c r="K1093" s="3">
        <f>Project_Data_NYSE[[#This Row],[Gross Profit]]-Project_Data_NYSE[[#This Row],[ Sales, General and Admin. ]]-Project_Data_NYSE[[#This Row],[ Research and Development ]]-Project_Data_NYSE[[#This Row],[ Other Operating Items ]]</f>
        <v>362000000</v>
      </c>
      <c r="L1093" t="s">
        <v>21</v>
      </c>
      <c r="M1093" t="s">
        <v>33</v>
      </c>
      <c r="N1093" s="31">
        <f>Project_Data_NYSE[[#This Row],[Gross Profit]]/Project_Data_NYSE[[#This Row],[ Total Revenue ]]</f>
        <v>0.2035710349388295</v>
      </c>
      <c r="O1093" s="31">
        <f>Project_Data_NYSE[[#This Row],[Operating Profit]]/Project_Data_NYSE[[#This Row],[ Total Revenue ]]</f>
        <v>3.9898600242477683E-2</v>
      </c>
    </row>
    <row r="1094" spans="1:15" x14ac:dyDescent="0.2">
      <c r="A1094">
        <v>1120</v>
      </c>
      <c r="B1094" t="s">
        <v>402</v>
      </c>
      <c r="C1094" t="s">
        <v>14</v>
      </c>
      <c r="D1094" s="48">
        <v>41879</v>
      </c>
      <c r="E1094" s="3">
        <v>16358000000</v>
      </c>
      <c r="F1094" s="3">
        <v>10921000000</v>
      </c>
      <c r="G1094" s="3">
        <f>Project_Data_NYSE[[#This Row],[ Total Revenue ]]-Project_Data_NYSE[[#This Row],[ Cost of Goods Sold ]]</f>
        <v>5437000000</v>
      </c>
      <c r="H1094" s="3">
        <v>939000000</v>
      </c>
      <c r="I1094" s="3">
        <v>1371000000</v>
      </c>
      <c r="J1094" s="3">
        <v>0</v>
      </c>
      <c r="K1094" s="3">
        <f>Project_Data_NYSE[[#This Row],[Gross Profit]]-Project_Data_NYSE[[#This Row],[ Sales, General and Admin. ]]-Project_Data_NYSE[[#This Row],[ Research and Development ]]-Project_Data_NYSE[[#This Row],[ Other Operating Items ]]</f>
        <v>3127000000</v>
      </c>
      <c r="L1094" t="s">
        <v>21</v>
      </c>
      <c r="M1094" t="s">
        <v>33</v>
      </c>
      <c r="N1094" s="31">
        <f>Project_Data_NYSE[[#This Row],[Gross Profit]]/Project_Data_NYSE[[#This Row],[ Total Revenue ]]</f>
        <v>0.33237559603863553</v>
      </c>
      <c r="O1094" s="31">
        <f>Project_Data_NYSE[[#This Row],[Operating Profit]]/Project_Data_NYSE[[#This Row],[ Total Revenue ]]</f>
        <v>0.19116028854383177</v>
      </c>
    </row>
    <row r="1095" spans="1:15" x14ac:dyDescent="0.2">
      <c r="A1095">
        <v>1121</v>
      </c>
      <c r="B1095" t="s">
        <v>402</v>
      </c>
      <c r="C1095" t="s">
        <v>15</v>
      </c>
      <c r="D1095" s="48">
        <v>42250</v>
      </c>
      <c r="E1095" s="3">
        <v>16192000000</v>
      </c>
      <c r="F1095" s="3">
        <v>10977000000</v>
      </c>
      <c r="G1095" s="3">
        <f>Project_Data_NYSE[[#This Row],[ Total Revenue ]]-Project_Data_NYSE[[#This Row],[ Cost of Goods Sold ]]</f>
        <v>5215000000</v>
      </c>
      <c r="H1095" s="3">
        <v>674000000</v>
      </c>
      <c r="I1095" s="3">
        <v>1540000000</v>
      </c>
      <c r="J1095" s="3">
        <v>0</v>
      </c>
      <c r="K1095" s="3">
        <f>Project_Data_NYSE[[#This Row],[Gross Profit]]-Project_Data_NYSE[[#This Row],[ Sales, General and Admin. ]]-Project_Data_NYSE[[#This Row],[ Research and Development ]]-Project_Data_NYSE[[#This Row],[ Other Operating Items ]]</f>
        <v>3001000000</v>
      </c>
      <c r="L1095" t="s">
        <v>21</v>
      </c>
      <c r="M1095" t="s">
        <v>33</v>
      </c>
      <c r="N1095" s="31">
        <f>Project_Data_NYSE[[#This Row],[Gross Profit]]/Project_Data_NYSE[[#This Row],[ Total Revenue ]]</f>
        <v>0.32207262845849804</v>
      </c>
      <c r="O1095" s="31">
        <f>Project_Data_NYSE[[#This Row],[Operating Profit]]/Project_Data_NYSE[[#This Row],[ Total Revenue ]]</f>
        <v>0.18533843873517786</v>
      </c>
    </row>
    <row r="1096" spans="1:15" x14ac:dyDescent="0.2">
      <c r="A1096">
        <v>1122</v>
      </c>
      <c r="B1096" t="s">
        <v>402</v>
      </c>
      <c r="C1096" t="s">
        <v>16</v>
      </c>
      <c r="D1096" s="48">
        <v>42614</v>
      </c>
      <c r="E1096" s="3">
        <v>12399000000</v>
      </c>
      <c r="F1096" s="3">
        <v>9894000000</v>
      </c>
      <c r="G1096" s="3">
        <f>Project_Data_NYSE[[#This Row],[ Total Revenue ]]-Project_Data_NYSE[[#This Row],[ Cost of Goods Sold ]]</f>
        <v>2505000000</v>
      </c>
      <c r="H1096" s="3">
        <v>653000000</v>
      </c>
      <c r="I1096" s="3">
        <v>1617000000</v>
      </c>
      <c r="J1096" s="3">
        <v>0</v>
      </c>
      <c r="K1096" s="3">
        <f>Project_Data_NYSE[[#This Row],[Gross Profit]]-Project_Data_NYSE[[#This Row],[ Sales, General and Admin. ]]-Project_Data_NYSE[[#This Row],[ Research and Development ]]-Project_Data_NYSE[[#This Row],[ Other Operating Items ]]</f>
        <v>235000000</v>
      </c>
      <c r="L1096" t="s">
        <v>21</v>
      </c>
      <c r="M1096" t="s">
        <v>33</v>
      </c>
      <c r="N1096" s="31">
        <f>Project_Data_NYSE[[#This Row],[Gross Profit]]/Project_Data_NYSE[[#This Row],[ Total Revenue ]]</f>
        <v>0.20203242196951368</v>
      </c>
      <c r="O1096" s="31">
        <f>Project_Data_NYSE[[#This Row],[Operating Profit]]/Project_Data_NYSE[[#This Row],[ Total Revenue ]]</f>
        <v>1.8953141382369545E-2</v>
      </c>
    </row>
    <row r="1097" spans="1:15" x14ac:dyDescent="0.2">
      <c r="A1097">
        <v>1123</v>
      </c>
      <c r="B1097" t="s">
        <v>403</v>
      </c>
      <c r="C1097" t="s">
        <v>11</v>
      </c>
      <c r="D1097" s="48">
        <v>41274</v>
      </c>
      <c r="E1097" s="3">
        <v>4608563000</v>
      </c>
      <c r="F1097" s="3">
        <v>1079136000</v>
      </c>
      <c r="G1097" s="3">
        <f>Project_Data_NYSE[[#This Row],[ Total Revenue ]]-Project_Data_NYSE[[#This Row],[ Cost of Goods Sold ]]</f>
        <v>3529427000</v>
      </c>
      <c r="H1097" s="3">
        <v>285144000</v>
      </c>
      <c r="I1097" s="3">
        <v>0</v>
      </c>
      <c r="J1097" s="3">
        <v>1291456000</v>
      </c>
      <c r="K1097" s="3">
        <f>Project_Data_NYSE[[#This Row],[Gross Profit]]-Project_Data_NYSE[[#This Row],[ Sales, General and Admin. ]]-Project_Data_NYSE[[#This Row],[ Research and Development ]]-Project_Data_NYSE[[#This Row],[ Other Operating Items ]]</f>
        <v>1952827000</v>
      </c>
      <c r="L1097" t="s">
        <v>82</v>
      </c>
      <c r="M1097" t="s">
        <v>143</v>
      </c>
      <c r="N1097" s="31">
        <f>Project_Data_NYSE[[#This Row],[Gross Profit]]/Project_Data_NYSE[[#This Row],[ Total Revenue ]]</f>
        <v>0.76584110925683346</v>
      </c>
      <c r="O1097" s="31">
        <f>Project_Data_NYSE[[#This Row],[Operating Profit]]/Project_Data_NYSE[[#This Row],[ Total Revenue ]]</f>
        <v>0.42373880968970157</v>
      </c>
    </row>
    <row r="1098" spans="1:15" x14ac:dyDescent="0.2">
      <c r="A1098">
        <v>1124</v>
      </c>
      <c r="B1098" t="s">
        <v>403</v>
      </c>
      <c r="C1098" t="s">
        <v>14</v>
      </c>
      <c r="D1098" s="48">
        <v>41639</v>
      </c>
      <c r="E1098" s="3">
        <v>5312686000</v>
      </c>
      <c r="F1098" s="3">
        <v>1252812000</v>
      </c>
      <c r="G1098" s="3">
        <f>Project_Data_NYSE[[#This Row],[ Total Revenue ]]-Project_Data_NYSE[[#This Row],[ Cost of Goods Sold ]]</f>
        <v>4059874000</v>
      </c>
      <c r="H1098" s="3">
        <v>466498000</v>
      </c>
      <c r="I1098" s="3">
        <v>0</v>
      </c>
      <c r="J1098" s="3">
        <v>1602390000</v>
      </c>
      <c r="K1098" s="3">
        <f>Project_Data_NYSE[[#This Row],[Gross Profit]]-Project_Data_NYSE[[#This Row],[ Sales, General and Admin. ]]-Project_Data_NYSE[[#This Row],[ Research and Development ]]-Project_Data_NYSE[[#This Row],[ Other Operating Items ]]</f>
        <v>1990986000</v>
      </c>
      <c r="L1098" t="s">
        <v>82</v>
      </c>
      <c r="M1098" t="s">
        <v>143</v>
      </c>
      <c r="N1098" s="31">
        <f>Project_Data_NYSE[[#This Row],[Gross Profit]]/Project_Data_NYSE[[#This Row],[ Total Revenue ]]</f>
        <v>0.76418482101144314</v>
      </c>
      <c r="O1098" s="31">
        <f>Project_Data_NYSE[[#This Row],[Operating Profit]]/Project_Data_NYSE[[#This Row],[ Total Revenue ]]</f>
        <v>0.37476071426016894</v>
      </c>
    </row>
    <row r="1099" spans="1:15" x14ac:dyDescent="0.2">
      <c r="A1099">
        <v>1125</v>
      </c>
      <c r="B1099" t="s">
        <v>403</v>
      </c>
      <c r="C1099" t="s">
        <v>15</v>
      </c>
      <c r="D1099" s="48">
        <v>42004</v>
      </c>
      <c r="E1099" s="3">
        <v>5288933000</v>
      </c>
      <c r="F1099" s="3">
        <v>1089888000</v>
      </c>
      <c r="G1099" s="3">
        <f>Project_Data_NYSE[[#This Row],[ Total Revenue ]]-Project_Data_NYSE[[#This Row],[ Cost of Goods Sold ]]</f>
        <v>4199045000</v>
      </c>
      <c r="H1099" s="3">
        <v>471219000</v>
      </c>
      <c r="I1099" s="3">
        <v>0</v>
      </c>
      <c r="J1099" s="3">
        <v>1957025000</v>
      </c>
      <c r="K1099" s="3">
        <f>Project_Data_NYSE[[#This Row],[Gross Profit]]-Project_Data_NYSE[[#This Row],[ Sales, General and Admin. ]]-Project_Data_NYSE[[#This Row],[ Research and Development ]]-Project_Data_NYSE[[#This Row],[ Other Operating Items ]]</f>
        <v>1770801000</v>
      </c>
      <c r="L1099" t="s">
        <v>82</v>
      </c>
      <c r="M1099" t="s">
        <v>143</v>
      </c>
      <c r="N1099" s="31">
        <f>Project_Data_NYSE[[#This Row],[Gross Profit]]/Project_Data_NYSE[[#This Row],[ Total Revenue ]]</f>
        <v>0.79393045818504415</v>
      </c>
      <c r="O1099" s="31">
        <f>Project_Data_NYSE[[#This Row],[Operating Profit]]/Project_Data_NYSE[[#This Row],[ Total Revenue ]]</f>
        <v>0.33481252267706929</v>
      </c>
    </row>
    <row r="1100" spans="1:15" x14ac:dyDescent="0.2">
      <c r="A1100">
        <v>1126</v>
      </c>
      <c r="B1100" t="s">
        <v>403</v>
      </c>
      <c r="C1100" t="s">
        <v>16</v>
      </c>
      <c r="D1100" s="48">
        <v>42369</v>
      </c>
      <c r="E1100" s="3">
        <v>2787116000</v>
      </c>
      <c r="F1100" s="3">
        <v>832306000</v>
      </c>
      <c r="G1100" s="3">
        <f>Project_Data_NYSE[[#This Row],[ Total Revenue ]]-Project_Data_NYSE[[#This Row],[ Cost of Goods Sold ]]</f>
        <v>1954810000</v>
      </c>
      <c r="H1100" s="3">
        <v>372457000</v>
      </c>
      <c r="I1100" s="3">
        <v>0</v>
      </c>
      <c r="J1100" s="3">
        <v>1668489000</v>
      </c>
      <c r="K1100" s="3">
        <f>Project_Data_NYSE[[#This Row],[Gross Profit]]-Project_Data_NYSE[[#This Row],[ Sales, General and Admin. ]]-Project_Data_NYSE[[#This Row],[ Research and Development ]]-Project_Data_NYSE[[#This Row],[ Other Operating Items ]]</f>
        <v>-86136000</v>
      </c>
      <c r="L1100" t="s">
        <v>82</v>
      </c>
      <c r="M1100" t="s">
        <v>143</v>
      </c>
      <c r="N1100" s="31">
        <f>Project_Data_NYSE[[#This Row],[Gross Profit]]/Project_Data_NYSE[[#This Row],[ Total Revenue ]]</f>
        <v>0.70137374978292977</v>
      </c>
      <c r="O1100" s="31">
        <f>Project_Data_NYSE[[#This Row],[Operating Profit]]/Project_Data_NYSE[[#This Row],[ Total Revenue ]]</f>
        <v>-3.0905064590063709E-2</v>
      </c>
    </row>
    <row r="1101" spans="1:15" x14ac:dyDescent="0.2">
      <c r="A1101">
        <v>94</v>
      </c>
      <c r="B1101" t="s">
        <v>64</v>
      </c>
      <c r="C1101" t="s">
        <v>15</v>
      </c>
      <c r="D1101" s="48">
        <v>42369</v>
      </c>
      <c r="E1101" s="3">
        <v>2604000000</v>
      </c>
      <c r="F1101" s="3">
        <v>233000000</v>
      </c>
      <c r="G1101" s="3">
        <f>Project_Data_NYSE[[#This Row],[ Total Revenue ]]-Project_Data_NYSE[[#This Row],[ Cost of Goods Sold ]]</f>
        <v>2371000000</v>
      </c>
      <c r="H1101" s="3">
        <v>927000000</v>
      </c>
      <c r="I1101" s="3">
        <v>709000000</v>
      </c>
      <c r="J1101" s="3">
        <v>117000000</v>
      </c>
      <c r="K1101" s="3">
        <f>Project_Data_NYSE[[#This Row],[Gross Profit]]-Project_Data_NYSE[[#This Row],[ Sales, General and Admin. ]]-Project_Data_NYSE[[#This Row],[ Research and Development ]]-Project_Data_NYSE[[#This Row],[ Other Operating Items ]]</f>
        <v>618000000</v>
      </c>
      <c r="L1101" t="s">
        <v>24</v>
      </c>
      <c r="M1101" t="s">
        <v>65</v>
      </c>
      <c r="N1101" s="31">
        <f>Project_Data_NYSE[[#This Row],[Gross Profit]]/Project_Data_NYSE[[#This Row],[ Total Revenue ]]</f>
        <v>0.91052227342549918</v>
      </c>
      <c r="O1101" s="31">
        <f>Project_Data_NYSE[[#This Row],[Operating Profit]]/Project_Data_NYSE[[#This Row],[ Total Revenue ]]</f>
        <v>0.23732718894009217</v>
      </c>
    </row>
    <row r="1102" spans="1:15" x14ac:dyDescent="0.2">
      <c r="A1102">
        <v>838</v>
      </c>
      <c r="B1102" t="s">
        <v>316</v>
      </c>
      <c r="C1102" t="s">
        <v>16</v>
      </c>
      <c r="D1102" s="48">
        <v>42736</v>
      </c>
      <c r="E1102" s="3">
        <v>2398373000</v>
      </c>
      <c r="F1102" s="3">
        <v>731925000</v>
      </c>
      <c r="G1102" s="3">
        <f>Project_Data_NYSE[[#This Row],[ Total Revenue ]]-Project_Data_NYSE[[#This Row],[ Cost of Goods Sold ]]</f>
        <v>1666448000</v>
      </c>
      <c r="H1102" s="3">
        <v>584491000</v>
      </c>
      <c r="I1102" s="3">
        <v>504415000</v>
      </c>
      <c r="J1102" s="3">
        <v>0</v>
      </c>
      <c r="K1102" s="3">
        <f>Project_Data_NYSE[[#This Row],[Gross Profit]]-Project_Data_NYSE[[#This Row],[ Sales, General and Admin. ]]-Project_Data_NYSE[[#This Row],[ Research and Development ]]-Project_Data_NYSE[[#This Row],[ Other Operating Items ]]</f>
        <v>577542000</v>
      </c>
      <c r="L1102" t="s">
        <v>24</v>
      </c>
      <c r="M1102" t="s">
        <v>317</v>
      </c>
      <c r="N1102" s="31">
        <f>Project_Data_NYSE[[#This Row],[Gross Profit]]/Project_Data_NYSE[[#This Row],[ Total Revenue ]]</f>
        <v>0.6948243663516892</v>
      </c>
      <c r="O1102" s="31">
        <f>Project_Data_NYSE[[#This Row],[Operating Profit]]/Project_Data_NYSE[[#This Row],[ Total Revenue ]]</f>
        <v>0.24080574622879761</v>
      </c>
    </row>
    <row r="1103" spans="1:15" x14ac:dyDescent="0.2">
      <c r="A1103">
        <v>1132</v>
      </c>
      <c r="B1103" t="s">
        <v>405</v>
      </c>
      <c r="C1103" t="s">
        <v>11</v>
      </c>
      <c r="D1103" s="48">
        <v>41639</v>
      </c>
      <c r="E1103" s="3">
        <v>5015000000</v>
      </c>
      <c r="F1103" s="3">
        <v>844000000</v>
      </c>
      <c r="G1103" s="3">
        <f>Project_Data_NYSE[[#This Row],[ Total Revenue ]]-Project_Data_NYSE[[#This Row],[ Cost of Goods Sold ]]</f>
        <v>4171000000</v>
      </c>
      <c r="H1103" s="3">
        <v>446000000</v>
      </c>
      <c r="I1103" s="3">
        <v>0</v>
      </c>
      <c r="J1103" s="3">
        <v>1568000000</v>
      </c>
      <c r="K1103" s="3">
        <f>Project_Data_NYSE[[#This Row],[Gross Profit]]-Project_Data_NYSE[[#This Row],[ Sales, General and Admin. ]]-Project_Data_NYSE[[#This Row],[ Research and Development ]]-Project_Data_NYSE[[#This Row],[ Other Operating Items ]]</f>
        <v>2157000000</v>
      </c>
      <c r="L1103" t="s">
        <v>82</v>
      </c>
      <c r="M1103" t="s">
        <v>83</v>
      </c>
      <c r="N1103" s="31">
        <f>Project_Data_NYSE[[#This Row],[Gross Profit]]/Project_Data_NYSE[[#This Row],[ Total Revenue ]]</f>
        <v>0.83170488534396814</v>
      </c>
      <c r="O1103" s="31">
        <f>Project_Data_NYSE[[#This Row],[Operating Profit]]/Project_Data_NYSE[[#This Row],[ Total Revenue ]]</f>
        <v>0.43010967098703889</v>
      </c>
    </row>
    <row r="1104" spans="1:15" x14ac:dyDescent="0.2">
      <c r="A1104">
        <v>1133</v>
      </c>
      <c r="B1104" t="s">
        <v>405</v>
      </c>
      <c r="C1104" t="s">
        <v>14</v>
      </c>
      <c r="D1104" s="48">
        <v>42004</v>
      </c>
      <c r="E1104" s="3">
        <v>5115000000</v>
      </c>
      <c r="F1104" s="3">
        <v>945000000</v>
      </c>
      <c r="G1104" s="3">
        <f>Project_Data_NYSE[[#This Row],[ Total Revenue ]]-Project_Data_NYSE[[#This Row],[ Cost of Goods Sold ]]</f>
        <v>4170000000</v>
      </c>
      <c r="H1104" s="3">
        <v>495000000</v>
      </c>
      <c r="I1104" s="3">
        <v>0</v>
      </c>
      <c r="J1104" s="3">
        <v>1759000000</v>
      </c>
      <c r="K1104" s="3">
        <f>Project_Data_NYSE[[#This Row],[Gross Profit]]-Project_Data_NYSE[[#This Row],[ Sales, General and Admin. ]]-Project_Data_NYSE[[#This Row],[ Research and Development ]]-Project_Data_NYSE[[#This Row],[ Other Operating Items ]]</f>
        <v>1916000000</v>
      </c>
      <c r="L1104" t="s">
        <v>82</v>
      </c>
      <c r="M1104" t="s">
        <v>83</v>
      </c>
      <c r="N1104" s="31">
        <f>Project_Data_NYSE[[#This Row],[Gross Profit]]/Project_Data_NYSE[[#This Row],[ Total Revenue ]]</f>
        <v>0.81524926686217014</v>
      </c>
      <c r="O1104" s="31">
        <f>Project_Data_NYSE[[#This Row],[Operating Profit]]/Project_Data_NYSE[[#This Row],[ Total Revenue ]]</f>
        <v>0.37458455522971651</v>
      </c>
    </row>
    <row r="1105" spans="1:15" x14ac:dyDescent="0.2">
      <c r="A1105">
        <v>1134</v>
      </c>
      <c r="B1105" t="s">
        <v>405</v>
      </c>
      <c r="C1105" t="s">
        <v>15</v>
      </c>
      <c r="D1105" s="48">
        <v>42369</v>
      </c>
      <c r="E1105" s="3">
        <v>3183000000</v>
      </c>
      <c r="F1105" s="3">
        <v>979000000</v>
      </c>
      <c r="G1105" s="3">
        <f>Project_Data_NYSE[[#This Row],[ Total Revenue ]]-Project_Data_NYSE[[#This Row],[ Cost of Goods Sold ]]</f>
        <v>2204000000</v>
      </c>
      <c r="H1105" s="3">
        <v>745000000</v>
      </c>
      <c r="I1105" s="3">
        <v>0</v>
      </c>
      <c r="J1105" s="3">
        <v>2131000000</v>
      </c>
      <c r="K1105" s="3">
        <f>Project_Data_NYSE[[#This Row],[Gross Profit]]-Project_Data_NYSE[[#This Row],[ Sales, General and Admin. ]]-Project_Data_NYSE[[#This Row],[ Research and Development ]]-Project_Data_NYSE[[#This Row],[ Other Operating Items ]]</f>
        <v>-672000000</v>
      </c>
      <c r="L1105" t="s">
        <v>82</v>
      </c>
      <c r="M1105" t="s">
        <v>83</v>
      </c>
      <c r="N1105" s="31">
        <f>Project_Data_NYSE[[#This Row],[Gross Profit]]/Project_Data_NYSE[[#This Row],[ Total Revenue ]]</f>
        <v>0.69242852654728249</v>
      </c>
      <c r="O1105" s="31">
        <f>Project_Data_NYSE[[#This Row],[Operating Profit]]/Project_Data_NYSE[[#This Row],[ Total Revenue ]]</f>
        <v>-0.21112158341187559</v>
      </c>
    </row>
    <row r="1106" spans="1:15" x14ac:dyDescent="0.2">
      <c r="A1106">
        <v>1135</v>
      </c>
      <c r="B1106" t="s">
        <v>405</v>
      </c>
      <c r="C1106" t="s">
        <v>16</v>
      </c>
      <c r="D1106" s="48">
        <v>42735</v>
      </c>
      <c r="E1106" s="3">
        <v>3491000000</v>
      </c>
      <c r="F1106" s="3">
        <v>1083000000</v>
      </c>
      <c r="G1106" s="3">
        <f>Project_Data_NYSE[[#This Row],[ Total Revenue ]]-Project_Data_NYSE[[#This Row],[ Cost of Goods Sold ]]</f>
        <v>2408000000</v>
      </c>
      <c r="H1106" s="3">
        <v>233000000</v>
      </c>
      <c r="I1106" s="3">
        <v>0</v>
      </c>
      <c r="J1106" s="3">
        <v>2454000000</v>
      </c>
      <c r="K1106" s="3">
        <f>Project_Data_NYSE[[#This Row],[Gross Profit]]-Project_Data_NYSE[[#This Row],[ Sales, General and Admin. ]]-Project_Data_NYSE[[#This Row],[ Research and Development ]]-Project_Data_NYSE[[#This Row],[ Other Operating Items ]]</f>
        <v>-279000000</v>
      </c>
      <c r="L1106" t="s">
        <v>82</v>
      </c>
      <c r="M1106" t="s">
        <v>83</v>
      </c>
      <c r="N1106" s="31">
        <f>Project_Data_NYSE[[#This Row],[Gross Profit]]/Project_Data_NYSE[[#This Row],[ Total Revenue ]]</f>
        <v>0.68977370380979663</v>
      </c>
      <c r="O1106" s="31">
        <f>Project_Data_NYSE[[#This Row],[Operating Profit]]/Project_Data_NYSE[[#This Row],[ Total Revenue ]]</f>
        <v>-7.9919793755370949E-2</v>
      </c>
    </row>
    <row r="1107" spans="1:15" x14ac:dyDescent="0.2">
      <c r="A1107">
        <v>1136</v>
      </c>
      <c r="B1107" t="s">
        <v>406</v>
      </c>
      <c r="C1107" t="s">
        <v>11</v>
      </c>
      <c r="D1107" s="48">
        <v>41274</v>
      </c>
      <c r="E1107" s="3">
        <v>3023000000</v>
      </c>
      <c r="F1107" s="3">
        <v>1446000000</v>
      </c>
      <c r="G1107" s="3">
        <f>Project_Data_NYSE[[#This Row],[ Total Revenue ]]-Project_Data_NYSE[[#This Row],[ Cost of Goods Sold ]]</f>
        <v>1577000000</v>
      </c>
      <c r="H1107" s="3">
        <v>832000000</v>
      </c>
      <c r="I1107" s="3">
        <v>0</v>
      </c>
      <c r="J1107" s="3">
        <v>104000000</v>
      </c>
      <c r="K1107" s="3">
        <f>Project_Data_NYSE[[#This Row],[Gross Profit]]-Project_Data_NYSE[[#This Row],[ Sales, General and Admin. ]]-Project_Data_NYSE[[#This Row],[ Research and Development ]]-Project_Data_NYSE[[#This Row],[ Other Operating Items ]]</f>
        <v>641000000</v>
      </c>
      <c r="L1107" t="s">
        <v>46</v>
      </c>
      <c r="M1107" t="s">
        <v>378</v>
      </c>
      <c r="N1107" s="31">
        <f>Project_Data_NYSE[[#This Row],[Gross Profit]]/Project_Data_NYSE[[#This Row],[ Total Revenue ]]</f>
        <v>0.52166721799536886</v>
      </c>
      <c r="O1107" s="31">
        <f>Project_Data_NYSE[[#This Row],[Operating Profit]]/Project_Data_NYSE[[#This Row],[ Total Revenue ]]</f>
        <v>0.2120410188554416</v>
      </c>
    </row>
    <row r="1108" spans="1:15" x14ac:dyDescent="0.2">
      <c r="A1108">
        <v>1137</v>
      </c>
      <c r="B1108" t="s">
        <v>406</v>
      </c>
      <c r="C1108" t="s">
        <v>14</v>
      </c>
      <c r="D1108" s="48">
        <v>41639</v>
      </c>
      <c r="E1108" s="3">
        <v>3100000000</v>
      </c>
      <c r="F1108" s="3">
        <v>1316000000</v>
      </c>
      <c r="G1108" s="3">
        <f>Project_Data_NYSE[[#This Row],[ Total Revenue ]]-Project_Data_NYSE[[#This Row],[ Cost of Goods Sold ]]</f>
        <v>1784000000</v>
      </c>
      <c r="H1108" s="3">
        <v>1054000000</v>
      </c>
      <c r="I1108" s="3">
        <v>0</v>
      </c>
      <c r="J1108" s="3">
        <v>122000000</v>
      </c>
      <c r="K1108" s="3">
        <f>Project_Data_NYSE[[#This Row],[Gross Profit]]-Project_Data_NYSE[[#This Row],[ Sales, General and Admin. ]]-Project_Data_NYSE[[#This Row],[ Research and Development ]]-Project_Data_NYSE[[#This Row],[ Other Operating Items ]]</f>
        <v>608000000</v>
      </c>
      <c r="L1108" t="s">
        <v>46</v>
      </c>
      <c r="M1108" t="s">
        <v>378</v>
      </c>
      <c r="N1108" s="31">
        <f>Project_Data_NYSE[[#This Row],[Gross Profit]]/Project_Data_NYSE[[#This Row],[ Total Revenue ]]</f>
        <v>0.5754838709677419</v>
      </c>
      <c r="O1108" s="31">
        <f>Project_Data_NYSE[[#This Row],[Operating Profit]]/Project_Data_NYSE[[#This Row],[ Total Revenue ]]</f>
        <v>0.19612903225806452</v>
      </c>
    </row>
    <row r="1109" spans="1:15" x14ac:dyDescent="0.2">
      <c r="A1109">
        <v>1138</v>
      </c>
      <c r="B1109" t="s">
        <v>406</v>
      </c>
      <c r="C1109" t="s">
        <v>15</v>
      </c>
      <c r="D1109" s="48">
        <v>42004</v>
      </c>
      <c r="E1109" s="3">
        <v>3383000000</v>
      </c>
      <c r="F1109" s="3">
        <v>1433000000</v>
      </c>
      <c r="G1109" s="3">
        <f>Project_Data_NYSE[[#This Row],[ Total Revenue ]]-Project_Data_NYSE[[#This Row],[ Cost of Goods Sold ]]</f>
        <v>1950000000</v>
      </c>
      <c r="H1109" s="3">
        <v>1095000000</v>
      </c>
      <c r="I1109" s="3">
        <v>0</v>
      </c>
      <c r="J1109" s="3">
        <v>137000000</v>
      </c>
      <c r="K1109" s="3">
        <f>Project_Data_NYSE[[#This Row],[Gross Profit]]-Project_Data_NYSE[[#This Row],[ Sales, General and Admin. ]]-Project_Data_NYSE[[#This Row],[ Research and Development ]]-Project_Data_NYSE[[#This Row],[ Other Operating Items ]]</f>
        <v>718000000</v>
      </c>
      <c r="L1109" t="s">
        <v>46</v>
      </c>
      <c r="M1109" t="s">
        <v>378</v>
      </c>
      <c r="N1109" s="31">
        <f>Project_Data_NYSE[[#This Row],[Gross Profit]]/Project_Data_NYSE[[#This Row],[ Total Revenue ]]</f>
        <v>0.5764114691102572</v>
      </c>
      <c r="O1109" s="31">
        <f>Project_Data_NYSE[[#This Row],[Operating Profit]]/Project_Data_NYSE[[#This Row],[ Total Revenue ]]</f>
        <v>0.21223765888264853</v>
      </c>
    </row>
    <row r="1110" spans="1:15" x14ac:dyDescent="0.2">
      <c r="A1110">
        <v>1139</v>
      </c>
      <c r="B1110" t="s">
        <v>406</v>
      </c>
      <c r="C1110" t="s">
        <v>16</v>
      </c>
      <c r="D1110" s="48">
        <v>42369</v>
      </c>
      <c r="E1110" s="3">
        <v>3292000000</v>
      </c>
      <c r="F1110" s="3">
        <v>1313000000</v>
      </c>
      <c r="G1110" s="3">
        <f>Project_Data_NYSE[[#This Row],[ Total Revenue ]]-Project_Data_NYSE[[#This Row],[ Cost of Goods Sold ]]</f>
        <v>1979000000</v>
      </c>
      <c r="H1110" s="3">
        <v>1050000000</v>
      </c>
      <c r="I1110" s="3">
        <v>0</v>
      </c>
      <c r="J1110" s="3">
        <v>138000000</v>
      </c>
      <c r="K1110" s="3">
        <f>Project_Data_NYSE[[#This Row],[Gross Profit]]-Project_Data_NYSE[[#This Row],[ Sales, General and Admin. ]]-Project_Data_NYSE[[#This Row],[ Research and Development ]]-Project_Data_NYSE[[#This Row],[ Other Operating Items ]]</f>
        <v>791000000</v>
      </c>
      <c r="L1110" t="s">
        <v>46</v>
      </c>
      <c r="M1110" t="s">
        <v>378</v>
      </c>
      <c r="N1110" s="31">
        <f>Project_Data_NYSE[[#This Row],[Gross Profit]]/Project_Data_NYSE[[#This Row],[ Total Revenue ]]</f>
        <v>0.6011543134872418</v>
      </c>
      <c r="O1110" s="31">
        <f>Project_Data_NYSE[[#This Row],[Operating Profit]]/Project_Data_NYSE[[#This Row],[ Total Revenue ]]</f>
        <v>0.24027946537059539</v>
      </c>
    </row>
    <row r="1111" spans="1:15" x14ac:dyDescent="0.2">
      <c r="A1111">
        <v>1140</v>
      </c>
      <c r="B1111" t="s">
        <v>407</v>
      </c>
      <c r="C1111" t="s">
        <v>11</v>
      </c>
      <c r="D1111" s="48">
        <v>41274</v>
      </c>
      <c r="E1111" s="3">
        <v>14256000000</v>
      </c>
      <c r="F1111" s="3">
        <v>8276000000</v>
      </c>
      <c r="G1111" s="3">
        <f>Project_Data_NYSE[[#This Row],[ Total Revenue ]]-Project_Data_NYSE[[#This Row],[ Cost of Goods Sold ]]</f>
        <v>5980000000</v>
      </c>
      <c r="H1111" s="3">
        <v>1186000000</v>
      </c>
      <c r="I1111" s="3">
        <v>0</v>
      </c>
      <c r="J1111" s="3">
        <v>1518000000</v>
      </c>
      <c r="K1111" s="3">
        <f>Project_Data_NYSE[[#This Row],[Gross Profit]]-Project_Data_NYSE[[#This Row],[ Sales, General and Admin. ]]-Project_Data_NYSE[[#This Row],[ Research and Development ]]-Project_Data_NYSE[[#This Row],[ Other Operating Items ]]</f>
        <v>3276000000</v>
      </c>
      <c r="L1111" t="s">
        <v>41</v>
      </c>
      <c r="M1111" t="s">
        <v>42</v>
      </c>
      <c r="N1111" s="31">
        <f>Project_Data_NYSE[[#This Row],[Gross Profit]]/Project_Data_NYSE[[#This Row],[ Total Revenue ]]</f>
        <v>0.41947250280583614</v>
      </c>
      <c r="O1111" s="31">
        <f>Project_Data_NYSE[[#This Row],[Operating Profit]]/Project_Data_NYSE[[#This Row],[ Total Revenue ]]</f>
        <v>0.22979797979797981</v>
      </c>
    </row>
    <row r="1112" spans="1:15" x14ac:dyDescent="0.2">
      <c r="A1112">
        <v>1141</v>
      </c>
      <c r="B1112" t="s">
        <v>407</v>
      </c>
      <c r="C1112" t="s">
        <v>14</v>
      </c>
      <c r="D1112" s="48">
        <v>41639</v>
      </c>
      <c r="E1112" s="3">
        <v>15136000000</v>
      </c>
      <c r="F1112" s="3">
        <v>8152000000</v>
      </c>
      <c r="G1112" s="3">
        <f>Project_Data_NYSE[[#This Row],[ Total Revenue ]]-Project_Data_NYSE[[#This Row],[ Cost of Goods Sold ]]</f>
        <v>6984000000</v>
      </c>
      <c r="H1112" s="3">
        <v>1280000000</v>
      </c>
      <c r="I1112" s="3">
        <v>0</v>
      </c>
      <c r="J1112" s="3">
        <v>2163000000</v>
      </c>
      <c r="K1112" s="3">
        <f>Project_Data_NYSE[[#This Row],[Gross Profit]]-Project_Data_NYSE[[#This Row],[ Sales, General and Admin. ]]-Project_Data_NYSE[[#This Row],[ Research and Development ]]-Project_Data_NYSE[[#This Row],[ Other Operating Items ]]</f>
        <v>3541000000</v>
      </c>
      <c r="L1112" t="s">
        <v>41</v>
      </c>
      <c r="M1112" t="s">
        <v>42</v>
      </c>
      <c r="N1112" s="31">
        <f>Project_Data_NYSE[[#This Row],[Gross Profit]]/Project_Data_NYSE[[#This Row],[ Total Revenue ]]</f>
        <v>0.46141649048625794</v>
      </c>
      <c r="O1112" s="31">
        <f>Project_Data_NYSE[[#This Row],[Operating Profit]]/Project_Data_NYSE[[#This Row],[ Total Revenue ]]</f>
        <v>0.23394556025369978</v>
      </c>
    </row>
    <row r="1113" spans="1:15" x14ac:dyDescent="0.2">
      <c r="A1113">
        <v>1142</v>
      </c>
      <c r="B1113" t="s">
        <v>407</v>
      </c>
      <c r="C1113" t="s">
        <v>15</v>
      </c>
      <c r="D1113" s="48">
        <v>42004</v>
      </c>
      <c r="E1113" s="3">
        <v>17021000000</v>
      </c>
      <c r="F1113" s="3">
        <v>8751000000</v>
      </c>
      <c r="G1113" s="3">
        <f>Project_Data_NYSE[[#This Row],[ Total Revenue ]]-Project_Data_NYSE[[#This Row],[ Cost of Goods Sold ]]</f>
        <v>8270000000</v>
      </c>
      <c r="H1113" s="3">
        <v>1324000000</v>
      </c>
      <c r="I1113" s="3">
        <v>0</v>
      </c>
      <c r="J1113" s="3">
        <v>2551000000</v>
      </c>
      <c r="K1113" s="3">
        <f>Project_Data_NYSE[[#This Row],[Gross Profit]]-Project_Data_NYSE[[#This Row],[ Sales, General and Admin. ]]-Project_Data_NYSE[[#This Row],[ Research and Development ]]-Project_Data_NYSE[[#This Row],[ Other Operating Items ]]</f>
        <v>4395000000</v>
      </c>
      <c r="L1113" t="s">
        <v>41</v>
      </c>
      <c r="M1113" t="s">
        <v>42</v>
      </c>
      <c r="N1113" s="31">
        <f>Project_Data_NYSE[[#This Row],[Gross Profit]]/Project_Data_NYSE[[#This Row],[ Total Revenue ]]</f>
        <v>0.48587039539392513</v>
      </c>
      <c r="O1113" s="31">
        <f>Project_Data_NYSE[[#This Row],[Operating Profit]]/Project_Data_NYSE[[#This Row],[ Total Revenue ]]</f>
        <v>0.25821044591974618</v>
      </c>
    </row>
    <row r="1114" spans="1:15" x14ac:dyDescent="0.2">
      <c r="A1114">
        <v>1143</v>
      </c>
      <c r="B1114" t="s">
        <v>407</v>
      </c>
      <c r="C1114" t="s">
        <v>16</v>
      </c>
      <c r="D1114" s="48">
        <v>42369</v>
      </c>
      <c r="E1114" s="3">
        <v>17486000000</v>
      </c>
      <c r="F1114" s="3">
        <v>8596000000</v>
      </c>
      <c r="G1114" s="3">
        <f>Project_Data_NYSE[[#This Row],[ Total Revenue ]]-Project_Data_NYSE[[#This Row],[ Cost of Goods Sold ]]</f>
        <v>8890000000</v>
      </c>
      <c r="H1114" s="3">
        <v>1399000000</v>
      </c>
      <c r="I1114" s="3">
        <v>0</v>
      </c>
      <c r="J1114" s="3">
        <v>2831000000</v>
      </c>
      <c r="K1114" s="3">
        <f>Project_Data_NYSE[[#This Row],[Gross Profit]]-Project_Data_NYSE[[#This Row],[ Sales, General and Admin. ]]-Project_Data_NYSE[[#This Row],[ Research and Development ]]-Project_Data_NYSE[[#This Row],[ Other Operating Items ]]</f>
        <v>4660000000</v>
      </c>
      <c r="L1114" t="s">
        <v>41</v>
      </c>
      <c r="M1114" t="s">
        <v>42</v>
      </c>
      <c r="N1114" s="31">
        <f>Project_Data_NYSE[[#This Row],[Gross Profit]]/Project_Data_NYSE[[#This Row],[ Total Revenue ]]</f>
        <v>0.50840672538030429</v>
      </c>
      <c r="O1114" s="31">
        <f>Project_Data_NYSE[[#This Row],[Operating Profit]]/Project_Data_NYSE[[#This Row],[ Total Revenue ]]</f>
        <v>0.26649891341644744</v>
      </c>
    </row>
    <row r="1115" spans="1:15" x14ac:dyDescent="0.2">
      <c r="A1115">
        <v>1144</v>
      </c>
      <c r="B1115" t="s">
        <v>408</v>
      </c>
      <c r="C1115" t="s">
        <v>11</v>
      </c>
      <c r="D1115" s="48">
        <v>41274</v>
      </c>
      <c r="E1115" s="3">
        <v>9964000000</v>
      </c>
      <c r="F1115" s="3">
        <v>4334000000</v>
      </c>
      <c r="G1115" s="3">
        <f>Project_Data_NYSE[[#This Row],[ Total Revenue ]]-Project_Data_NYSE[[#This Row],[ Cost of Goods Sold ]]</f>
        <v>5630000000</v>
      </c>
      <c r="H1115" s="3">
        <v>757000000</v>
      </c>
      <c r="I1115" s="3">
        <v>704000000</v>
      </c>
      <c r="J1115" s="3">
        <v>1032000000</v>
      </c>
      <c r="K1115" s="3">
        <f>Project_Data_NYSE[[#This Row],[Gross Profit]]-Project_Data_NYSE[[#This Row],[ Sales, General and Admin. ]]-Project_Data_NYSE[[#This Row],[ Research and Development ]]-Project_Data_NYSE[[#This Row],[ Other Operating Items ]]</f>
        <v>3137000000</v>
      </c>
      <c r="L1115" t="s">
        <v>58</v>
      </c>
      <c r="M1115" t="s">
        <v>409</v>
      </c>
      <c r="N1115" s="31">
        <f>Project_Data_NYSE[[#This Row],[Gross Profit]]/Project_Data_NYSE[[#This Row],[ Total Revenue ]]</f>
        <v>0.56503412284223209</v>
      </c>
      <c r="O1115" s="31">
        <f>Project_Data_NYSE[[#This Row],[Operating Profit]]/Project_Data_NYSE[[#This Row],[ Total Revenue ]]</f>
        <v>0.31483340024086715</v>
      </c>
    </row>
    <row r="1116" spans="1:15" x14ac:dyDescent="0.2">
      <c r="A1116">
        <v>1145</v>
      </c>
      <c r="B1116" t="s">
        <v>408</v>
      </c>
      <c r="C1116" t="s">
        <v>14</v>
      </c>
      <c r="D1116" s="48">
        <v>41639</v>
      </c>
      <c r="E1116" s="3">
        <v>8414000000</v>
      </c>
      <c r="F1116" s="3">
        <v>5299000000</v>
      </c>
      <c r="G1116" s="3">
        <f>Project_Data_NYSE[[#This Row],[ Total Revenue ]]-Project_Data_NYSE[[#This Row],[ Cost of Goods Sold ]]</f>
        <v>3115000000</v>
      </c>
      <c r="H1116" s="3">
        <v>584000000</v>
      </c>
      <c r="I1116" s="3">
        <v>469000000</v>
      </c>
      <c r="J1116" s="3">
        <v>1362000000</v>
      </c>
      <c r="K1116" s="3">
        <f>Project_Data_NYSE[[#This Row],[Gross Profit]]-Project_Data_NYSE[[#This Row],[ Sales, General and Admin. ]]-Project_Data_NYSE[[#This Row],[ Research and Development ]]-Project_Data_NYSE[[#This Row],[ Other Operating Items ]]</f>
        <v>700000000</v>
      </c>
      <c r="L1116" t="s">
        <v>58</v>
      </c>
      <c r="M1116" t="s">
        <v>409</v>
      </c>
      <c r="N1116" s="31">
        <f>Project_Data_NYSE[[#This Row],[Gross Profit]]/Project_Data_NYSE[[#This Row],[ Total Revenue ]]</f>
        <v>0.37021630615640599</v>
      </c>
      <c r="O1116" s="31">
        <f>Project_Data_NYSE[[#This Row],[Operating Profit]]/Project_Data_NYSE[[#This Row],[ Total Revenue ]]</f>
        <v>8.3194675540765387E-2</v>
      </c>
    </row>
    <row r="1117" spans="1:15" x14ac:dyDescent="0.2">
      <c r="A1117">
        <v>1146</v>
      </c>
      <c r="B1117" t="s">
        <v>408</v>
      </c>
      <c r="C1117" t="s">
        <v>15</v>
      </c>
      <c r="D1117" s="48">
        <v>42004</v>
      </c>
      <c r="E1117" s="3">
        <v>7292000000</v>
      </c>
      <c r="F1117" s="3">
        <v>4457000000</v>
      </c>
      <c r="G1117" s="3">
        <f>Project_Data_NYSE[[#This Row],[ Total Revenue ]]-Project_Data_NYSE[[#This Row],[ Cost of Goods Sold ]]</f>
        <v>2835000000</v>
      </c>
      <c r="H1117" s="3">
        <v>545000000</v>
      </c>
      <c r="I1117" s="3">
        <v>325000000</v>
      </c>
      <c r="J1117" s="3">
        <v>1229000000</v>
      </c>
      <c r="K1117" s="3">
        <f>Project_Data_NYSE[[#This Row],[Gross Profit]]-Project_Data_NYSE[[#This Row],[ Sales, General and Admin. ]]-Project_Data_NYSE[[#This Row],[ Research and Development ]]-Project_Data_NYSE[[#This Row],[ Other Operating Items ]]</f>
        <v>736000000</v>
      </c>
      <c r="L1117" t="s">
        <v>58</v>
      </c>
      <c r="M1117" t="s">
        <v>409</v>
      </c>
      <c r="N1117" s="31">
        <f>Project_Data_NYSE[[#This Row],[Gross Profit]]/Project_Data_NYSE[[#This Row],[ Total Revenue ]]</f>
        <v>0.38878222709818977</v>
      </c>
      <c r="O1117" s="31">
        <f>Project_Data_NYSE[[#This Row],[Operating Profit]]/Project_Data_NYSE[[#This Row],[ Total Revenue ]]</f>
        <v>0.10093252879868349</v>
      </c>
    </row>
    <row r="1118" spans="1:15" x14ac:dyDescent="0.2">
      <c r="A1118">
        <v>1147</v>
      </c>
      <c r="B1118" t="s">
        <v>408</v>
      </c>
      <c r="C1118" t="s">
        <v>16</v>
      </c>
      <c r="D1118" s="48">
        <v>42369</v>
      </c>
      <c r="E1118" s="3">
        <v>7729000000</v>
      </c>
      <c r="F1118" s="3">
        <v>4312000000</v>
      </c>
      <c r="G1118" s="3">
        <f>Project_Data_NYSE[[#This Row],[ Total Revenue ]]-Project_Data_NYSE[[#This Row],[ Cost of Goods Sold ]]</f>
        <v>3417000000</v>
      </c>
      <c r="H1118" s="3">
        <v>670000000</v>
      </c>
      <c r="I1118" s="3">
        <v>289000000</v>
      </c>
      <c r="J1118" s="3">
        <v>1239000000</v>
      </c>
      <c r="K1118" s="3">
        <f>Project_Data_NYSE[[#This Row],[Gross Profit]]-Project_Data_NYSE[[#This Row],[ Sales, General and Admin. ]]-Project_Data_NYSE[[#This Row],[ Research and Development ]]-Project_Data_NYSE[[#This Row],[ Other Operating Items ]]</f>
        <v>1219000000</v>
      </c>
      <c r="L1118" t="s">
        <v>58</v>
      </c>
      <c r="M1118" t="s">
        <v>409</v>
      </c>
      <c r="N1118" s="31">
        <f>Project_Data_NYSE[[#This Row],[Gross Profit]]/Project_Data_NYSE[[#This Row],[ Total Revenue ]]</f>
        <v>0.44210117738387888</v>
      </c>
      <c r="O1118" s="31">
        <f>Project_Data_NYSE[[#This Row],[Operating Profit]]/Project_Data_NYSE[[#This Row],[ Total Revenue ]]</f>
        <v>0.15771768663475222</v>
      </c>
    </row>
    <row r="1119" spans="1:15" x14ac:dyDescent="0.2">
      <c r="A1119">
        <v>1148</v>
      </c>
      <c r="B1119" t="s">
        <v>410</v>
      </c>
      <c r="C1119" t="s">
        <v>11</v>
      </c>
      <c r="D1119" s="48">
        <v>41639</v>
      </c>
      <c r="E1119" s="3">
        <v>4374562000</v>
      </c>
      <c r="F1119" s="3">
        <v>3117203000</v>
      </c>
      <c r="G1119" s="3">
        <f>Project_Data_NYSE[[#This Row],[ Total Revenue ]]-Project_Data_NYSE[[#This Row],[ Cost of Goods Sold ]]</f>
        <v>1257359000</v>
      </c>
      <c r="H1119" s="3">
        <v>650243000</v>
      </c>
      <c r="I1119" s="3">
        <v>378769000</v>
      </c>
      <c r="J1119" s="3">
        <v>0</v>
      </c>
      <c r="K1119" s="3">
        <f>Project_Data_NYSE[[#This Row],[Gross Profit]]-Project_Data_NYSE[[#This Row],[ Sales, General and Admin. ]]-Project_Data_NYSE[[#This Row],[ Research and Development ]]-Project_Data_NYSE[[#This Row],[ Other Operating Items ]]</f>
        <v>228347000</v>
      </c>
      <c r="L1119" t="s">
        <v>21</v>
      </c>
      <c r="M1119" t="s">
        <v>56</v>
      </c>
      <c r="N1119" s="31">
        <f>Project_Data_NYSE[[#This Row],[Gross Profit]]/Project_Data_NYSE[[#This Row],[ Total Revenue ]]</f>
        <v>0.28742511821754957</v>
      </c>
      <c r="O1119" s="31">
        <f>Project_Data_NYSE[[#This Row],[Operating Profit]]/Project_Data_NYSE[[#This Row],[ Total Revenue ]]</f>
        <v>5.2198825848164911E-2</v>
      </c>
    </row>
    <row r="1120" spans="1:15" x14ac:dyDescent="0.2">
      <c r="A1120">
        <v>1149</v>
      </c>
      <c r="B1120" t="s">
        <v>410</v>
      </c>
      <c r="C1120" t="s">
        <v>14</v>
      </c>
      <c r="D1120" s="48">
        <v>42004</v>
      </c>
      <c r="E1120" s="3">
        <v>5504656000</v>
      </c>
      <c r="F1120" s="3">
        <v>3752760000</v>
      </c>
      <c r="G1120" s="3">
        <f>Project_Data_NYSE[[#This Row],[ Total Revenue ]]-Project_Data_NYSE[[#This Row],[ Cost of Goods Sold ]]</f>
        <v>1751896000</v>
      </c>
      <c r="H1120" s="3">
        <v>876927000</v>
      </c>
      <c r="I1120" s="3">
        <v>472321000</v>
      </c>
      <c r="J1120" s="3">
        <v>0</v>
      </c>
      <c r="K1120" s="3">
        <f>Project_Data_NYSE[[#This Row],[Gross Profit]]-Project_Data_NYSE[[#This Row],[ Sales, General and Admin. ]]-Project_Data_NYSE[[#This Row],[ Research and Development ]]-Project_Data_NYSE[[#This Row],[ Other Operating Items ]]</f>
        <v>402648000</v>
      </c>
      <c r="L1120" t="s">
        <v>21</v>
      </c>
      <c r="M1120" t="s">
        <v>56</v>
      </c>
      <c r="N1120" s="31">
        <f>Project_Data_NYSE[[#This Row],[Gross Profit]]/Project_Data_NYSE[[#This Row],[ Total Revenue ]]</f>
        <v>0.31825712633087333</v>
      </c>
      <c r="O1120" s="31">
        <f>Project_Data_NYSE[[#This Row],[Operating Profit]]/Project_Data_NYSE[[#This Row],[ Total Revenue ]]</f>
        <v>7.3146805177289914E-2</v>
      </c>
    </row>
    <row r="1121" spans="1:15" x14ac:dyDescent="0.2">
      <c r="A1121">
        <v>1150</v>
      </c>
      <c r="B1121" t="s">
        <v>410</v>
      </c>
      <c r="C1121" t="s">
        <v>15</v>
      </c>
      <c r="D1121" s="48">
        <v>42369</v>
      </c>
      <c r="E1121" s="3">
        <v>6779511000</v>
      </c>
      <c r="F1121" s="3">
        <v>4591476000</v>
      </c>
      <c r="G1121" s="3">
        <f>Project_Data_NYSE[[#This Row],[ Total Revenue ]]-Project_Data_NYSE[[#This Row],[ Cost of Goods Sold ]]</f>
        <v>2188035000</v>
      </c>
      <c r="H1121" s="3">
        <v>1231421000</v>
      </c>
      <c r="I1121" s="3">
        <v>650788000</v>
      </c>
      <c r="J1121" s="3">
        <v>0</v>
      </c>
      <c r="K1121" s="3">
        <f>Project_Data_NYSE[[#This Row],[Gross Profit]]-Project_Data_NYSE[[#This Row],[ Sales, General and Admin. ]]-Project_Data_NYSE[[#This Row],[ Research and Development ]]-Project_Data_NYSE[[#This Row],[ Other Operating Items ]]</f>
        <v>305826000</v>
      </c>
      <c r="L1121" t="s">
        <v>21</v>
      </c>
      <c r="M1121" t="s">
        <v>56</v>
      </c>
      <c r="N1121" s="31">
        <f>Project_Data_NYSE[[#This Row],[Gross Profit]]/Project_Data_NYSE[[#This Row],[ Total Revenue ]]</f>
        <v>0.32274230398033132</v>
      </c>
      <c r="O1121" s="31">
        <f>Project_Data_NYSE[[#This Row],[Operating Profit]]/Project_Data_NYSE[[#This Row],[ Total Revenue ]]</f>
        <v>4.5110333178897413E-2</v>
      </c>
    </row>
    <row r="1122" spans="1:15" x14ac:dyDescent="0.2">
      <c r="A1122">
        <v>1151</v>
      </c>
      <c r="B1122" t="s">
        <v>410</v>
      </c>
      <c r="C1122" t="s">
        <v>16</v>
      </c>
      <c r="D1122" s="48">
        <v>42735</v>
      </c>
      <c r="E1122" s="3">
        <v>8830669000</v>
      </c>
      <c r="F1122" s="3">
        <v>6029901000</v>
      </c>
      <c r="G1122" s="3">
        <f>Project_Data_NYSE[[#This Row],[ Total Revenue ]]-Project_Data_NYSE[[#This Row],[ Cost of Goods Sold ]]</f>
        <v>2800768000</v>
      </c>
      <c r="H1122" s="3">
        <v>1568877000</v>
      </c>
      <c r="I1122" s="3">
        <v>852098000</v>
      </c>
      <c r="J1122" s="3">
        <v>0</v>
      </c>
      <c r="K1122" s="3">
        <f>Project_Data_NYSE[[#This Row],[Gross Profit]]-Project_Data_NYSE[[#This Row],[ Sales, General and Admin. ]]-Project_Data_NYSE[[#This Row],[ Research and Development ]]-Project_Data_NYSE[[#This Row],[ Other Operating Items ]]</f>
        <v>379793000</v>
      </c>
      <c r="L1122" t="s">
        <v>21</v>
      </c>
      <c r="M1122" t="s">
        <v>56</v>
      </c>
      <c r="N1122" s="31">
        <f>Project_Data_NYSE[[#This Row],[Gross Profit]]/Project_Data_NYSE[[#This Row],[ Total Revenue ]]</f>
        <v>0.31716373923651764</v>
      </c>
      <c r="O1122" s="31">
        <f>Project_Data_NYSE[[#This Row],[Operating Profit]]/Project_Data_NYSE[[#This Row],[ Total Revenue ]]</f>
        <v>4.3008406271370835E-2</v>
      </c>
    </row>
    <row r="1123" spans="1:15" x14ac:dyDescent="0.2">
      <c r="A1123">
        <v>1152</v>
      </c>
      <c r="B1123" t="s">
        <v>411</v>
      </c>
      <c r="C1123" t="s">
        <v>11</v>
      </c>
      <c r="D1123" s="48">
        <v>41274</v>
      </c>
      <c r="E1123" s="3">
        <v>1562000000</v>
      </c>
      <c r="F1123" s="3">
        <v>413000000</v>
      </c>
      <c r="G1123" s="3">
        <f>Project_Data_NYSE[[#This Row],[ Total Revenue ]]-Project_Data_NYSE[[#This Row],[ Cost of Goods Sold ]]</f>
        <v>1149000000</v>
      </c>
      <c r="H1123" s="3">
        <v>311000000</v>
      </c>
      <c r="I1123" s="3">
        <v>0</v>
      </c>
      <c r="J1123" s="3">
        <v>704000000</v>
      </c>
      <c r="K1123" s="3">
        <f>Project_Data_NYSE[[#This Row],[Gross Profit]]-Project_Data_NYSE[[#This Row],[ Sales, General and Admin. ]]-Project_Data_NYSE[[#This Row],[ Research and Development ]]-Project_Data_NYSE[[#This Row],[ Other Operating Items ]]</f>
        <v>134000000</v>
      </c>
      <c r="L1123" t="s">
        <v>82</v>
      </c>
      <c r="M1123" t="s">
        <v>83</v>
      </c>
      <c r="N1123" s="31">
        <f>Project_Data_NYSE[[#This Row],[Gross Profit]]/Project_Data_NYSE[[#This Row],[ Total Revenue ]]</f>
        <v>0.73559539052496803</v>
      </c>
      <c r="O1123" s="31">
        <f>Project_Data_NYSE[[#This Row],[Operating Profit]]/Project_Data_NYSE[[#This Row],[ Total Revenue ]]</f>
        <v>8.5787451984635082E-2</v>
      </c>
    </row>
    <row r="1124" spans="1:15" x14ac:dyDescent="0.2">
      <c r="A1124">
        <v>1153</v>
      </c>
      <c r="B1124" t="s">
        <v>411</v>
      </c>
      <c r="C1124" t="s">
        <v>14</v>
      </c>
      <c r="D1124" s="48">
        <v>41639</v>
      </c>
      <c r="E1124" s="3">
        <v>1857000000</v>
      </c>
      <c r="F1124" s="3">
        <v>411000000</v>
      </c>
      <c r="G1124" s="3">
        <f>Project_Data_NYSE[[#This Row],[ Total Revenue ]]-Project_Data_NYSE[[#This Row],[ Cost of Goods Sold ]]</f>
        <v>1446000000</v>
      </c>
      <c r="H1124" s="3">
        <v>311000000</v>
      </c>
      <c r="I1124" s="3">
        <v>0</v>
      </c>
      <c r="J1124" s="3">
        <v>685000000</v>
      </c>
      <c r="K1124" s="3">
        <f>Project_Data_NYSE[[#This Row],[Gross Profit]]-Project_Data_NYSE[[#This Row],[ Sales, General and Admin. ]]-Project_Data_NYSE[[#This Row],[ Research and Development ]]-Project_Data_NYSE[[#This Row],[ Other Operating Items ]]</f>
        <v>450000000</v>
      </c>
      <c r="L1124" t="s">
        <v>82</v>
      </c>
      <c r="M1124" t="s">
        <v>83</v>
      </c>
      <c r="N1124" s="31">
        <f>Project_Data_NYSE[[#This Row],[Gross Profit]]/Project_Data_NYSE[[#This Row],[ Total Revenue ]]</f>
        <v>0.77867528271405495</v>
      </c>
      <c r="O1124" s="31">
        <f>Project_Data_NYSE[[#This Row],[Operating Profit]]/Project_Data_NYSE[[#This Row],[ Total Revenue ]]</f>
        <v>0.24232633279483037</v>
      </c>
    </row>
    <row r="1125" spans="1:15" x14ac:dyDescent="0.2">
      <c r="A1125">
        <v>1154</v>
      </c>
      <c r="B1125" t="s">
        <v>411</v>
      </c>
      <c r="C1125" t="s">
        <v>15</v>
      </c>
      <c r="D1125" s="48">
        <v>42004</v>
      </c>
      <c r="E1125" s="3">
        <v>2288000000</v>
      </c>
      <c r="F1125" s="3">
        <v>485000000</v>
      </c>
      <c r="G1125" s="3">
        <f>Project_Data_NYSE[[#This Row],[ Total Revenue ]]-Project_Data_NYSE[[#This Row],[ Cost of Goods Sold ]]</f>
        <v>1803000000</v>
      </c>
      <c r="H1125" s="3">
        <v>358000000</v>
      </c>
      <c r="I1125" s="3">
        <v>0</v>
      </c>
      <c r="J1125" s="3">
        <v>870000000</v>
      </c>
      <c r="K1125" s="3">
        <f>Project_Data_NYSE[[#This Row],[Gross Profit]]-Project_Data_NYSE[[#This Row],[ Sales, General and Admin. ]]-Project_Data_NYSE[[#This Row],[ Research and Development ]]-Project_Data_NYSE[[#This Row],[ Other Operating Items ]]</f>
        <v>575000000</v>
      </c>
      <c r="L1125" t="s">
        <v>82</v>
      </c>
      <c r="M1125" t="s">
        <v>83</v>
      </c>
      <c r="N1125" s="31">
        <f>Project_Data_NYSE[[#This Row],[Gross Profit]]/Project_Data_NYSE[[#This Row],[ Total Revenue ]]</f>
        <v>0.78802447552447552</v>
      </c>
      <c r="O1125" s="31">
        <f>Project_Data_NYSE[[#This Row],[Operating Profit]]/Project_Data_NYSE[[#This Row],[ Total Revenue ]]</f>
        <v>0.2513111888111888</v>
      </c>
    </row>
    <row r="1126" spans="1:15" x14ac:dyDescent="0.2">
      <c r="A1126">
        <v>1155</v>
      </c>
      <c r="B1126" t="s">
        <v>411</v>
      </c>
      <c r="C1126" t="s">
        <v>16</v>
      </c>
      <c r="D1126" s="48">
        <v>42369</v>
      </c>
      <c r="E1126" s="3">
        <v>1557000000</v>
      </c>
      <c r="F1126" s="3">
        <v>497000000</v>
      </c>
      <c r="G1126" s="3">
        <f>Project_Data_NYSE[[#This Row],[ Total Revenue ]]-Project_Data_NYSE[[#This Row],[ Cost of Goods Sold ]]</f>
        <v>1060000000</v>
      </c>
      <c r="H1126" s="3">
        <v>5204000000</v>
      </c>
      <c r="I1126" s="3">
        <v>0</v>
      </c>
      <c r="J1126" s="3">
        <v>917000000</v>
      </c>
      <c r="K1126" s="3">
        <f>Project_Data_NYSE[[#This Row],[Gross Profit]]-Project_Data_NYSE[[#This Row],[ Sales, General and Admin. ]]-Project_Data_NYSE[[#This Row],[ Research and Development ]]-Project_Data_NYSE[[#This Row],[ Other Operating Items ]]</f>
        <v>-5061000000</v>
      </c>
      <c r="L1126" t="s">
        <v>82</v>
      </c>
      <c r="M1126" t="s">
        <v>83</v>
      </c>
      <c r="N1126" s="31">
        <f>Project_Data_NYSE[[#This Row],[Gross Profit]]/Project_Data_NYSE[[#This Row],[ Total Revenue ]]</f>
        <v>0.680796403339756</v>
      </c>
      <c r="O1126" s="31">
        <f>Project_Data_NYSE[[#This Row],[Operating Profit]]/Project_Data_NYSE[[#This Row],[ Total Revenue ]]</f>
        <v>-3.2504816955684008</v>
      </c>
    </row>
    <row r="1127" spans="1:15" x14ac:dyDescent="0.2">
      <c r="A1127">
        <v>1156</v>
      </c>
      <c r="B1127" t="s">
        <v>412</v>
      </c>
      <c r="C1127" t="s">
        <v>11</v>
      </c>
      <c r="D1127" s="48">
        <v>41425</v>
      </c>
      <c r="E1127" s="3">
        <v>25313000000</v>
      </c>
      <c r="F1127" s="3">
        <v>14279000000</v>
      </c>
      <c r="G1127" s="3">
        <f>Project_Data_NYSE[[#This Row],[ Total Revenue ]]-Project_Data_NYSE[[#This Row],[ Cost of Goods Sold ]]</f>
        <v>11034000000</v>
      </c>
      <c r="H1127" s="3">
        <v>7796000000</v>
      </c>
      <c r="I1127" s="3">
        <v>0</v>
      </c>
      <c r="J1127" s="3">
        <v>0</v>
      </c>
      <c r="K1127" s="3">
        <f>Project_Data_NYSE[[#This Row],[Gross Profit]]-Project_Data_NYSE[[#This Row],[ Sales, General and Admin. ]]-Project_Data_NYSE[[#This Row],[ Research and Development ]]-Project_Data_NYSE[[#This Row],[ Other Operating Items ]]</f>
        <v>3238000000</v>
      </c>
      <c r="L1127" t="s">
        <v>18</v>
      </c>
      <c r="M1127" t="s">
        <v>288</v>
      </c>
      <c r="N1127" s="31">
        <f>Project_Data_NYSE[[#This Row],[Gross Profit]]/Project_Data_NYSE[[#This Row],[ Total Revenue ]]</f>
        <v>0.43590250069134434</v>
      </c>
      <c r="O1127" s="31">
        <f>Project_Data_NYSE[[#This Row],[Operating Profit]]/Project_Data_NYSE[[#This Row],[ Total Revenue ]]</f>
        <v>0.12791846086990874</v>
      </c>
    </row>
    <row r="1128" spans="1:15" x14ac:dyDescent="0.2">
      <c r="A1128">
        <v>1157</v>
      </c>
      <c r="B1128" t="s">
        <v>412</v>
      </c>
      <c r="C1128" t="s">
        <v>14</v>
      </c>
      <c r="D1128" s="48">
        <v>41790</v>
      </c>
      <c r="E1128" s="3">
        <v>27799000000</v>
      </c>
      <c r="F1128" s="3">
        <v>15353000000</v>
      </c>
      <c r="G1128" s="3">
        <f>Project_Data_NYSE[[#This Row],[ Total Revenue ]]-Project_Data_NYSE[[#This Row],[ Cost of Goods Sold ]]</f>
        <v>12446000000</v>
      </c>
      <c r="H1128" s="3">
        <v>8766000000</v>
      </c>
      <c r="I1128" s="3">
        <v>0</v>
      </c>
      <c r="J1128" s="3">
        <v>0</v>
      </c>
      <c r="K1128" s="3">
        <f>Project_Data_NYSE[[#This Row],[Gross Profit]]-Project_Data_NYSE[[#This Row],[ Sales, General and Admin. ]]-Project_Data_NYSE[[#This Row],[ Research and Development ]]-Project_Data_NYSE[[#This Row],[ Other Operating Items ]]</f>
        <v>3680000000</v>
      </c>
      <c r="L1128" t="s">
        <v>18</v>
      </c>
      <c r="M1128" t="s">
        <v>288</v>
      </c>
      <c r="N1128" s="31">
        <f>Project_Data_NYSE[[#This Row],[Gross Profit]]/Project_Data_NYSE[[#This Row],[ Total Revenue ]]</f>
        <v>0.44771394654483976</v>
      </c>
      <c r="O1128" s="31">
        <f>Project_Data_NYSE[[#This Row],[Operating Profit]]/Project_Data_NYSE[[#This Row],[ Total Revenue ]]</f>
        <v>0.13237886254901254</v>
      </c>
    </row>
    <row r="1129" spans="1:15" x14ac:dyDescent="0.2">
      <c r="A1129">
        <v>1158</v>
      </c>
      <c r="B1129" t="s">
        <v>412</v>
      </c>
      <c r="C1129" t="s">
        <v>15</v>
      </c>
      <c r="D1129" s="48">
        <v>42155</v>
      </c>
      <c r="E1129" s="3">
        <v>30601000000</v>
      </c>
      <c r="F1129" s="3">
        <v>16534000000</v>
      </c>
      <c r="G1129" s="3">
        <f>Project_Data_NYSE[[#This Row],[ Total Revenue ]]-Project_Data_NYSE[[#This Row],[ Cost of Goods Sold ]]</f>
        <v>14067000000</v>
      </c>
      <c r="H1129" s="3">
        <v>9892000000</v>
      </c>
      <c r="I1129" s="3">
        <v>0</v>
      </c>
      <c r="J1129" s="3">
        <v>0</v>
      </c>
      <c r="K1129" s="3">
        <f>Project_Data_NYSE[[#This Row],[Gross Profit]]-Project_Data_NYSE[[#This Row],[ Sales, General and Admin. ]]-Project_Data_NYSE[[#This Row],[ Research and Development ]]-Project_Data_NYSE[[#This Row],[ Other Operating Items ]]</f>
        <v>4175000000</v>
      </c>
      <c r="L1129" t="s">
        <v>18</v>
      </c>
      <c r="M1129" t="s">
        <v>288</v>
      </c>
      <c r="N1129" s="31">
        <f>Project_Data_NYSE[[#This Row],[Gross Profit]]/Project_Data_NYSE[[#This Row],[ Total Revenue ]]</f>
        <v>0.4596908597758243</v>
      </c>
      <c r="O1129" s="31">
        <f>Project_Data_NYSE[[#This Row],[Operating Profit]]/Project_Data_NYSE[[#This Row],[ Total Revenue ]]</f>
        <v>0.13643344988725858</v>
      </c>
    </row>
    <row r="1130" spans="1:15" x14ac:dyDescent="0.2">
      <c r="A1130">
        <v>1159</v>
      </c>
      <c r="B1130" t="s">
        <v>412</v>
      </c>
      <c r="C1130" t="s">
        <v>16</v>
      </c>
      <c r="D1130" s="48">
        <v>42521</v>
      </c>
      <c r="E1130" s="3">
        <v>32376000000</v>
      </c>
      <c r="F1130" s="3">
        <v>17405000000</v>
      </c>
      <c r="G1130" s="3">
        <f>Project_Data_NYSE[[#This Row],[ Total Revenue ]]-Project_Data_NYSE[[#This Row],[ Cost of Goods Sold ]]</f>
        <v>14971000000</v>
      </c>
      <c r="H1130" s="3">
        <v>10469000000</v>
      </c>
      <c r="I1130" s="3">
        <v>0</v>
      </c>
      <c r="J1130" s="3">
        <v>0</v>
      </c>
      <c r="K1130" s="3">
        <f>Project_Data_NYSE[[#This Row],[Gross Profit]]-Project_Data_NYSE[[#This Row],[ Sales, General and Admin. ]]-Project_Data_NYSE[[#This Row],[ Research and Development ]]-Project_Data_NYSE[[#This Row],[ Other Operating Items ]]</f>
        <v>4502000000</v>
      </c>
      <c r="L1130" t="s">
        <v>18</v>
      </c>
      <c r="M1130" t="s">
        <v>288</v>
      </c>
      <c r="N1130" s="31">
        <f>Project_Data_NYSE[[#This Row],[Gross Profit]]/Project_Data_NYSE[[#This Row],[ Total Revenue ]]</f>
        <v>0.46241042747714356</v>
      </c>
      <c r="O1130" s="31">
        <f>Project_Data_NYSE[[#This Row],[Operating Profit]]/Project_Data_NYSE[[#This Row],[ Total Revenue ]]</f>
        <v>0.13905361996540647</v>
      </c>
    </row>
    <row r="1131" spans="1:15" x14ac:dyDescent="0.2">
      <c r="A1131">
        <v>1160</v>
      </c>
      <c r="B1131" t="s">
        <v>413</v>
      </c>
      <c r="C1131" t="s">
        <v>11</v>
      </c>
      <c r="D1131" s="48">
        <v>41639</v>
      </c>
      <c r="E1131" s="3">
        <v>5703000000</v>
      </c>
      <c r="F1131" s="3">
        <v>2398000000</v>
      </c>
      <c r="G1131" s="3">
        <f>Project_Data_NYSE[[#This Row],[ Total Revenue ]]-Project_Data_NYSE[[#This Row],[ Cost of Goods Sold ]]</f>
        <v>3305000000</v>
      </c>
      <c r="H1131" s="3">
        <v>1815000000</v>
      </c>
      <c r="I1131" s="3">
        <v>0</v>
      </c>
      <c r="J1131" s="3">
        <v>510000000</v>
      </c>
      <c r="K1131" s="3">
        <f>Project_Data_NYSE[[#This Row],[Gross Profit]]-Project_Data_NYSE[[#This Row],[ Sales, General and Admin. ]]-Project_Data_NYSE[[#This Row],[ Research and Development ]]-Project_Data_NYSE[[#This Row],[ Other Operating Items ]]</f>
        <v>980000000</v>
      </c>
      <c r="L1131" t="s">
        <v>12</v>
      </c>
      <c r="M1131" t="s">
        <v>210</v>
      </c>
      <c r="N1131" s="31">
        <f>Project_Data_NYSE[[#This Row],[Gross Profit]]/Project_Data_NYSE[[#This Row],[ Total Revenue ]]</f>
        <v>0.57951955111344911</v>
      </c>
      <c r="O1131" s="31">
        <f>Project_Data_NYSE[[#This Row],[Operating Profit]]/Project_Data_NYSE[[#This Row],[ Total Revenue ]]</f>
        <v>0.17183938278099245</v>
      </c>
    </row>
    <row r="1132" spans="1:15" x14ac:dyDescent="0.2">
      <c r="A1132">
        <v>1161</v>
      </c>
      <c r="B1132" t="s">
        <v>413</v>
      </c>
      <c r="C1132" t="s">
        <v>14</v>
      </c>
      <c r="D1132" s="48">
        <v>42004</v>
      </c>
      <c r="E1132" s="3">
        <v>6288000000</v>
      </c>
      <c r="F1132" s="3">
        <v>2620000000</v>
      </c>
      <c r="G1132" s="3">
        <f>Project_Data_NYSE[[#This Row],[ Total Revenue ]]-Project_Data_NYSE[[#This Row],[ Cost of Goods Sold ]]</f>
        <v>3668000000</v>
      </c>
      <c r="H1132" s="3">
        <v>1917000000</v>
      </c>
      <c r="I1132" s="3">
        <v>0</v>
      </c>
      <c r="J1132" s="3">
        <v>573000000</v>
      </c>
      <c r="K1132" s="3">
        <f>Project_Data_NYSE[[#This Row],[Gross Profit]]-Project_Data_NYSE[[#This Row],[ Sales, General and Admin. ]]-Project_Data_NYSE[[#This Row],[ Research and Development ]]-Project_Data_NYSE[[#This Row],[ Other Operating Items ]]</f>
        <v>1178000000</v>
      </c>
      <c r="L1132" t="s">
        <v>12</v>
      </c>
      <c r="M1132" t="s">
        <v>210</v>
      </c>
      <c r="N1132" s="31">
        <f>Project_Data_NYSE[[#This Row],[Gross Profit]]/Project_Data_NYSE[[#This Row],[ Total Revenue ]]</f>
        <v>0.58333333333333337</v>
      </c>
      <c r="O1132" s="31">
        <f>Project_Data_NYSE[[#This Row],[Operating Profit]]/Project_Data_NYSE[[#This Row],[ Total Revenue ]]</f>
        <v>0.18734096692111959</v>
      </c>
    </row>
    <row r="1133" spans="1:15" x14ac:dyDescent="0.2">
      <c r="A1133">
        <v>1162</v>
      </c>
      <c r="B1133" t="s">
        <v>413</v>
      </c>
      <c r="C1133" t="s">
        <v>15</v>
      </c>
      <c r="D1133" s="48">
        <v>42369</v>
      </c>
      <c r="E1133" s="3">
        <v>6172000000</v>
      </c>
      <c r="F1133" s="3">
        <v>2539000000</v>
      </c>
      <c r="G1133" s="3">
        <f>Project_Data_NYSE[[#This Row],[ Total Revenue ]]-Project_Data_NYSE[[#This Row],[ Cost of Goods Sold ]]</f>
        <v>3633000000</v>
      </c>
      <c r="H1133" s="3">
        <v>1915000000</v>
      </c>
      <c r="I1133" s="3">
        <v>0</v>
      </c>
      <c r="J1133" s="3">
        <v>574000000</v>
      </c>
      <c r="K1133" s="3">
        <f>Project_Data_NYSE[[#This Row],[Gross Profit]]-Project_Data_NYSE[[#This Row],[ Sales, General and Admin. ]]-Project_Data_NYSE[[#This Row],[ Research and Development ]]-Project_Data_NYSE[[#This Row],[ Other Operating Items ]]</f>
        <v>1144000000</v>
      </c>
      <c r="L1133" t="s">
        <v>12</v>
      </c>
      <c r="M1133" t="s">
        <v>210</v>
      </c>
      <c r="N1133" s="31">
        <f>Project_Data_NYSE[[#This Row],[Gross Profit]]/Project_Data_NYSE[[#This Row],[ Total Revenue ]]</f>
        <v>0.58862605314322747</v>
      </c>
      <c r="O1133" s="31">
        <f>Project_Data_NYSE[[#This Row],[Operating Profit]]/Project_Data_NYSE[[#This Row],[ Total Revenue ]]</f>
        <v>0.18535320803629293</v>
      </c>
    </row>
    <row r="1134" spans="1:15" x14ac:dyDescent="0.2">
      <c r="A1134">
        <v>1163</v>
      </c>
      <c r="B1134" t="s">
        <v>413</v>
      </c>
      <c r="C1134" t="s">
        <v>16</v>
      </c>
      <c r="D1134" s="48">
        <v>42735</v>
      </c>
      <c r="E1134" s="3">
        <v>6309000000</v>
      </c>
      <c r="F1134" s="3">
        <v>2607000000</v>
      </c>
      <c r="G1134" s="3">
        <f>Project_Data_NYSE[[#This Row],[ Total Revenue ]]-Project_Data_NYSE[[#This Row],[ Cost of Goods Sold ]]</f>
        <v>3702000000</v>
      </c>
      <c r="H1134" s="3">
        <v>1851000000</v>
      </c>
      <c r="I1134" s="3">
        <v>0</v>
      </c>
      <c r="J1134" s="3">
        <v>603000000</v>
      </c>
      <c r="K1134" s="3">
        <f>Project_Data_NYSE[[#This Row],[Gross Profit]]-Project_Data_NYSE[[#This Row],[ Sales, General and Admin. ]]-Project_Data_NYSE[[#This Row],[ Research and Development ]]-Project_Data_NYSE[[#This Row],[ Other Operating Items ]]</f>
        <v>1248000000</v>
      </c>
      <c r="L1134" t="s">
        <v>12</v>
      </c>
      <c r="M1134" t="s">
        <v>210</v>
      </c>
      <c r="N1134" s="31">
        <f>Project_Data_NYSE[[#This Row],[Gross Profit]]/Project_Data_NYSE[[#This Row],[ Total Revenue ]]</f>
        <v>0.58678078934854971</v>
      </c>
      <c r="O1134" s="31">
        <f>Project_Data_NYSE[[#This Row],[Operating Profit]]/Project_Data_NYSE[[#This Row],[ Total Revenue ]]</f>
        <v>0.19781264859724204</v>
      </c>
    </row>
    <row r="1135" spans="1:15" x14ac:dyDescent="0.2">
      <c r="A1135">
        <v>1164</v>
      </c>
      <c r="B1135" t="s">
        <v>414</v>
      </c>
      <c r="C1135" t="s">
        <v>11</v>
      </c>
      <c r="D1135" s="48">
        <v>41274</v>
      </c>
      <c r="E1135" s="3">
        <v>17194000000</v>
      </c>
      <c r="F1135" s="3">
        <v>12151000000</v>
      </c>
      <c r="G1135" s="3">
        <f>Project_Data_NYSE[[#This Row],[ Total Revenue ]]-Project_Data_NYSE[[#This Row],[ Cost of Goods Sold ]]</f>
        <v>5043000000</v>
      </c>
      <c r="H1135" s="3">
        <v>1654000000</v>
      </c>
      <c r="I1135" s="3">
        <v>0</v>
      </c>
      <c r="J1135" s="3">
        <v>0</v>
      </c>
      <c r="K1135" s="3">
        <f>Project_Data_NYSE[[#This Row],[Gross Profit]]-Project_Data_NYSE[[#This Row],[ Sales, General and Admin. ]]-Project_Data_NYSE[[#This Row],[ Research and Development ]]-Project_Data_NYSE[[#This Row],[ Other Operating Items ]]</f>
        <v>3389000000</v>
      </c>
      <c r="L1135" t="s">
        <v>82</v>
      </c>
      <c r="M1135" t="s">
        <v>113</v>
      </c>
      <c r="N1135" s="31">
        <f>Project_Data_NYSE[[#This Row],[Gross Profit]]/Project_Data_NYSE[[#This Row],[ Total Revenue ]]</f>
        <v>0.29329998836803534</v>
      </c>
      <c r="O1135" s="31">
        <f>Project_Data_NYSE[[#This Row],[Operating Profit]]/Project_Data_NYSE[[#This Row],[ Total Revenue ]]</f>
        <v>0.19710364080493195</v>
      </c>
    </row>
    <row r="1136" spans="1:15" x14ac:dyDescent="0.2">
      <c r="A1136">
        <v>1165</v>
      </c>
      <c r="B1136" t="s">
        <v>414</v>
      </c>
      <c r="C1136" t="s">
        <v>14</v>
      </c>
      <c r="D1136" s="48">
        <v>41639</v>
      </c>
      <c r="E1136" s="3">
        <v>19221000000</v>
      </c>
      <c r="F1136" s="3">
        <v>14117000000</v>
      </c>
      <c r="G1136" s="3">
        <f>Project_Data_NYSE[[#This Row],[ Total Revenue ]]-Project_Data_NYSE[[#This Row],[ Cost of Goods Sold ]]</f>
        <v>5104000000</v>
      </c>
      <c r="H1136" s="3">
        <v>1905000000</v>
      </c>
      <c r="I1136" s="3">
        <v>0</v>
      </c>
      <c r="J1136" s="3">
        <v>0</v>
      </c>
      <c r="K1136" s="3">
        <f>Project_Data_NYSE[[#This Row],[Gross Profit]]-Project_Data_NYSE[[#This Row],[ Sales, General and Admin. ]]-Project_Data_NYSE[[#This Row],[ Research and Development ]]-Project_Data_NYSE[[#This Row],[ Other Operating Items ]]</f>
        <v>3199000000</v>
      </c>
      <c r="L1136" t="s">
        <v>82</v>
      </c>
      <c r="M1136" t="s">
        <v>113</v>
      </c>
      <c r="N1136" s="31">
        <f>Project_Data_NYSE[[#This Row],[Gross Profit]]/Project_Data_NYSE[[#This Row],[ Total Revenue ]]</f>
        <v>0.26554289579106188</v>
      </c>
      <c r="O1136" s="31">
        <f>Project_Data_NYSE[[#This Row],[Operating Profit]]/Project_Data_NYSE[[#This Row],[ Total Revenue ]]</f>
        <v>0.16643254773424901</v>
      </c>
    </row>
    <row r="1137" spans="1:15" x14ac:dyDescent="0.2">
      <c r="A1137">
        <v>1166</v>
      </c>
      <c r="B1137" t="s">
        <v>414</v>
      </c>
      <c r="C1137" t="s">
        <v>15</v>
      </c>
      <c r="D1137" s="48">
        <v>42004</v>
      </c>
      <c r="E1137" s="3">
        <v>21440000000</v>
      </c>
      <c r="F1137" s="3">
        <v>15631000000</v>
      </c>
      <c r="G1137" s="3">
        <f>Project_Data_NYSE[[#This Row],[ Total Revenue ]]-Project_Data_NYSE[[#This Row],[ Cost of Goods Sold ]]</f>
        <v>5809000000</v>
      </c>
      <c r="H1137" s="3">
        <v>2092000000</v>
      </c>
      <c r="I1137" s="3">
        <v>0</v>
      </c>
      <c r="J1137" s="3">
        <v>0</v>
      </c>
      <c r="K1137" s="3">
        <f>Project_Data_NYSE[[#This Row],[Gross Profit]]-Project_Data_NYSE[[#This Row],[ Sales, General and Admin. ]]-Project_Data_NYSE[[#This Row],[ Research and Development ]]-Project_Data_NYSE[[#This Row],[ Other Operating Items ]]</f>
        <v>3717000000</v>
      </c>
      <c r="L1137" t="s">
        <v>82</v>
      </c>
      <c r="M1137" t="s">
        <v>113</v>
      </c>
      <c r="N1137" s="31">
        <f>Project_Data_NYSE[[#This Row],[Gross Profit]]/Project_Data_NYSE[[#This Row],[ Total Revenue ]]</f>
        <v>0.27094216417910449</v>
      </c>
      <c r="O1137" s="31">
        <f>Project_Data_NYSE[[#This Row],[Operating Profit]]/Project_Data_NYSE[[#This Row],[ Total Revenue ]]</f>
        <v>0.17336753731343282</v>
      </c>
    </row>
    <row r="1138" spans="1:15" x14ac:dyDescent="0.2">
      <c r="A1138">
        <v>1167</v>
      </c>
      <c r="B1138" t="s">
        <v>414</v>
      </c>
      <c r="C1138" t="s">
        <v>16</v>
      </c>
      <c r="D1138" s="48">
        <v>42369</v>
      </c>
      <c r="E1138" s="3">
        <v>14757000000</v>
      </c>
      <c r="F1138" s="3">
        <v>11694000000</v>
      </c>
      <c r="G1138" s="3">
        <f>Project_Data_NYSE[[#This Row],[ Total Revenue ]]-Project_Data_NYSE[[#This Row],[ Cost of Goods Sold ]]</f>
        <v>3063000000</v>
      </c>
      <c r="H1138" s="3">
        <v>1764000000</v>
      </c>
      <c r="I1138" s="3">
        <v>0</v>
      </c>
      <c r="J1138" s="3">
        <v>0</v>
      </c>
      <c r="K1138" s="3">
        <f>Project_Data_NYSE[[#This Row],[Gross Profit]]-Project_Data_NYSE[[#This Row],[ Sales, General and Admin. ]]-Project_Data_NYSE[[#This Row],[ Research and Development ]]-Project_Data_NYSE[[#This Row],[ Other Operating Items ]]</f>
        <v>1299000000</v>
      </c>
      <c r="L1138" t="s">
        <v>82</v>
      </c>
      <c r="M1138" t="s">
        <v>113</v>
      </c>
      <c r="N1138" s="31">
        <f>Project_Data_NYSE[[#This Row],[Gross Profit]]/Project_Data_NYSE[[#This Row],[ Total Revenue ]]</f>
        <v>0.20756251270583451</v>
      </c>
      <c r="O1138" s="31">
        <f>Project_Data_NYSE[[#This Row],[Operating Profit]]/Project_Data_NYSE[[#This Row],[ Total Revenue ]]</f>
        <v>8.8026021549095348E-2</v>
      </c>
    </row>
    <row r="1139" spans="1:15" x14ac:dyDescent="0.2">
      <c r="A1139">
        <v>1168</v>
      </c>
      <c r="B1139" t="s">
        <v>415</v>
      </c>
      <c r="C1139" t="s">
        <v>11</v>
      </c>
      <c r="D1139" s="48">
        <v>41639</v>
      </c>
      <c r="E1139" s="3">
        <v>11245000000</v>
      </c>
      <c r="F1139" s="3">
        <v>4070000000</v>
      </c>
      <c r="G1139" s="3">
        <f>Project_Data_NYSE[[#This Row],[ Total Revenue ]]-Project_Data_NYSE[[#This Row],[ Cost of Goods Sold ]]</f>
        <v>7175000000</v>
      </c>
      <c r="H1139" s="3">
        <v>3002000000</v>
      </c>
      <c r="I1139" s="3">
        <v>0</v>
      </c>
      <c r="J1139" s="3">
        <v>916000000</v>
      </c>
      <c r="K1139" s="3">
        <f>Project_Data_NYSE[[#This Row],[Gross Profit]]-Project_Data_NYSE[[#This Row],[ Sales, General and Admin. ]]-Project_Data_NYSE[[#This Row],[ Research and Development ]]-Project_Data_NYSE[[#This Row],[ Other Operating Items ]]</f>
        <v>3257000000</v>
      </c>
      <c r="L1139" t="s">
        <v>12</v>
      </c>
      <c r="M1139" t="s">
        <v>177</v>
      </c>
      <c r="N1139" s="31">
        <f>Project_Data_NYSE[[#This Row],[Gross Profit]]/Project_Data_NYSE[[#This Row],[ Total Revenue ]]</f>
        <v>0.63806136060471319</v>
      </c>
      <c r="O1139" s="31">
        <f>Project_Data_NYSE[[#This Row],[Operating Profit]]/Project_Data_NYSE[[#This Row],[ Total Revenue ]]</f>
        <v>0.28963983992885728</v>
      </c>
    </row>
    <row r="1140" spans="1:15" x14ac:dyDescent="0.2">
      <c r="A1140">
        <v>1169</v>
      </c>
      <c r="B1140" t="s">
        <v>415</v>
      </c>
      <c r="C1140" t="s">
        <v>14</v>
      </c>
      <c r="D1140" s="48">
        <v>42004</v>
      </c>
      <c r="E1140" s="3">
        <v>11624000000</v>
      </c>
      <c r="F1140" s="3">
        <v>4201000000</v>
      </c>
      <c r="G1140" s="3">
        <f>Project_Data_NYSE[[#This Row],[ Total Revenue ]]-Project_Data_NYSE[[#This Row],[ Cost of Goods Sold ]]</f>
        <v>7423000000</v>
      </c>
      <c r="H1140" s="3">
        <v>2897000000</v>
      </c>
      <c r="I1140" s="3">
        <v>0</v>
      </c>
      <c r="J1140" s="3">
        <v>951000000</v>
      </c>
      <c r="K1140" s="3">
        <f>Project_Data_NYSE[[#This Row],[Gross Profit]]-Project_Data_NYSE[[#This Row],[ Sales, General and Admin. ]]-Project_Data_NYSE[[#This Row],[ Research and Development ]]-Project_Data_NYSE[[#This Row],[ Other Operating Items ]]</f>
        <v>3575000000</v>
      </c>
      <c r="L1140" t="s">
        <v>12</v>
      </c>
      <c r="M1140" t="s">
        <v>177</v>
      </c>
      <c r="N1140" s="31">
        <f>Project_Data_NYSE[[#This Row],[Gross Profit]]/Project_Data_NYSE[[#This Row],[ Total Revenue ]]</f>
        <v>0.63859256710254642</v>
      </c>
      <c r="O1140" s="31">
        <f>Project_Data_NYSE[[#This Row],[Operating Profit]]/Project_Data_NYSE[[#This Row],[ Total Revenue ]]</f>
        <v>0.30755333792154166</v>
      </c>
    </row>
    <row r="1141" spans="1:15" x14ac:dyDescent="0.2">
      <c r="A1141">
        <v>1170</v>
      </c>
      <c r="B1141" t="s">
        <v>415</v>
      </c>
      <c r="C1141" t="s">
        <v>15</v>
      </c>
      <c r="D1141" s="48">
        <v>42369</v>
      </c>
      <c r="E1141" s="3">
        <v>10511000000</v>
      </c>
      <c r="F1141" s="3">
        <v>3662000000</v>
      </c>
      <c r="G1141" s="3">
        <f>Project_Data_NYSE[[#This Row],[ Total Revenue ]]-Project_Data_NYSE[[#This Row],[ Cost of Goods Sold ]]</f>
        <v>6849000000</v>
      </c>
      <c r="H1141" s="3">
        <v>2911000000</v>
      </c>
      <c r="I1141" s="3">
        <v>0</v>
      </c>
      <c r="J1141" s="3">
        <v>1054000000</v>
      </c>
      <c r="K1141" s="3">
        <f>Project_Data_NYSE[[#This Row],[Gross Profit]]-Project_Data_NYSE[[#This Row],[ Sales, General and Admin. ]]-Project_Data_NYSE[[#This Row],[ Research and Development ]]-Project_Data_NYSE[[#This Row],[ Other Operating Items ]]</f>
        <v>2884000000</v>
      </c>
      <c r="L1141" t="s">
        <v>12</v>
      </c>
      <c r="M1141" t="s">
        <v>177</v>
      </c>
      <c r="N1141" s="31">
        <f>Project_Data_NYSE[[#This Row],[Gross Profit]]/Project_Data_NYSE[[#This Row],[ Total Revenue ]]</f>
        <v>0.65160308248501575</v>
      </c>
      <c r="O1141" s="31">
        <f>Project_Data_NYSE[[#This Row],[Operating Profit]]/Project_Data_NYSE[[#This Row],[ Total Revenue ]]</f>
        <v>0.27437922176767199</v>
      </c>
    </row>
    <row r="1142" spans="1:15" x14ac:dyDescent="0.2">
      <c r="A1142">
        <v>1171</v>
      </c>
      <c r="B1142" t="s">
        <v>415</v>
      </c>
      <c r="C1142" t="s">
        <v>16</v>
      </c>
      <c r="D1142" s="48">
        <v>42735</v>
      </c>
      <c r="E1142" s="3">
        <v>9888000000</v>
      </c>
      <c r="F1142" s="3">
        <v>3045000000</v>
      </c>
      <c r="G1142" s="3">
        <f>Project_Data_NYSE[[#This Row],[ Total Revenue ]]-Project_Data_NYSE[[#This Row],[ Cost of Goods Sold ]]</f>
        <v>6843000000</v>
      </c>
      <c r="H1142" s="3">
        <v>2743000000</v>
      </c>
      <c r="I1142" s="3">
        <v>0</v>
      </c>
      <c r="J1142" s="3">
        <v>1026000000</v>
      </c>
      <c r="K1142" s="3">
        <f>Project_Data_NYSE[[#This Row],[Gross Profit]]-Project_Data_NYSE[[#This Row],[ Sales, General and Admin. ]]-Project_Data_NYSE[[#This Row],[ Research and Development ]]-Project_Data_NYSE[[#This Row],[ Other Operating Items ]]</f>
        <v>3074000000</v>
      </c>
      <c r="L1142" t="s">
        <v>12</v>
      </c>
      <c r="M1142" t="s">
        <v>177</v>
      </c>
      <c r="N1142" s="31">
        <f>Project_Data_NYSE[[#This Row],[Gross Profit]]/Project_Data_NYSE[[#This Row],[ Total Revenue ]]</f>
        <v>0.69205097087378642</v>
      </c>
      <c r="O1142" s="31">
        <f>Project_Data_NYSE[[#This Row],[Operating Profit]]/Project_Data_NYSE[[#This Row],[ Total Revenue ]]</f>
        <v>0.31088187702265374</v>
      </c>
    </row>
    <row r="1143" spans="1:15" x14ac:dyDescent="0.2">
      <c r="A1143">
        <v>1172</v>
      </c>
      <c r="B1143" t="s">
        <v>416</v>
      </c>
      <c r="C1143" t="s">
        <v>11</v>
      </c>
      <c r="D1143" s="48">
        <v>41390</v>
      </c>
      <c r="E1143" s="3">
        <v>6332400000</v>
      </c>
      <c r="F1143" s="3">
        <v>2571300000</v>
      </c>
      <c r="G1143" s="3">
        <f>Project_Data_NYSE[[#This Row],[ Total Revenue ]]-Project_Data_NYSE[[#This Row],[ Cost of Goods Sold ]]</f>
        <v>3761100000</v>
      </c>
      <c r="H1143" s="3">
        <v>2247400000</v>
      </c>
      <c r="I1143" s="3">
        <v>904200000</v>
      </c>
      <c r="J1143" s="3">
        <v>0</v>
      </c>
      <c r="K1143" s="3">
        <f>Project_Data_NYSE[[#This Row],[Gross Profit]]-Project_Data_NYSE[[#This Row],[ Sales, General and Admin. ]]-Project_Data_NYSE[[#This Row],[ Research and Development ]]-Project_Data_NYSE[[#This Row],[ Other Operating Items ]]</f>
        <v>609500000</v>
      </c>
      <c r="L1143" t="s">
        <v>21</v>
      </c>
      <c r="M1143" t="s">
        <v>56</v>
      </c>
      <c r="N1143" s="31">
        <f>Project_Data_NYSE[[#This Row],[Gross Profit]]/Project_Data_NYSE[[#This Row],[ Total Revenue ]]</f>
        <v>0.59394542353610003</v>
      </c>
      <c r="O1143" s="31">
        <f>Project_Data_NYSE[[#This Row],[Operating Profit]]/Project_Data_NYSE[[#This Row],[ Total Revenue ]]</f>
        <v>9.6251026467058298E-2</v>
      </c>
    </row>
    <row r="1144" spans="1:15" x14ac:dyDescent="0.2">
      <c r="A1144">
        <v>1173</v>
      </c>
      <c r="B1144" t="s">
        <v>416</v>
      </c>
      <c r="C1144" t="s">
        <v>14</v>
      </c>
      <c r="D1144" s="48">
        <v>41754</v>
      </c>
      <c r="E1144" s="3">
        <v>6325000000</v>
      </c>
      <c r="F1144" s="3">
        <v>2406000000</v>
      </c>
      <c r="G1144" s="3">
        <f>Project_Data_NYSE[[#This Row],[ Total Revenue ]]-Project_Data_NYSE[[#This Row],[ Cost of Goods Sold ]]</f>
        <v>3919000000</v>
      </c>
      <c r="H1144" s="3">
        <v>2179000000</v>
      </c>
      <c r="I1144" s="3">
        <v>918000000</v>
      </c>
      <c r="J1144" s="3">
        <v>0</v>
      </c>
      <c r="K1144" s="3">
        <f>Project_Data_NYSE[[#This Row],[Gross Profit]]-Project_Data_NYSE[[#This Row],[ Sales, General and Admin. ]]-Project_Data_NYSE[[#This Row],[ Research and Development ]]-Project_Data_NYSE[[#This Row],[ Other Operating Items ]]</f>
        <v>822000000</v>
      </c>
      <c r="L1144" t="s">
        <v>21</v>
      </c>
      <c r="M1144" t="s">
        <v>56</v>
      </c>
      <c r="N1144" s="31">
        <f>Project_Data_NYSE[[#This Row],[Gross Profit]]/Project_Data_NYSE[[#This Row],[ Total Revenue ]]</f>
        <v>0.61960474308300395</v>
      </c>
      <c r="O1144" s="31">
        <f>Project_Data_NYSE[[#This Row],[Operating Profit]]/Project_Data_NYSE[[#This Row],[ Total Revenue ]]</f>
        <v>0.12996047430830041</v>
      </c>
    </row>
    <row r="1145" spans="1:15" x14ac:dyDescent="0.2">
      <c r="A1145">
        <v>1174</v>
      </c>
      <c r="B1145" t="s">
        <v>416</v>
      </c>
      <c r="C1145" t="s">
        <v>15</v>
      </c>
      <c r="D1145" s="48">
        <v>42118</v>
      </c>
      <c r="E1145" s="3">
        <v>6123000000</v>
      </c>
      <c r="F1145" s="3">
        <v>2290000000</v>
      </c>
      <c r="G1145" s="3">
        <f>Project_Data_NYSE[[#This Row],[ Total Revenue ]]-Project_Data_NYSE[[#This Row],[ Cost of Goods Sold ]]</f>
        <v>3833000000</v>
      </c>
      <c r="H1145" s="3">
        <v>2197000000</v>
      </c>
      <c r="I1145" s="3">
        <v>920000000</v>
      </c>
      <c r="J1145" s="3">
        <v>0</v>
      </c>
      <c r="K1145" s="3">
        <f>Project_Data_NYSE[[#This Row],[Gross Profit]]-Project_Data_NYSE[[#This Row],[ Sales, General and Admin. ]]-Project_Data_NYSE[[#This Row],[ Research and Development ]]-Project_Data_NYSE[[#This Row],[ Other Operating Items ]]</f>
        <v>716000000</v>
      </c>
      <c r="L1145" t="s">
        <v>21</v>
      </c>
      <c r="M1145" t="s">
        <v>56</v>
      </c>
      <c r="N1145" s="31">
        <f>Project_Data_NYSE[[#This Row],[Gross Profit]]/Project_Data_NYSE[[#This Row],[ Total Revenue ]]</f>
        <v>0.62600032663726934</v>
      </c>
      <c r="O1145" s="31">
        <f>Project_Data_NYSE[[#This Row],[Operating Profit]]/Project_Data_NYSE[[#This Row],[ Total Revenue ]]</f>
        <v>0.11693614241384942</v>
      </c>
    </row>
    <row r="1146" spans="1:15" x14ac:dyDescent="0.2">
      <c r="A1146">
        <v>1175</v>
      </c>
      <c r="B1146" t="s">
        <v>416</v>
      </c>
      <c r="C1146" t="s">
        <v>16</v>
      </c>
      <c r="D1146" s="48">
        <v>42489</v>
      </c>
      <c r="E1146" s="3">
        <v>5546000000</v>
      </c>
      <c r="F1146" s="3">
        <v>2173000000</v>
      </c>
      <c r="G1146" s="3">
        <f>Project_Data_NYSE[[#This Row],[ Total Revenue ]]-Project_Data_NYSE[[#This Row],[ Cost of Goods Sold ]]</f>
        <v>3373000000</v>
      </c>
      <c r="H1146" s="3">
        <v>2099000000</v>
      </c>
      <c r="I1146" s="3">
        <v>861000000</v>
      </c>
      <c r="J1146" s="3">
        <v>0</v>
      </c>
      <c r="K1146" s="3">
        <f>Project_Data_NYSE[[#This Row],[Gross Profit]]-Project_Data_NYSE[[#This Row],[ Sales, General and Admin. ]]-Project_Data_NYSE[[#This Row],[ Research and Development ]]-Project_Data_NYSE[[#This Row],[ Other Operating Items ]]</f>
        <v>413000000</v>
      </c>
      <c r="L1146" t="s">
        <v>21</v>
      </c>
      <c r="M1146" t="s">
        <v>56</v>
      </c>
      <c r="N1146" s="31">
        <f>Project_Data_NYSE[[#This Row],[Gross Profit]]/Project_Data_NYSE[[#This Row],[ Total Revenue ]]</f>
        <v>0.60818608005769925</v>
      </c>
      <c r="O1146" s="31">
        <f>Project_Data_NYSE[[#This Row],[Operating Profit]]/Project_Data_NYSE[[#This Row],[ Total Revenue ]]</f>
        <v>7.4468085106382975E-2</v>
      </c>
    </row>
    <row r="1147" spans="1:15" x14ac:dyDescent="0.2">
      <c r="A1147">
        <v>1180</v>
      </c>
      <c r="B1147" t="s">
        <v>417</v>
      </c>
      <c r="C1147" t="s">
        <v>11</v>
      </c>
      <c r="D1147" s="48">
        <v>41274</v>
      </c>
      <c r="E1147" s="3">
        <v>19429273000</v>
      </c>
      <c r="F1147" s="3">
        <v>17915735000</v>
      </c>
      <c r="G1147" s="3">
        <f>Project_Data_NYSE[[#This Row],[ Total Revenue ]]-Project_Data_NYSE[[#This Row],[ Cost of Goods Sold ]]</f>
        <v>1513538000</v>
      </c>
      <c r="H1147" s="3">
        <v>454900000</v>
      </c>
      <c r="I1147" s="3">
        <v>0</v>
      </c>
      <c r="J1147" s="3">
        <v>0</v>
      </c>
      <c r="K1147" s="3">
        <f>Project_Data_NYSE[[#This Row],[Gross Profit]]-Project_Data_NYSE[[#This Row],[ Sales, General and Admin. ]]-Project_Data_NYSE[[#This Row],[ Research and Development ]]-Project_Data_NYSE[[#This Row],[ Other Operating Items ]]</f>
        <v>1058638000</v>
      </c>
      <c r="L1147" t="s">
        <v>58</v>
      </c>
      <c r="M1147" t="s">
        <v>418</v>
      </c>
      <c r="N1147" s="31">
        <f>Project_Data_NYSE[[#This Row],[Gross Profit]]/Project_Data_NYSE[[#This Row],[ Total Revenue ]]</f>
        <v>7.7899878188957453E-2</v>
      </c>
      <c r="O1147" s="31">
        <f>Project_Data_NYSE[[#This Row],[Operating Profit]]/Project_Data_NYSE[[#This Row],[ Total Revenue ]]</f>
        <v>5.448675305555694E-2</v>
      </c>
    </row>
    <row r="1148" spans="1:15" x14ac:dyDescent="0.2">
      <c r="A1148">
        <v>1181</v>
      </c>
      <c r="B1148" t="s">
        <v>417</v>
      </c>
      <c r="C1148" t="s">
        <v>14</v>
      </c>
      <c r="D1148" s="48">
        <v>41639</v>
      </c>
      <c r="E1148" s="3">
        <v>19052046000</v>
      </c>
      <c r="F1148" s="3">
        <v>17641421000</v>
      </c>
      <c r="G1148" s="3">
        <f>Project_Data_NYSE[[#This Row],[ Total Revenue ]]-Project_Data_NYSE[[#This Row],[ Cost of Goods Sold ]]</f>
        <v>1410625000</v>
      </c>
      <c r="H1148" s="3">
        <v>467904000</v>
      </c>
      <c r="I1148" s="3">
        <v>0</v>
      </c>
      <c r="J1148" s="3">
        <v>0</v>
      </c>
      <c r="K1148" s="3">
        <f>Project_Data_NYSE[[#This Row],[Gross Profit]]-Project_Data_NYSE[[#This Row],[ Sales, General and Admin. ]]-Project_Data_NYSE[[#This Row],[ Research and Development ]]-Project_Data_NYSE[[#This Row],[ Other Operating Items ]]</f>
        <v>942721000</v>
      </c>
      <c r="L1148" t="s">
        <v>58</v>
      </c>
      <c r="M1148" t="s">
        <v>418</v>
      </c>
      <c r="N1148" s="31">
        <f>Project_Data_NYSE[[#This Row],[Gross Profit]]/Project_Data_NYSE[[#This Row],[ Total Revenue ]]</f>
        <v>7.4040604352939313E-2</v>
      </c>
      <c r="O1148" s="31">
        <f>Project_Data_NYSE[[#This Row],[Operating Profit]]/Project_Data_NYSE[[#This Row],[ Total Revenue ]]</f>
        <v>4.9481352291507172E-2</v>
      </c>
    </row>
    <row r="1149" spans="1:15" x14ac:dyDescent="0.2">
      <c r="A1149">
        <v>1182</v>
      </c>
      <c r="B1149" t="s">
        <v>417</v>
      </c>
      <c r="C1149" t="s">
        <v>15</v>
      </c>
      <c r="D1149" s="48">
        <v>42004</v>
      </c>
      <c r="E1149" s="3">
        <v>21105141000</v>
      </c>
      <c r="F1149" s="3">
        <v>19198615000</v>
      </c>
      <c r="G1149" s="3">
        <f>Project_Data_NYSE[[#This Row],[ Total Revenue ]]-Project_Data_NYSE[[#This Row],[ Cost of Goods Sold ]]</f>
        <v>1906526000</v>
      </c>
      <c r="H1149" s="3">
        <v>520805000</v>
      </c>
      <c r="I1149" s="3">
        <v>0</v>
      </c>
      <c r="J1149" s="3">
        <v>0</v>
      </c>
      <c r="K1149" s="3">
        <f>Project_Data_NYSE[[#This Row],[Gross Profit]]-Project_Data_NYSE[[#This Row],[ Sales, General and Admin. ]]-Project_Data_NYSE[[#This Row],[ Research and Development ]]-Project_Data_NYSE[[#This Row],[ Other Operating Items ]]</f>
        <v>1385721000</v>
      </c>
      <c r="L1149" t="s">
        <v>58</v>
      </c>
      <c r="M1149" t="s">
        <v>418</v>
      </c>
      <c r="N1149" s="31">
        <f>Project_Data_NYSE[[#This Row],[Gross Profit]]/Project_Data_NYSE[[#This Row],[ Total Revenue ]]</f>
        <v>9.0334672485722786E-2</v>
      </c>
      <c r="O1149" s="31">
        <f>Project_Data_NYSE[[#This Row],[Operating Profit]]/Project_Data_NYSE[[#This Row],[ Total Revenue ]]</f>
        <v>6.5657983521645272E-2</v>
      </c>
    </row>
    <row r="1150" spans="1:15" x14ac:dyDescent="0.2">
      <c r="A1150">
        <v>1183</v>
      </c>
      <c r="B1150" t="s">
        <v>417</v>
      </c>
      <c r="C1150" t="s">
        <v>16</v>
      </c>
      <c r="D1150" s="48">
        <v>42369</v>
      </c>
      <c r="E1150" s="3">
        <v>16439276000</v>
      </c>
      <c r="F1150" s="3">
        <v>14858014000</v>
      </c>
      <c r="G1150" s="3">
        <f>Project_Data_NYSE[[#This Row],[ Total Revenue ]]-Project_Data_NYSE[[#This Row],[ Cost of Goods Sold ]]</f>
        <v>1581262000</v>
      </c>
      <c r="H1150" s="3">
        <v>458989000</v>
      </c>
      <c r="I1150" s="3">
        <v>0</v>
      </c>
      <c r="J1150" s="3">
        <v>0</v>
      </c>
      <c r="K1150" s="3">
        <f>Project_Data_NYSE[[#This Row],[Gross Profit]]-Project_Data_NYSE[[#This Row],[ Sales, General and Admin. ]]-Project_Data_NYSE[[#This Row],[ Research and Development ]]-Project_Data_NYSE[[#This Row],[ Other Operating Items ]]</f>
        <v>1122273000</v>
      </c>
      <c r="L1150" t="s">
        <v>58</v>
      </c>
      <c r="M1150" t="s">
        <v>418</v>
      </c>
      <c r="N1150" s="31">
        <f>Project_Data_NYSE[[#This Row],[Gross Profit]]/Project_Data_NYSE[[#This Row],[ Total Revenue ]]</f>
        <v>9.6188055970348088E-2</v>
      </c>
      <c r="O1150" s="31">
        <f>Project_Data_NYSE[[#This Row],[Operating Profit]]/Project_Data_NYSE[[#This Row],[ Total Revenue ]]</f>
        <v>6.8267787462172907E-2</v>
      </c>
    </row>
    <row r="1151" spans="1:15" x14ac:dyDescent="0.2">
      <c r="A1151">
        <v>1184</v>
      </c>
      <c r="B1151" t="s">
        <v>419</v>
      </c>
      <c r="C1151" t="s">
        <v>11</v>
      </c>
      <c r="D1151" s="48">
        <v>41301</v>
      </c>
      <c r="E1151" s="3">
        <v>4280159000</v>
      </c>
      <c r="F1151" s="3">
        <v>2053816000</v>
      </c>
      <c r="G1151" s="3">
        <f>Project_Data_NYSE[[#This Row],[ Total Revenue ]]-Project_Data_NYSE[[#This Row],[ Cost of Goods Sold ]]</f>
        <v>2226343000</v>
      </c>
      <c r="H1151" s="3">
        <v>430822000</v>
      </c>
      <c r="I1151" s="3">
        <v>1147282000</v>
      </c>
      <c r="J1151" s="3">
        <v>0</v>
      </c>
      <c r="K1151" s="3">
        <f>Project_Data_NYSE[[#This Row],[Gross Profit]]-Project_Data_NYSE[[#This Row],[ Sales, General and Admin. ]]-Project_Data_NYSE[[#This Row],[ Research and Development ]]-Project_Data_NYSE[[#This Row],[ Other Operating Items ]]</f>
        <v>648239000</v>
      </c>
      <c r="L1151" t="s">
        <v>21</v>
      </c>
      <c r="M1151" t="s">
        <v>33</v>
      </c>
      <c r="N1151" s="31">
        <f>Project_Data_NYSE[[#This Row],[Gross Profit]]/Project_Data_NYSE[[#This Row],[ Total Revenue ]]</f>
        <v>0.52015427464260089</v>
      </c>
      <c r="O1151" s="31">
        <f>Project_Data_NYSE[[#This Row],[Operating Profit]]/Project_Data_NYSE[[#This Row],[ Total Revenue ]]</f>
        <v>0.15145208390622872</v>
      </c>
    </row>
    <row r="1152" spans="1:15" x14ac:dyDescent="0.2">
      <c r="A1152">
        <v>1185</v>
      </c>
      <c r="B1152" t="s">
        <v>419</v>
      </c>
      <c r="C1152" t="s">
        <v>14</v>
      </c>
      <c r="D1152" s="48">
        <v>41665</v>
      </c>
      <c r="E1152" s="3">
        <v>4130000000</v>
      </c>
      <c r="F1152" s="3">
        <v>1862000000</v>
      </c>
      <c r="G1152" s="3">
        <f>Project_Data_NYSE[[#This Row],[ Total Revenue ]]-Project_Data_NYSE[[#This Row],[ Cost of Goods Sold ]]</f>
        <v>2268000000</v>
      </c>
      <c r="H1152" s="3">
        <v>436000000</v>
      </c>
      <c r="I1152" s="3">
        <v>1336000000</v>
      </c>
      <c r="J1152" s="3">
        <v>0</v>
      </c>
      <c r="K1152" s="3">
        <f>Project_Data_NYSE[[#This Row],[Gross Profit]]-Project_Data_NYSE[[#This Row],[ Sales, General and Admin. ]]-Project_Data_NYSE[[#This Row],[ Research and Development ]]-Project_Data_NYSE[[#This Row],[ Other Operating Items ]]</f>
        <v>496000000</v>
      </c>
      <c r="L1152" t="s">
        <v>21</v>
      </c>
      <c r="M1152" t="s">
        <v>33</v>
      </c>
      <c r="N1152" s="31">
        <f>Project_Data_NYSE[[#This Row],[Gross Profit]]/Project_Data_NYSE[[#This Row],[ Total Revenue ]]</f>
        <v>0.54915254237288136</v>
      </c>
      <c r="O1152" s="31">
        <f>Project_Data_NYSE[[#This Row],[Operating Profit]]/Project_Data_NYSE[[#This Row],[ Total Revenue ]]</f>
        <v>0.12009685230024213</v>
      </c>
    </row>
    <row r="1153" spans="1:15" x14ac:dyDescent="0.2">
      <c r="A1153">
        <v>1186</v>
      </c>
      <c r="B1153" t="s">
        <v>419</v>
      </c>
      <c r="C1153" t="s">
        <v>15</v>
      </c>
      <c r="D1153" s="48">
        <v>42029</v>
      </c>
      <c r="E1153" s="3">
        <v>4682000000</v>
      </c>
      <c r="F1153" s="3">
        <v>2083000000</v>
      </c>
      <c r="G1153" s="3">
        <f>Project_Data_NYSE[[#This Row],[ Total Revenue ]]-Project_Data_NYSE[[#This Row],[ Cost of Goods Sold ]]</f>
        <v>2599000000</v>
      </c>
      <c r="H1153" s="3">
        <v>480000000</v>
      </c>
      <c r="I1153" s="3">
        <v>1360000000</v>
      </c>
      <c r="J1153" s="3">
        <v>0</v>
      </c>
      <c r="K1153" s="3">
        <f>Project_Data_NYSE[[#This Row],[Gross Profit]]-Project_Data_NYSE[[#This Row],[ Sales, General and Admin. ]]-Project_Data_NYSE[[#This Row],[ Research and Development ]]-Project_Data_NYSE[[#This Row],[ Other Operating Items ]]</f>
        <v>759000000</v>
      </c>
      <c r="L1153" t="s">
        <v>21</v>
      </c>
      <c r="M1153" t="s">
        <v>33</v>
      </c>
      <c r="N1153" s="31">
        <f>Project_Data_NYSE[[#This Row],[Gross Profit]]/Project_Data_NYSE[[#This Row],[ Total Revenue ]]</f>
        <v>0.55510465612985904</v>
      </c>
      <c r="O1153" s="31">
        <f>Project_Data_NYSE[[#This Row],[Operating Profit]]/Project_Data_NYSE[[#This Row],[ Total Revenue ]]</f>
        <v>0.16211020931225972</v>
      </c>
    </row>
    <row r="1154" spans="1:15" x14ac:dyDescent="0.2">
      <c r="A1154">
        <v>1187</v>
      </c>
      <c r="B1154" t="s">
        <v>419</v>
      </c>
      <c r="C1154" t="s">
        <v>16</v>
      </c>
      <c r="D1154" s="48">
        <v>42400</v>
      </c>
      <c r="E1154" s="3">
        <v>5010000000</v>
      </c>
      <c r="F1154" s="3">
        <v>2199000000</v>
      </c>
      <c r="G1154" s="3">
        <f>Project_Data_NYSE[[#This Row],[ Total Revenue ]]-Project_Data_NYSE[[#This Row],[ Cost of Goods Sold ]]</f>
        <v>2811000000</v>
      </c>
      <c r="H1154" s="3">
        <v>602000000</v>
      </c>
      <c r="I1154" s="3">
        <v>1331000000</v>
      </c>
      <c r="J1154" s="3">
        <v>0</v>
      </c>
      <c r="K1154" s="3">
        <f>Project_Data_NYSE[[#This Row],[Gross Profit]]-Project_Data_NYSE[[#This Row],[ Sales, General and Admin. ]]-Project_Data_NYSE[[#This Row],[ Research and Development ]]-Project_Data_NYSE[[#This Row],[ Other Operating Items ]]</f>
        <v>878000000</v>
      </c>
      <c r="L1154" t="s">
        <v>21</v>
      </c>
      <c r="M1154" t="s">
        <v>33</v>
      </c>
      <c r="N1154" s="31">
        <f>Project_Data_NYSE[[#This Row],[Gross Profit]]/Project_Data_NYSE[[#This Row],[ Total Revenue ]]</f>
        <v>0.56107784431137719</v>
      </c>
      <c r="O1154" s="31">
        <f>Project_Data_NYSE[[#This Row],[Operating Profit]]/Project_Data_NYSE[[#This Row],[ Total Revenue ]]</f>
        <v>0.17524950099800399</v>
      </c>
    </row>
    <row r="1155" spans="1:15" x14ac:dyDescent="0.2">
      <c r="A1155">
        <v>1188</v>
      </c>
      <c r="B1155" t="s">
        <v>420</v>
      </c>
      <c r="C1155" t="s">
        <v>11</v>
      </c>
      <c r="D1155" s="48">
        <v>41274</v>
      </c>
      <c r="E1155" s="3">
        <v>5508500000</v>
      </c>
      <c r="F1155" s="3">
        <v>3414400000</v>
      </c>
      <c r="G1155" s="3">
        <f>Project_Data_NYSE[[#This Row],[ Total Revenue ]]-Project_Data_NYSE[[#This Row],[ Cost of Goods Sold ]]</f>
        <v>2094100000</v>
      </c>
      <c r="H1155" s="3">
        <v>1403500000</v>
      </c>
      <c r="I1155" s="3">
        <v>0</v>
      </c>
      <c r="J1155" s="3">
        <v>0</v>
      </c>
      <c r="K1155" s="3">
        <f>Project_Data_NYSE[[#This Row],[Gross Profit]]-Project_Data_NYSE[[#This Row],[ Sales, General and Admin. ]]-Project_Data_NYSE[[#This Row],[ Research and Development ]]-Project_Data_NYSE[[#This Row],[ Other Operating Items ]]</f>
        <v>690600000</v>
      </c>
      <c r="L1155" t="s">
        <v>18</v>
      </c>
      <c r="M1155" t="s">
        <v>421</v>
      </c>
      <c r="N1155" s="31">
        <f>Project_Data_NYSE[[#This Row],[Gross Profit]]/Project_Data_NYSE[[#This Row],[ Total Revenue ]]</f>
        <v>0.3801579377325951</v>
      </c>
      <c r="O1155" s="31">
        <f>Project_Data_NYSE[[#This Row],[Operating Profit]]/Project_Data_NYSE[[#This Row],[ Total Revenue ]]</f>
        <v>0.12536988290823273</v>
      </c>
    </row>
    <row r="1156" spans="1:15" x14ac:dyDescent="0.2">
      <c r="A1156">
        <v>1189</v>
      </c>
      <c r="B1156" t="s">
        <v>420</v>
      </c>
      <c r="C1156" t="s">
        <v>14</v>
      </c>
      <c r="D1156" s="48">
        <v>41639</v>
      </c>
      <c r="E1156" s="3">
        <v>5607000000</v>
      </c>
      <c r="F1156" s="3">
        <v>3482100000</v>
      </c>
      <c r="G1156" s="3">
        <f>Project_Data_NYSE[[#This Row],[ Total Revenue ]]-Project_Data_NYSE[[#This Row],[ Cost of Goods Sold ]]</f>
        <v>2124900000</v>
      </c>
      <c r="H1156" s="3">
        <v>1399500000</v>
      </c>
      <c r="I1156" s="3">
        <v>0</v>
      </c>
      <c r="J1156" s="3">
        <v>0</v>
      </c>
      <c r="K1156" s="3">
        <f>Project_Data_NYSE[[#This Row],[Gross Profit]]-Project_Data_NYSE[[#This Row],[ Sales, General and Admin. ]]-Project_Data_NYSE[[#This Row],[ Research and Development ]]-Project_Data_NYSE[[#This Row],[ Other Operating Items ]]</f>
        <v>725400000</v>
      </c>
      <c r="L1156" t="s">
        <v>18</v>
      </c>
      <c r="M1156" t="s">
        <v>421</v>
      </c>
      <c r="N1156" s="31">
        <f>Project_Data_NYSE[[#This Row],[Gross Profit]]/Project_Data_NYSE[[#This Row],[ Total Revenue ]]</f>
        <v>0.37897271268057786</v>
      </c>
      <c r="O1156" s="31">
        <f>Project_Data_NYSE[[#This Row],[Operating Profit]]/Project_Data_NYSE[[#This Row],[ Total Revenue ]]</f>
        <v>0.12937399678972714</v>
      </c>
    </row>
    <row r="1157" spans="1:15" x14ac:dyDescent="0.2">
      <c r="A1157">
        <v>1190</v>
      </c>
      <c r="B1157" t="s">
        <v>420</v>
      </c>
      <c r="C1157" t="s">
        <v>15</v>
      </c>
      <c r="D1157" s="48">
        <v>42004</v>
      </c>
      <c r="E1157" s="3">
        <v>5727000000</v>
      </c>
      <c r="F1157" s="3">
        <v>3523600000</v>
      </c>
      <c r="G1157" s="3">
        <f>Project_Data_NYSE[[#This Row],[ Total Revenue ]]-Project_Data_NYSE[[#This Row],[ Cost of Goods Sold ]]</f>
        <v>2203400000</v>
      </c>
      <c r="H1157" s="3">
        <v>1545900000</v>
      </c>
      <c r="I1157" s="3">
        <v>0</v>
      </c>
      <c r="J1157" s="3">
        <v>0</v>
      </c>
      <c r="K1157" s="3">
        <f>Project_Data_NYSE[[#This Row],[Gross Profit]]-Project_Data_NYSE[[#This Row],[ Sales, General and Admin. ]]-Project_Data_NYSE[[#This Row],[ Research and Development ]]-Project_Data_NYSE[[#This Row],[ Other Operating Items ]]</f>
        <v>657500000</v>
      </c>
      <c r="L1157" t="s">
        <v>18</v>
      </c>
      <c r="M1157" t="s">
        <v>421</v>
      </c>
      <c r="N1157" s="31">
        <f>Project_Data_NYSE[[#This Row],[Gross Profit]]/Project_Data_NYSE[[#This Row],[ Total Revenue ]]</f>
        <v>0.38473895582329315</v>
      </c>
      <c r="O1157" s="31">
        <f>Project_Data_NYSE[[#This Row],[Operating Profit]]/Project_Data_NYSE[[#This Row],[ Total Revenue ]]</f>
        <v>0.11480705430417322</v>
      </c>
    </row>
    <row r="1158" spans="1:15" x14ac:dyDescent="0.2">
      <c r="A1158">
        <v>1191</v>
      </c>
      <c r="B1158" t="s">
        <v>420</v>
      </c>
      <c r="C1158" t="s">
        <v>16</v>
      </c>
      <c r="D1158" s="48">
        <v>42369</v>
      </c>
      <c r="E1158" s="3">
        <v>5915700000</v>
      </c>
      <c r="F1158" s="3">
        <v>3611100000</v>
      </c>
      <c r="G1158" s="3">
        <f>Project_Data_NYSE[[#This Row],[ Total Revenue ]]-Project_Data_NYSE[[#This Row],[ Cost of Goods Sold ]]</f>
        <v>2304600000</v>
      </c>
      <c r="H1158" s="3">
        <v>1626000000</v>
      </c>
      <c r="I1158" s="3">
        <v>0</v>
      </c>
      <c r="J1158" s="3">
        <v>0</v>
      </c>
      <c r="K1158" s="3">
        <f>Project_Data_NYSE[[#This Row],[Gross Profit]]-Project_Data_NYSE[[#This Row],[ Sales, General and Admin. ]]-Project_Data_NYSE[[#This Row],[ Research and Development ]]-Project_Data_NYSE[[#This Row],[ Other Operating Items ]]</f>
        <v>678600000</v>
      </c>
      <c r="L1158" t="s">
        <v>18</v>
      </c>
      <c r="M1158" t="s">
        <v>421</v>
      </c>
      <c r="N1158" s="31">
        <f>Project_Data_NYSE[[#This Row],[Gross Profit]]/Project_Data_NYSE[[#This Row],[ Total Revenue ]]</f>
        <v>0.38957350778437039</v>
      </c>
      <c r="O1158" s="31">
        <f>Project_Data_NYSE[[#This Row],[Operating Profit]]/Project_Data_NYSE[[#This Row],[ Total Revenue ]]</f>
        <v>0.11471169937623611</v>
      </c>
    </row>
    <row r="1159" spans="1:15" x14ac:dyDescent="0.2">
      <c r="A1159">
        <v>1200</v>
      </c>
      <c r="B1159" t="s">
        <v>422</v>
      </c>
      <c r="C1159" t="s">
        <v>11</v>
      </c>
      <c r="D1159" s="48">
        <v>41274</v>
      </c>
      <c r="E1159" s="3">
        <v>484581000</v>
      </c>
      <c r="F1159" s="3">
        <v>21306000</v>
      </c>
      <c r="G1159" s="3">
        <f>Project_Data_NYSE[[#This Row],[ Total Revenue ]]-Project_Data_NYSE[[#This Row],[ Cost of Goods Sold ]]</f>
        <v>463275000</v>
      </c>
      <c r="H1159" s="3">
        <v>38123000</v>
      </c>
      <c r="I1159" s="3">
        <v>0</v>
      </c>
      <c r="J1159" s="3">
        <v>147515000</v>
      </c>
      <c r="K1159" s="3">
        <f>Project_Data_NYSE[[#This Row],[Gross Profit]]-Project_Data_NYSE[[#This Row],[ Sales, General and Admin. ]]-Project_Data_NYSE[[#This Row],[ Research and Development ]]-Project_Data_NYSE[[#This Row],[ Other Operating Items ]]</f>
        <v>277637000</v>
      </c>
      <c r="L1159" t="s">
        <v>51</v>
      </c>
      <c r="M1159" t="s">
        <v>264</v>
      </c>
      <c r="N1159" s="31">
        <f>Project_Data_NYSE[[#This Row],[Gross Profit]]/Project_Data_NYSE[[#This Row],[ Total Revenue ]]</f>
        <v>0.95603211846935809</v>
      </c>
      <c r="O1159" s="31">
        <f>Project_Data_NYSE[[#This Row],[Operating Profit]]/Project_Data_NYSE[[#This Row],[ Total Revenue ]]</f>
        <v>0.57294239765900845</v>
      </c>
    </row>
    <row r="1160" spans="1:15" x14ac:dyDescent="0.2">
      <c r="A1160">
        <v>1201</v>
      </c>
      <c r="B1160" t="s">
        <v>422</v>
      </c>
      <c r="C1160" t="s">
        <v>14</v>
      </c>
      <c r="D1160" s="48">
        <v>41639</v>
      </c>
      <c r="E1160" s="3">
        <v>780209000</v>
      </c>
      <c r="F1160" s="3">
        <v>38851000</v>
      </c>
      <c r="G1160" s="3">
        <f>Project_Data_NYSE[[#This Row],[ Total Revenue ]]-Project_Data_NYSE[[#This Row],[ Cost of Goods Sold ]]</f>
        <v>741358000</v>
      </c>
      <c r="H1160" s="3">
        <v>56881000</v>
      </c>
      <c r="I1160" s="3">
        <v>0</v>
      </c>
      <c r="J1160" s="3">
        <v>306769000</v>
      </c>
      <c r="K1160" s="3">
        <f>Project_Data_NYSE[[#This Row],[Gross Profit]]-Project_Data_NYSE[[#This Row],[ Sales, General and Admin. ]]-Project_Data_NYSE[[#This Row],[ Research and Development ]]-Project_Data_NYSE[[#This Row],[ Other Operating Items ]]</f>
        <v>377708000</v>
      </c>
      <c r="L1160" t="s">
        <v>51</v>
      </c>
      <c r="M1160" t="s">
        <v>264</v>
      </c>
      <c r="N1160" s="31">
        <f>Project_Data_NYSE[[#This Row],[Gross Profit]]/Project_Data_NYSE[[#This Row],[ Total Revenue ]]</f>
        <v>0.95020436831669464</v>
      </c>
      <c r="O1160" s="31">
        <f>Project_Data_NYSE[[#This Row],[Operating Profit]]/Project_Data_NYSE[[#This Row],[ Total Revenue ]]</f>
        <v>0.48411130863653201</v>
      </c>
    </row>
    <row r="1161" spans="1:15" x14ac:dyDescent="0.2">
      <c r="A1161">
        <v>1202</v>
      </c>
      <c r="B1161" t="s">
        <v>422</v>
      </c>
      <c r="C1161" t="s">
        <v>15</v>
      </c>
      <c r="D1161" s="48">
        <v>42004</v>
      </c>
      <c r="E1161" s="3">
        <v>933505000</v>
      </c>
      <c r="F1161" s="3">
        <v>53871000</v>
      </c>
      <c r="G1161" s="3">
        <f>Project_Data_NYSE[[#This Row],[ Total Revenue ]]-Project_Data_NYSE[[#This Row],[ Cost of Goods Sold ]]</f>
        <v>879634000</v>
      </c>
      <c r="H1161" s="3">
        <v>51085000</v>
      </c>
      <c r="I1161" s="3">
        <v>0</v>
      </c>
      <c r="J1161" s="3">
        <v>374661000</v>
      </c>
      <c r="K1161" s="3">
        <f>Project_Data_NYSE[[#This Row],[Gross Profit]]-Project_Data_NYSE[[#This Row],[ Sales, General and Admin. ]]-Project_Data_NYSE[[#This Row],[ Research and Development ]]-Project_Data_NYSE[[#This Row],[ Other Operating Items ]]</f>
        <v>453888000</v>
      </c>
      <c r="L1161" t="s">
        <v>51</v>
      </c>
      <c r="M1161" t="s">
        <v>264</v>
      </c>
      <c r="N1161" s="31">
        <f>Project_Data_NYSE[[#This Row],[Gross Profit]]/Project_Data_NYSE[[#This Row],[ Total Revenue ]]</f>
        <v>0.94229168563639187</v>
      </c>
      <c r="O1161" s="31">
        <f>Project_Data_NYSE[[#This Row],[Operating Profit]]/Project_Data_NYSE[[#This Row],[ Total Revenue ]]</f>
        <v>0.48621914183641224</v>
      </c>
    </row>
    <row r="1162" spans="1:15" x14ac:dyDescent="0.2">
      <c r="A1162">
        <v>1203</v>
      </c>
      <c r="B1162" t="s">
        <v>422</v>
      </c>
      <c r="C1162" t="s">
        <v>16</v>
      </c>
      <c r="D1162" s="48">
        <v>42369</v>
      </c>
      <c r="E1162" s="3">
        <v>1023285000</v>
      </c>
      <c r="F1162" s="3">
        <v>55352000</v>
      </c>
      <c r="G1162" s="3">
        <f>Project_Data_NYSE[[#This Row],[ Total Revenue ]]-Project_Data_NYSE[[#This Row],[ Cost of Goods Sold ]]</f>
        <v>967933000</v>
      </c>
      <c r="H1162" s="3">
        <v>49298000</v>
      </c>
      <c r="I1162" s="3">
        <v>0</v>
      </c>
      <c r="J1162" s="3">
        <v>409215000</v>
      </c>
      <c r="K1162" s="3">
        <f>Project_Data_NYSE[[#This Row],[Gross Profit]]-Project_Data_NYSE[[#This Row],[ Sales, General and Admin. ]]-Project_Data_NYSE[[#This Row],[ Research and Development ]]-Project_Data_NYSE[[#This Row],[ Other Operating Items ]]</f>
        <v>509420000</v>
      </c>
      <c r="L1162" t="s">
        <v>51</v>
      </c>
      <c r="M1162" t="s">
        <v>264</v>
      </c>
      <c r="N1162" s="31">
        <f>Project_Data_NYSE[[#This Row],[Gross Profit]]/Project_Data_NYSE[[#This Row],[ Total Revenue ]]</f>
        <v>0.94590754286440237</v>
      </c>
      <c r="O1162" s="31">
        <f>Project_Data_NYSE[[#This Row],[Operating Profit]]/Project_Data_NYSE[[#This Row],[ Total Revenue ]]</f>
        <v>0.4978280733129089</v>
      </c>
    </row>
    <row r="1163" spans="1:15" x14ac:dyDescent="0.2">
      <c r="A1163">
        <v>1204</v>
      </c>
      <c r="B1163" t="s">
        <v>423</v>
      </c>
      <c r="C1163" t="s">
        <v>11</v>
      </c>
      <c r="D1163" s="48">
        <v>41274</v>
      </c>
      <c r="E1163" s="3">
        <v>10184121000</v>
      </c>
      <c r="F1163" s="3">
        <v>8540319000</v>
      </c>
      <c r="G1163" s="3">
        <f>Project_Data_NYSE[[#This Row],[ Total Revenue ]]-Project_Data_NYSE[[#This Row],[ Cost of Goods Sold ]]</f>
        <v>1643802000</v>
      </c>
      <c r="H1163" s="3">
        <v>491725000</v>
      </c>
      <c r="I1163" s="3">
        <v>0</v>
      </c>
      <c r="J1163" s="3">
        <v>205334000</v>
      </c>
      <c r="K1163" s="3">
        <f>Project_Data_NYSE[[#This Row],[Gross Profit]]-Project_Data_NYSE[[#This Row],[ Sales, General and Admin. ]]-Project_Data_NYSE[[#This Row],[ Research and Development ]]-Project_Data_NYSE[[#This Row],[ Other Operating Items ]]</f>
        <v>946743000</v>
      </c>
      <c r="L1163" t="s">
        <v>82</v>
      </c>
      <c r="M1163" t="s">
        <v>83</v>
      </c>
      <c r="N1163" s="31">
        <f>Project_Data_NYSE[[#This Row],[Gross Profit]]/Project_Data_NYSE[[#This Row],[ Total Revenue ]]</f>
        <v>0.16140833362054516</v>
      </c>
      <c r="O1163" s="31">
        <f>Project_Data_NYSE[[#This Row],[Operating Profit]]/Project_Data_NYSE[[#This Row],[ Total Revenue ]]</f>
        <v>9.2962662167898433E-2</v>
      </c>
    </row>
    <row r="1164" spans="1:15" x14ac:dyDescent="0.2">
      <c r="A1164">
        <v>1205</v>
      </c>
      <c r="B1164" t="s">
        <v>423</v>
      </c>
      <c r="C1164" t="s">
        <v>14</v>
      </c>
      <c r="D1164" s="48">
        <v>41639</v>
      </c>
      <c r="E1164" s="3">
        <v>11871879000</v>
      </c>
      <c r="F1164" s="3">
        <v>10222213000</v>
      </c>
      <c r="G1164" s="3">
        <f>Project_Data_NYSE[[#This Row],[ Total Revenue ]]-Project_Data_NYSE[[#This Row],[ Cost of Goods Sold ]]</f>
        <v>1649666000</v>
      </c>
      <c r="H1164" s="3">
        <v>541586000</v>
      </c>
      <c r="I1164" s="3">
        <v>0</v>
      </c>
      <c r="J1164" s="3">
        <v>239343000</v>
      </c>
      <c r="K1164" s="3">
        <f>Project_Data_NYSE[[#This Row],[Gross Profit]]-Project_Data_NYSE[[#This Row],[ Sales, General and Admin. ]]-Project_Data_NYSE[[#This Row],[ Research and Development ]]-Project_Data_NYSE[[#This Row],[ Other Operating Items ]]</f>
        <v>868737000</v>
      </c>
      <c r="L1164" t="s">
        <v>82</v>
      </c>
      <c r="M1164" t="s">
        <v>83</v>
      </c>
      <c r="N1164" s="31">
        <f>Project_Data_NYSE[[#This Row],[Gross Profit]]/Project_Data_NYSE[[#This Row],[ Total Revenue ]]</f>
        <v>0.13895576260506023</v>
      </c>
      <c r="O1164" s="31">
        <f>Project_Data_NYSE[[#This Row],[Operating Profit]]/Project_Data_NYSE[[#This Row],[ Total Revenue ]]</f>
        <v>7.3176032201810681E-2</v>
      </c>
    </row>
    <row r="1165" spans="1:15" x14ac:dyDescent="0.2">
      <c r="A1165">
        <v>1206</v>
      </c>
      <c r="B1165" t="s">
        <v>423</v>
      </c>
      <c r="C1165" t="s">
        <v>15</v>
      </c>
      <c r="D1165" s="48">
        <v>42004</v>
      </c>
      <c r="E1165" s="3">
        <v>12195091000</v>
      </c>
      <c r="F1165" s="3">
        <v>10088548000</v>
      </c>
      <c r="G1165" s="3">
        <f>Project_Data_NYSE[[#This Row],[ Total Revenue ]]-Project_Data_NYSE[[#This Row],[ Cost of Goods Sold ]]</f>
        <v>2106543000</v>
      </c>
      <c r="H1165" s="3">
        <v>674887000</v>
      </c>
      <c r="I1165" s="3">
        <v>0</v>
      </c>
      <c r="J1165" s="3">
        <v>294684000</v>
      </c>
      <c r="K1165" s="3">
        <f>Project_Data_NYSE[[#This Row],[Gross Profit]]-Project_Data_NYSE[[#This Row],[ Sales, General and Admin. ]]-Project_Data_NYSE[[#This Row],[ Research and Development ]]-Project_Data_NYSE[[#This Row],[ Other Operating Items ]]</f>
        <v>1136972000</v>
      </c>
      <c r="L1165" t="s">
        <v>82</v>
      </c>
      <c r="M1165" t="s">
        <v>83</v>
      </c>
      <c r="N1165" s="31">
        <f>Project_Data_NYSE[[#This Row],[Gross Profit]]/Project_Data_NYSE[[#This Row],[ Total Revenue ]]</f>
        <v>0.17273696440641567</v>
      </c>
      <c r="O1165" s="31">
        <f>Project_Data_NYSE[[#This Row],[Operating Profit]]/Project_Data_NYSE[[#This Row],[ Total Revenue ]]</f>
        <v>9.3231940622665294E-2</v>
      </c>
    </row>
    <row r="1166" spans="1:15" x14ac:dyDescent="0.2">
      <c r="A1166">
        <v>1207</v>
      </c>
      <c r="B1166" t="s">
        <v>423</v>
      </c>
      <c r="C1166" t="s">
        <v>16</v>
      </c>
      <c r="D1166" s="48">
        <v>42369</v>
      </c>
      <c r="E1166" s="3">
        <v>7763206000</v>
      </c>
      <c r="F1166" s="3">
        <v>5641052000</v>
      </c>
      <c r="G1166" s="3">
        <f>Project_Data_NYSE[[#This Row],[ Total Revenue ]]-Project_Data_NYSE[[#This Row],[ Cost of Goods Sold ]]</f>
        <v>2122154000</v>
      </c>
      <c r="H1166" s="3">
        <v>693331000</v>
      </c>
      <c r="I1166" s="3">
        <v>0</v>
      </c>
      <c r="J1166" s="3">
        <v>354620000</v>
      </c>
      <c r="K1166" s="3">
        <f>Project_Data_NYSE[[#This Row],[Gross Profit]]-Project_Data_NYSE[[#This Row],[ Sales, General and Admin. ]]-Project_Data_NYSE[[#This Row],[ Research and Development ]]-Project_Data_NYSE[[#This Row],[ Other Operating Items ]]</f>
        <v>1074203000</v>
      </c>
      <c r="L1166" t="s">
        <v>82</v>
      </c>
      <c r="M1166" t="s">
        <v>83</v>
      </c>
      <c r="N1166" s="31">
        <f>Project_Data_NYSE[[#This Row],[Gross Profit]]/Project_Data_NYSE[[#This Row],[ Total Revenue ]]</f>
        <v>0.27336051626093655</v>
      </c>
      <c r="O1166" s="31">
        <f>Project_Data_NYSE[[#This Row],[Operating Profit]]/Project_Data_NYSE[[#This Row],[ Total Revenue ]]</f>
        <v>0.13837105443292372</v>
      </c>
    </row>
    <row r="1167" spans="1:15" x14ac:dyDescent="0.2">
      <c r="A1167">
        <v>1209</v>
      </c>
      <c r="B1167" t="s">
        <v>424</v>
      </c>
      <c r="C1167" t="s">
        <v>11</v>
      </c>
      <c r="D1167" s="48">
        <v>42004</v>
      </c>
      <c r="E1167" s="3">
        <v>15317800000</v>
      </c>
      <c r="F1167" s="3">
        <v>12602100000</v>
      </c>
      <c r="G1167" s="3">
        <f>Project_Data_NYSE[[#This Row],[ Total Revenue ]]-Project_Data_NYSE[[#This Row],[ Cost of Goods Sold ]]</f>
        <v>2715700000</v>
      </c>
      <c r="H1167" s="3">
        <v>477200000</v>
      </c>
      <c r="I1167" s="3">
        <v>0</v>
      </c>
      <c r="J1167" s="3">
        <v>294400000</v>
      </c>
      <c r="K1167" s="3">
        <f>Project_Data_NYSE[[#This Row],[Gross Profit]]-Project_Data_NYSE[[#This Row],[ Sales, General and Admin. ]]-Project_Data_NYSE[[#This Row],[ Research and Development ]]-Project_Data_NYSE[[#This Row],[ Other Operating Items ]]</f>
        <v>1944100000</v>
      </c>
      <c r="L1167" t="s">
        <v>18</v>
      </c>
      <c r="M1167" t="s">
        <v>322</v>
      </c>
      <c r="N1167" s="31">
        <f>Project_Data_NYSE[[#This Row],[Gross Profit]]/Project_Data_NYSE[[#This Row],[ Total Revenue ]]</f>
        <v>0.17729047252216376</v>
      </c>
      <c r="O1167" s="31">
        <f>Project_Data_NYSE[[#This Row],[Operating Profit]]/Project_Data_NYSE[[#This Row],[ Total Revenue ]]</f>
        <v>0.12691770358667695</v>
      </c>
    </row>
    <row r="1168" spans="1:15" x14ac:dyDescent="0.2">
      <c r="A1168">
        <v>1210</v>
      </c>
      <c r="B1168" t="s">
        <v>424</v>
      </c>
      <c r="C1168" t="s">
        <v>14</v>
      </c>
      <c r="D1168" s="48">
        <v>42369</v>
      </c>
      <c r="E1168" s="3">
        <v>15134400000</v>
      </c>
      <c r="F1168" s="3">
        <v>12491400000</v>
      </c>
      <c r="G1168" s="3">
        <f>Project_Data_NYSE[[#This Row],[ Total Revenue ]]-Project_Data_NYSE[[#This Row],[ Cost of Goods Sold ]]</f>
        <v>2643000000</v>
      </c>
      <c r="H1168" s="3">
        <v>431800000</v>
      </c>
      <c r="I1168" s="3">
        <v>0</v>
      </c>
      <c r="J1168" s="3">
        <v>291100000</v>
      </c>
      <c r="K1168" s="3">
        <f>Project_Data_NYSE[[#This Row],[Gross Profit]]-Project_Data_NYSE[[#This Row],[ Sales, General and Admin. ]]-Project_Data_NYSE[[#This Row],[ Research and Development ]]-Project_Data_NYSE[[#This Row],[ Other Operating Items ]]</f>
        <v>1920100000</v>
      </c>
      <c r="L1168" t="s">
        <v>18</v>
      </c>
      <c r="M1168" t="s">
        <v>322</v>
      </c>
      <c r="N1168" s="31">
        <f>Project_Data_NYSE[[#This Row],[Gross Profit]]/Project_Data_NYSE[[#This Row],[ Total Revenue ]]</f>
        <v>0.17463526799873136</v>
      </c>
      <c r="O1168" s="31">
        <f>Project_Data_NYSE[[#This Row],[Operating Profit]]/Project_Data_NYSE[[#This Row],[ Total Revenue ]]</f>
        <v>0.12686991225288086</v>
      </c>
    </row>
    <row r="1169" spans="1:15" x14ac:dyDescent="0.2">
      <c r="A1169">
        <v>1211</v>
      </c>
      <c r="B1169" t="s">
        <v>424</v>
      </c>
      <c r="C1169" t="s">
        <v>15</v>
      </c>
      <c r="D1169" s="48">
        <v>42735</v>
      </c>
      <c r="E1169" s="3">
        <v>15416900000</v>
      </c>
      <c r="F1169" s="3">
        <v>12671200000</v>
      </c>
      <c r="G1169" s="3">
        <f>Project_Data_NYSE[[#This Row],[ Total Revenue ]]-Project_Data_NYSE[[#This Row],[ Cost of Goods Sold ]]</f>
        <v>2745700000</v>
      </c>
      <c r="H1169" s="3">
        <v>443900000</v>
      </c>
      <c r="I1169" s="3">
        <v>0</v>
      </c>
      <c r="J1169" s="3">
        <v>292900000</v>
      </c>
      <c r="K1169" s="3">
        <f>Project_Data_NYSE[[#This Row],[Gross Profit]]-Project_Data_NYSE[[#This Row],[ Sales, General and Admin. ]]-Project_Data_NYSE[[#This Row],[ Research and Development ]]-Project_Data_NYSE[[#This Row],[ Other Operating Items ]]</f>
        <v>2008900000</v>
      </c>
      <c r="L1169" t="s">
        <v>18</v>
      </c>
      <c r="M1169" t="s">
        <v>322</v>
      </c>
      <c r="N1169" s="31">
        <f>Project_Data_NYSE[[#This Row],[Gross Profit]]/Project_Data_NYSE[[#This Row],[ Total Revenue ]]</f>
        <v>0.1780967639408701</v>
      </c>
      <c r="O1169" s="31">
        <f>Project_Data_NYSE[[#This Row],[Operating Profit]]/Project_Data_NYSE[[#This Row],[ Total Revenue ]]</f>
        <v>0.1303050548424132</v>
      </c>
    </row>
    <row r="1170" spans="1:15" x14ac:dyDescent="0.2">
      <c r="A1170">
        <v>1212</v>
      </c>
      <c r="B1170" t="s">
        <v>425</v>
      </c>
      <c r="C1170" t="s">
        <v>11</v>
      </c>
      <c r="D1170" s="48">
        <v>41274</v>
      </c>
      <c r="E1170" s="3">
        <v>6182184000</v>
      </c>
      <c r="F1170" s="3">
        <v>3084766000</v>
      </c>
      <c r="G1170" s="3">
        <f>Project_Data_NYSE[[#This Row],[ Total Revenue ]]-Project_Data_NYSE[[#This Row],[ Cost of Goods Sold ]]</f>
        <v>3097418000</v>
      </c>
      <c r="H1170" s="3">
        <v>2120025000</v>
      </c>
      <c r="I1170" s="3">
        <v>0</v>
      </c>
      <c r="J1170" s="3">
        <v>0</v>
      </c>
      <c r="K1170" s="3">
        <f>Project_Data_NYSE[[#This Row],[Gross Profit]]-Project_Data_NYSE[[#This Row],[ Sales, General and Admin. ]]-Project_Data_NYSE[[#This Row],[ Research and Development ]]-Project_Data_NYSE[[#This Row],[ Other Operating Items ]]</f>
        <v>977393000</v>
      </c>
      <c r="L1170" t="s">
        <v>18</v>
      </c>
      <c r="M1170" t="s">
        <v>78</v>
      </c>
      <c r="N1170" s="31">
        <f>Project_Data_NYSE[[#This Row],[Gross Profit]]/Project_Data_NYSE[[#This Row],[ Total Revenue ]]</f>
        <v>0.50102326297632038</v>
      </c>
      <c r="O1170" s="31">
        <f>Project_Data_NYSE[[#This Row],[Operating Profit]]/Project_Data_NYSE[[#This Row],[ Total Revenue ]]</f>
        <v>0.15809833547497129</v>
      </c>
    </row>
    <row r="1171" spans="1:15" x14ac:dyDescent="0.2">
      <c r="A1171">
        <v>1213</v>
      </c>
      <c r="B1171" t="s">
        <v>425</v>
      </c>
      <c r="C1171" t="s">
        <v>14</v>
      </c>
      <c r="D1171" s="48">
        <v>41639</v>
      </c>
      <c r="E1171" s="3">
        <v>6649237000</v>
      </c>
      <c r="F1171" s="3">
        <v>3280236000</v>
      </c>
      <c r="G1171" s="3">
        <f>Project_Data_NYSE[[#This Row],[ Total Revenue ]]-Project_Data_NYSE[[#This Row],[ Cost of Goods Sold ]]</f>
        <v>3369001000</v>
      </c>
      <c r="H1171" s="3">
        <v>2265516000</v>
      </c>
      <c r="I1171" s="3">
        <v>0</v>
      </c>
      <c r="J1171" s="3">
        <v>0</v>
      </c>
      <c r="K1171" s="3">
        <f>Project_Data_NYSE[[#This Row],[Gross Profit]]-Project_Data_NYSE[[#This Row],[ Sales, General and Admin. ]]-Project_Data_NYSE[[#This Row],[ Research and Development ]]-Project_Data_NYSE[[#This Row],[ Other Operating Items ]]</f>
        <v>1103485000</v>
      </c>
      <c r="L1171" t="s">
        <v>18</v>
      </c>
      <c r="M1171" t="s">
        <v>78</v>
      </c>
      <c r="N1171" s="31">
        <f>Project_Data_NYSE[[#This Row],[Gross Profit]]/Project_Data_NYSE[[#This Row],[ Total Revenue ]]</f>
        <v>0.50667482599883262</v>
      </c>
      <c r="O1171" s="31">
        <f>Project_Data_NYSE[[#This Row],[Operating Profit]]/Project_Data_NYSE[[#This Row],[ Total Revenue ]]</f>
        <v>0.16595663532522603</v>
      </c>
    </row>
    <row r="1172" spans="1:15" x14ac:dyDescent="0.2">
      <c r="A1172">
        <v>1214</v>
      </c>
      <c r="B1172" t="s">
        <v>425</v>
      </c>
      <c r="C1172" t="s">
        <v>15</v>
      </c>
      <c r="D1172" s="48">
        <v>42004</v>
      </c>
      <c r="E1172" s="3">
        <v>7216081000</v>
      </c>
      <c r="F1172" s="3">
        <v>3507180000</v>
      </c>
      <c r="G1172" s="3">
        <f>Project_Data_NYSE[[#This Row],[ Total Revenue ]]-Project_Data_NYSE[[#This Row],[ Cost of Goods Sold ]]</f>
        <v>3708901000</v>
      </c>
      <c r="H1172" s="3">
        <v>2438527000</v>
      </c>
      <c r="I1172" s="3">
        <v>0</v>
      </c>
      <c r="J1172" s="3">
        <v>0</v>
      </c>
      <c r="K1172" s="3">
        <f>Project_Data_NYSE[[#This Row],[Gross Profit]]-Project_Data_NYSE[[#This Row],[ Sales, General and Admin. ]]-Project_Data_NYSE[[#This Row],[ Research and Development ]]-Project_Data_NYSE[[#This Row],[ Other Operating Items ]]</f>
        <v>1270374000</v>
      </c>
      <c r="L1172" t="s">
        <v>18</v>
      </c>
      <c r="M1172" t="s">
        <v>78</v>
      </c>
      <c r="N1172" s="31">
        <f>Project_Data_NYSE[[#This Row],[Gross Profit]]/Project_Data_NYSE[[#This Row],[ Total Revenue ]]</f>
        <v>0.51397718512306056</v>
      </c>
      <c r="O1172" s="31">
        <f>Project_Data_NYSE[[#This Row],[Operating Profit]]/Project_Data_NYSE[[#This Row],[ Total Revenue ]]</f>
        <v>0.17604763582892155</v>
      </c>
    </row>
    <row r="1173" spans="1:15" x14ac:dyDescent="0.2">
      <c r="A1173">
        <v>1215</v>
      </c>
      <c r="B1173" t="s">
        <v>425</v>
      </c>
      <c r="C1173" t="s">
        <v>16</v>
      </c>
      <c r="D1173" s="48">
        <v>42369</v>
      </c>
      <c r="E1173" s="3">
        <v>7966674000</v>
      </c>
      <c r="F1173" s="3">
        <v>3804031000</v>
      </c>
      <c r="G1173" s="3">
        <f>Project_Data_NYSE[[#This Row],[ Total Revenue ]]-Project_Data_NYSE[[#This Row],[ Cost of Goods Sold ]]</f>
        <v>4162643000</v>
      </c>
      <c r="H1173" s="3">
        <v>2648622000</v>
      </c>
      <c r="I1173" s="3">
        <v>0</v>
      </c>
      <c r="J1173" s="3">
        <v>0</v>
      </c>
      <c r="K1173" s="3">
        <f>Project_Data_NYSE[[#This Row],[Gross Profit]]-Project_Data_NYSE[[#This Row],[ Sales, General and Admin. ]]-Project_Data_NYSE[[#This Row],[ Research and Development ]]-Project_Data_NYSE[[#This Row],[ Other Operating Items ]]</f>
        <v>1514021000</v>
      </c>
      <c r="L1173" t="s">
        <v>18</v>
      </c>
      <c r="M1173" t="s">
        <v>78</v>
      </c>
      <c r="N1173" s="31">
        <f>Project_Data_NYSE[[#This Row],[Gross Profit]]/Project_Data_NYSE[[#This Row],[ Total Revenue ]]</f>
        <v>0.52250700857095445</v>
      </c>
      <c r="O1173" s="31">
        <f>Project_Data_NYSE[[#This Row],[Operating Profit]]/Project_Data_NYSE[[#This Row],[ Total Revenue ]]</f>
        <v>0.19004430205127007</v>
      </c>
    </row>
    <row r="1174" spans="1:15" x14ac:dyDescent="0.2">
      <c r="A1174">
        <v>1216</v>
      </c>
      <c r="B1174" t="s">
        <v>426</v>
      </c>
      <c r="C1174" t="s">
        <v>11</v>
      </c>
      <c r="D1174" s="48">
        <v>41274</v>
      </c>
      <c r="E1174" s="3">
        <v>20100000000</v>
      </c>
      <c r="F1174" s="3">
        <v>6530000000</v>
      </c>
      <c r="G1174" s="3">
        <f>Project_Data_NYSE[[#This Row],[ Total Revenue ]]-Project_Data_NYSE[[#This Row],[ Cost of Goods Sold ]]</f>
        <v>13570000000</v>
      </c>
      <c r="H1174" s="3">
        <v>1879000000</v>
      </c>
      <c r="I1174" s="3">
        <v>0</v>
      </c>
      <c r="J1174" s="3">
        <v>3585000000</v>
      </c>
      <c r="K1174" s="3">
        <f>Project_Data_NYSE[[#This Row],[Gross Profit]]-Project_Data_NYSE[[#This Row],[ Sales, General and Admin. ]]-Project_Data_NYSE[[#This Row],[ Research and Development ]]-Project_Data_NYSE[[#This Row],[ Other Operating Items ]]</f>
        <v>8106000000</v>
      </c>
      <c r="L1174" t="s">
        <v>82</v>
      </c>
      <c r="M1174" t="s">
        <v>83</v>
      </c>
      <c r="N1174" s="31">
        <f>Project_Data_NYSE[[#This Row],[Gross Profit]]/Project_Data_NYSE[[#This Row],[ Total Revenue ]]</f>
        <v>0.67512437810945269</v>
      </c>
      <c r="O1174" s="31">
        <f>Project_Data_NYSE[[#This Row],[Operating Profit]]/Project_Data_NYSE[[#This Row],[ Total Revenue ]]</f>
        <v>0.40328358208955223</v>
      </c>
    </row>
    <row r="1175" spans="1:15" x14ac:dyDescent="0.2">
      <c r="A1175">
        <v>1217</v>
      </c>
      <c r="B1175" t="s">
        <v>426</v>
      </c>
      <c r="C1175" t="s">
        <v>14</v>
      </c>
      <c r="D1175" s="48">
        <v>41639</v>
      </c>
      <c r="E1175" s="3">
        <v>20170000000</v>
      </c>
      <c r="F1175" s="3">
        <v>6497000000</v>
      </c>
      <c r="G1175" s="3">
        <f>Project_Data_NYSE[[#This Row],[ Total Revenue ]]-Project_Data_NYSE[[#This Row],[ Cost of Goods Sold ]]</f>
        <v>13673000000</v>
      </c>
      <c r="H1175" s="3">
        <v>2108000000</v>
      </c>
      <c r="I1175" s="3">
        <v>0</v>
      </c>
      <c r="J1175" s="3">
        <v>4203000000</v>
      </c>
      <c r="K1175" s="3">
        <f>Project_Data_NYSE[[#This Row],[Gross Profit]]-Project_Data_NYSE[[#This Row],[ Sales, General and Admin. ]]-Project_Data_NYSE[[#This Row],[ Research and Development ]]-Project_Data_NYSE[[#This Row],[ Other Operating Items ]]</f>
        <v>7362000000</v>
      </c>
      <c r="L1175" t="s">
        <v>82</v>
      </c>
      <c r="M1175" t="s">
        <v>83</v>
      </c>
      <c r="N1175" s="31">
        <f>Project_Data_NYSE[[#This Row],[Gross Profit]]/Project_Data_NYSE[[#This Row],[ Total Revenue ]]</f>
        <v>0.67788795240456123</v>
      </c>
      <c r="O1175" s="31">
        <f>Project_Data_NYSE[[#This Row],[Operating Profit]]/Project_Data_NYSE[[#This Row],[ Total Revenue ]]</f>
        <v>0.36499752107089739</v>
      </c>
    </row>
    <row r="1176" spans="1:15" x14ac:dyDescent="0.2">
      <c r="A1176">
        <v>1218</v>
      </c>
      <c r="B1176" t="s">
        <v>426</v>
      </c>
      <c r="C1176" t="s">
        <v>15</v>
      </c>
      <c r="D1176" s="48">
        <v>42004</v>
      </c>
      <c r="E1176" s="3">
        <v>19312000000</v>
      </c>
      <c r="F1176" s="3">
        <v>6803000000</v>
      </c>
      <c r="G1176" s="3">
        <f>Project_Data_NYSE[[#This Row],[ Total Revenue ]]-Project_Data_NYSE[[#This Row],[ Cost of Goods Sold ]]</f>
        <v>12509000000</v>
      </c>
      <c r="H1176" s="3">
        <v>2053000000</v>
      </c>
      <c r="I1176" s="3">
        <v>0</v>
      </c>
      <c r="J1176" s="3">
        <v>4261000000</v>
      </c>
      <c r="K1176" s="3">
        <f>Project_Data_NYSE[[#This Row],[Gross Profit]]-Project_Data_NYSE[[#This Row],[ Sales, General and Admin. ]]-Project_Data_NYSE[[#This Row],[ Research and Development ]]-Project_Data_NYSE[[#This Row],[ Other Operating Items ]]</f>
        <v>6195000000</v>
      </c>
      <c r="L1176" t="s">
        <v>82</v>
      </c>
      <c r="M1176" t="s">
        <v>83</v>
      </c>
      <c r="N1176" s="31">
        <f>Project_Data_NYSE[[#This Row],[Gross Profit]]/Project_Data_NYSE[[#This Row],[ Total Revenue ]]</f>
        <v>0.64773198011599009</v>
      </c>
      <c r="O1176" s="31">
        <f>Project_Data_NYSE[[#This Row],[Operating Profit]]/Project_Data_NYSE[[#This Row],[ Total Revenue ]]</f>
        <v>0.32078500414250205</v>
      </c>
    </row>
    <row r="1177" spans="1:15" x14ac:dyDescent="0.2">
      <c r="A1177">
        <v>1219</v>
      </c>
      <c r="B1177" t="s">
        <v>426</v>
      </c>
      <c r="C1177" t="s">
        <v>16</v>
      </c>
      <c r="D1177" s="48">
        <v>42369</v>
      </c>
      <c r="E1177" s="3">
        <v>12480000000</v>
      </c>
      <c r="F1177" s="3">
        <v>5804000000</v>
      </c>
      <c r="G1177" s="3">
        <f>Project_Data_NYSE[[#This Row],[ Total Revenue ]]-Project_Data_NYSE[[#This Row],[ Cost of Goods Sold ]]</f>
        <v>6676000000</v>
      </c>
      <c r="H1177" s="3">
        <v>1613000000</v>
      </c>
      <c r="I1177" s="3">
        <v>0</v>
      </c>
      <c r="J1177" s="3">
        <v>4544000000</v>
      </c>
      <c r="K1177" s="3">
        <f>Project_Data_NYSE[[#This Row],[Gross Profit]]-Project_Data_NYSE[[#This Row],[ Sales, General and Admin. ]]-Project_Data_NYSE[[#This Row],[ Research and Development ]]-Project_Data_NYSE[[#This Row],[ Other Operating Items ]]</f>
        <v>519000000</v>
      </c>
      <c r="L1177" t="s">
        <v>82</v>
      </c>
      <c r="M1177" t="s">
        <v>83</v>
      </c>
      <c r="N1177" s="31">
        <f>Project_Data_NYSE[[#This Row],[Gross Profit]]/Project_Data_NYSE[[#This Row],[ Total Revenue ]]</f>
        <v>0.53493589743589742</v>
      </c>
      <c r="O1177" s="31">
        <f>Project_Data_NYSE[[#This Row],[Operating Profit]]/Project_Data_NYSE[[#This Row],[ Total Revenue ]]</f>
        <v>4.158653846153846E-2</v>
      </c>
    </row>
    <row r="1178" spans="1:15" x14ac:dyDescent="0.2">
      <c r="A1178">
        <v>1224</v>
      </c>
      <c r="B1178" t="s">
        <v>427</v>
      </c>
      <c r="C1178" t="s">
        <v>11</v>
      </c>
      <c r="D1178" s="48">
        <v>41274</v>
      </c>
      <c r="E1178" s="3">
        <v>1355300000</v>
      </c>
      <c r="F1178" s="3">
        <v>90800000</v>
      </c>
      <c r="G1178" s="3">
        <f>Project_Data_NYSE[[#This Row],[ Total Revenue ]]-Project_Data_NYSE[[#This Row],[ Cost of Goods Sold ]]</f>
        <v>1264500000</v>
      </c>
      <c r="H1178" s="3">
        <v>803800000</v>
      </c>
      <c r="I1178" s="3">
        <v>0</v>
      </c>
      <c r="J1178" s="3">
        <v>76000000</v>
      </c>
      <c r="K1178" s="3">
        <f>Project_Data_NYSE[[#This Row],[Gross Profit]]-Project_Data_NYSE[[#This Row],[ Sales, General and Admin. ]]-Project_Data_NYSE[[#This Row],[ Research and Development ]]-Project_Data_NYSE[[#This Row],[ Other Operating Items ]]</f>
        <v>384700000</v>
      </c>
      <c r="L1178" t="s">
        <v>46</v>
      </c>
      <c r="M1178" t="s">
        <v>428</v>
      </c>
      <c r="N1178" s="31">
        <f>Project_Data_NYSE[[#This Row],[Gross Profit]]/Project_Data_NYSE[[#This Row],[ Total Revenue ]]</f>
        <v>0.93300376300450083</v>
      </c>
      <c r="O1178" s="31">
        <f>Project_Data_NYSE[[#This Row],[Operating Profit]]/Project_Data_NYSE[[#This Row],[ Total Revenue ]]</f>
        <v>0.28384859440714233</v>
      </c>
    </row>
    <row r="1179" spans="1:15" x14ac:dyDescent="0.2">
      <c r="A1179">
        <v>1225</v>
      </c>
      <c r="B1179" t="s">
        <v>427</v>
      </c>
      <c r="C1179" t="s">
        <v>14</v>
      </c>
      <c r="D1179" s="48">
        <v>41639</v>
      </c>
      <c r="E1179" s="3">
        <v>1346100000</v>
      </c>
      <c r="F1179" s="3">
        <v>81100000</v>
      </c>
      <c r="G1179" s="3">
        <f>Project_Data_NYSE[[#This Row],[ Total Revenue ]]-Project_Data_NYSE[[#This Row],[ Cost of Goods Sold ]]</f>
        <v>1265000000</v>
      </c>
      <c r="H1179" s="3">
        <v>812800000</v>
      </c>
      <c r="I1179" s="3">
        <v>0</v>
      </c>
      <c r="J1179" s="3">
        <v>69900000</v>
      </c>
      <c r="K1179" s="3">
        <f>Project_Data_NYSE[[#This Row],[Gross Profit]]-Project_Data_NYSE[[#This Row],[ Sales, General and Admin. ]]-Project_Data_NYSE[[#This Row],[ Research and Development ]]-Project_Data_NYSE[[#This Row],[ Other Operating Items ]]</f>
        <v>382300000</v>
      </c>
      <c r="L1179" t="s">
        <v>46</v>
      </c>
      <c r="M1179" t="s">
        <v>428</v>
      </c>
      <c r="N1179" s="31">
        <f>Project_Data_NYSE[[#This Row],[Gross Profit]]/Project_Data_NYSE[[#This Row],[ Total Revenue ]]</f>
        <v>0.93975187578931729</v>
      </c>
      <c r="O1179" s="31">
        <f>Project_Data_NYSE[[#This Row],[Operating Profit]]/Project_Data_NYSE[[#This Row],[ Total Revenue ]]</f>
        <v>0.28400564594012334</v>
      </c>
    </row>
    <row r="1180" spans="1:15" x14ac:dyDescent="0.2">
      <c r="A1180">
        <v>1226</v>
      </c>
      <c r="B1180" t="s">
        <v>427</v>
      </c>
      <c r="C1180" t="s">
        <v>15</v>
      </c>
      <c r="D1180" s="48">
        <v>42004</v>
      </c>
      <c r="E1180" s="3">
        <v>1381400000</v>
      </c>
      <c r="F1180" s="3">
        <v>80900000</v>
      </c>
      <c r="G1180" s="3">
        <f>Project_Data_NYSE[[#This Row],[ Total Revenue ]]-Project_Data_NYSE[[#This Row],[ Cost of Goods Sold ]]</f>
        <v>1300500000</v>
      </c>
      <c r="H1180" s="3">
        <v>816700000</v>
      </c>
      <c r="I1180" s="3">
        <v>0</v>
      </c>
      <c r="J1180" s="3">
        <v>65400000</v>
      </c>
      <c r="K1180" s="3">
        <f>Project_Data_NYSE[[#This Row],[Gross Profit]]-Project_Data_NYSE[[#This Row],[ Sales, General and Admin. ]]-Project_Data_NYSE[[#This Row],[ Research and Development ]]-Project_Data_NYSE[[#This Row],[ Other Operating Items ]]</f>
        <v>418400000</v>
      </c>
      <c r="L1180" t="s">
        <v>46</v>
      </c>
      <c r="M1180" t="s">
        <v>428</v>
      </c>
      <c r="N1180" s="31">
        <f>Project_Data_NYSE[[#This Row],[Gross Profit]]/Project_Data_NYSE[[#This Row],[ Total Revenue ]]</f>
        <v>0.94143622412045747</v>
      </c>
      <c r="O1180" s="31">
        <f>Project_Data_NYSE[[#This Row],[Operating Profit]]/Project_Data_NYSE[[#This Row],[ Total Revenue ]]</f>
        <v>0.30288113508035325</v>
      </c>
    </row>
    <row r="1181" spans="1:15" x14ac:dyDescent="0.2">
      <c r="A1181">
        <v>1227</v>
      </c>
      <c r="B1181" t="s">
        <v>427</v>
      </c>
      <c r="C1181" t="s">
        <v>16</v>
      </c>
      <c r="D1181" s="48">
        <v>42369</v>
      </c>
      <c r="E1181" s="3">
        <v>1421300000</v>
      </c>
      <c r="F1181" s="3">
        <v>95500000</v>
      </c>
      <c r="G1181" s="3">
        <f>Project_Data_NYSE[[#This Row],[ Total Revenue ]]-Project_Data_NYSE[[#This Row],[ Cost of Goods Sold ]]</f>
        <v>1325800000</v>
      </c>
      <c r="H1181" s="3">
        <v>836700000</v>
      </c>
      <c r="I1181" s="3">
        <v>0</v>
      </c>
      <c r="J1181" s="3">
        <v>57300000</v>
      </c>
      <c r="K1181" s="3">
        <f>Project_Data_NYSE[[#This Row],[Gross Profit]]-Project_Data_NYSE[[#This Row],[ Sales, General and Admin. ]]-Project_Data_NYSE[[#This Row],[ Research and Development ]]-Project_Data_NYSE[[#This Row],[ Other Operating Items ]]</f>
        <v>431800000</v>
      </c>
      <c r="L1181" t="s">
        <v>46</v>
      </c>
      <c r="M1181" t="s">
        <v>428</v>
      </c>
      <c r="N1181" s="31">
        <f>Project_Data_NYSE[[#This Row],[Gross Profit]]/Project_Data_NYSE[[#This Row],[ Total Revenue ]]</f>
        <v>0.93280799268275527</v>
      </c>
      <c r="O1181" s="31">
        <f>Project_Data_NYSE[[#This Row],[Operating Profit]]/Project_Data_NYSE[[#This Row],[ Total Revenue ]]</f>
        <v>0.30380637444592978</v>
      </c>
    </row>
    <row r="1182" spans="1:15" x14ac:dyDescent="0.2">
      <c r="A1182">
        <v>1228</v>
      </c>
      <c r="B1182" t="s">
        <v>429</v>
      </c>
      <c r="C1182" t="s">
        <v>11</v>
      </c>
      <c r="D1182" s="48">
        <v>41274</v>
      </c>
      <c r="E1182" s="3">
        <v>3823713000</v>
      </c>
      <c r="F1182" s="3">
        <v>1582398000</v>
      </c>
      <c r="G1182" s="3">
        <f>Project_Data_NYSE[[#This Row],[ Total Revenue ]]-Project_Data_NYSE[[#This Row],[ Cost of Goods Sold ]]</f>
        <v>2241315000</v>
      </c>
      <c r="H1182" s="3">
        <v>1489735000</v>
      </c>
      <c r="I1182" s="3">
        <v>114250000</v>
      </c>
      <c r="J1182" s="3">
        <v>0</v>
      </c>
      <c r="K1182" s="3">
        <f>Project_Data_NYSE[[#This Row],[Gross Profit]]-Project_Data_NYSE[[#This Row],[ Sales, General and Admin. ]]-Project_Data_NYSE[[#This Row],[ Research and Development ]]-Project_Data_NYSE[[#This Row],[ Other Operating Items ]]</f>
        <v>637330000</v>
      </c>
      <c r="L1182" t="s">
        <v>12</v>
      </c>
      <c r="M1182" t="s">
        <v>430</v>
      </c>
      <c r="N1182" s="31">
        <f>Project_Data_NYSE[[#This Row],[Gross Profit]]/Project_Data_NYSE[[#This Row],[ Total Revenue ]]</f>
        <v>0.58616193213245871</v>
      </c>
      <c r="O1182" s="31">
        <f>Project_Data_NYSE[[#This Row],[Operating Profit]]/Project_Data_NYSE[[#This Row],[ Total Revenue ]]</f>
        <v>0.16667830456940674</v>
      </c>
    </row>
    <row r="1183" spans="1:15" x14ac:dyDescent="0.2">
      <c r="A1183">
        <v>1229</v>
      </c>
      <c r="B1183" t="s">
        <v>429</v>
      </c>
      <c r="C1183" t="s">
        <v>14</v>
      </c>
      <c r="D1183" s="48">
        <v>41639</v>
      </c>
      <c r="E1183" s="3">
        <v>3791335000</v>
      </c>
      <c r="F1183" s="3">
        <v>1650622000</v>
      </c>
      <c r="G1183" s="3">
        <f>Project_Data_NYSE[[#This Row],[ Total Revenue ]]-Project_Data_NYSE[[#This Row],[ Cost of Goods Sold ]]</f>
        <v>2140713000</v>
      </c>
      <c r="H1183" s="3">
        <v>1420096000</v>
      </c>
      <c r="I1183" s="3">
        <v>110412000</v>
      </c>
      <c r="J1183" s="3">
        <v>0</v>
      </c>
      <c r="K1183" s="3">
        <f>Project_Data_NYSE[[#This Row],[Gross Profit]]-Project_Data_NYSE[[#This Row],[ Sales, General and Admin. ]]-Project_Data_NYSE[[#This Row],[ Research and Development ]]-Project_Data_NYSE[[#This Row],[ Other Operating Items ]]</f>
        <v>610205000</v>
      </c>
      <c r="L1183" t="s">
        <v>12</v>
      </c>
      <c r="M1183" t="s">
        <v>430</v>
      </c>
      <c r="N1183" s="31">
        <f>Project_Data_NYSE[[#This Row],[Gross Profit]]/Project_Data_NYSE[[#This Row],[ Total Revenue ]]</f>
        <v>0.56463303823059685</v>
      </c>
      <c r="O1183" s="31">
        <f>Project_Data_NYSE[[#This Row],[Operating Profit]]/Project_Data_NYSE[[#This Row],[ Total Revenue ]]</f>
        <v>0.16094726527727041</v>
      </c>
    </row>
    <row r="1184" spans="1:15" x14ac:dyDescent="0.2">
      <c r="A1184">
        <v>1230</v>
      </c>
      <c r="B1184" t="s">
        <v>429</v>
      </c>
      <c r="C1184" t="s">
        <v>15</v>
      </c>
      <c r="D1184" s="48">
        <v>42004</v>
      </c>
      <c r="E1184" s="3">
        <v>3821504000</v>
      </c>
      <c r="F1184" s="3">
        <v>1680791000</v>
      </c>
      <c r="G1184" s="3">
        <f>Project_Data_NYSE[[#This Row],[ Total Revenue ]]-Project_Data_NYSE[[#This Row],[ Cost of Goods Sold ]]</f>
        <v>2140713000</v>
      </c>
      <c r="H1184" s="3">
        <v>1378400000</v>
      </c>
      <c r="I1184" s="3">
        <v>109931000</v>
      </c>
      <c r="J1184" s="3">
        <v>0</v>
      </c>
      <c r="K1184" s="3">
        <f>Project_Data_NYSE[[#This Row],[Gross Profit]]-Project_Data_NYSE[[#This Row],[ Sales, General and Admin. ]]-Project_Data_NYSE[[#This Row],[ Research and Development ]]-Project_Data_NYSE[[#This Row],[ Other Operating Items ]]</f>
        <v>652382000</v>
      </c>
      <c r="L1184" t="s">
        <v>12</v>
      </c>
      <c r="M1184" t="s">
        <v>430</v>
      </c>
      <c r="N1184" s="31">
        <f>Project_Data_NYSE[[#This Row],[Gross Profit]]/Project_Data_NYSE[[#This Row],[ Total Revenue ]]</f>
        <v>0.56017552251678915</v>
      </c>
      <c r="O1184" s="31">
        <f>Project_Data_NYSE[[#This Row],[Operating Profit]]/Project_Data_NYSE[[#This Row],[ Total Revenue ]]</f>
        <v>0.17071341545108942</v>
      </c>
    </row>
    <row r="1185" spans="1:15" x14ac:dyDescent="0.2">
      <c r="A1185">
        <v>1231</v>
      </c>
      <c r="B1185" t="s">
        <v>429</v>
      </c>
      <c r="C1185" t="s">
        <v>16</v>
      </c>
      <c r="D1185" s="48">
        <v>42369</v>
      </c>
      <c r="E1185" s="3">
        <v>3578060000</v>
      </c>
      <c r="F1185" s="3">
        <v>1558591000</v>
      </c>
      <c r="G1185" s="3">
        <f>Project_Data_NYSE[[#This Row],[ Total Revenue ]]-Project_Data_NYSE[[#This Row],[ Cost of Goods Sold ]]</f>
        <v>2019469000</v>
      </c>
      <c r="H1185" s="3">
        <v>1279961000</v>
      </c>
      <c r="I1185" s="3">
        <v>110156000</v>
      </c>
      <c r="J1185" s="3">
        <v>0</v>
      </c>
      <c r="K1185" s="3">
        <f>Project_Data_NYSE[[#This Row],[Gross Profit]]-Project_Data_NYSE[[#This Row],[ Sales, General and Admin. ]]-Project_Data_NYSE[[#This Row],[ Research and Development ]]-Project_Data_NYSE[[#This Row],[ Other Operating Items ]]</f>
        <v>629352000</v>
      </c>
      <c r="L1185" t="s">
        <v>12</v>
      </c>
      <c r="M1185" t="s">
        <v>430</v>
      </c>
      <c r="N1185" s="31">
        <f>Project_Data_NYSE[[#This Row],[Gross Profit]]/Project_Data_NYSE[[#This Row],[ Total Revenue ]]</f>
        <v>0.56440333588592706</v>
      </c>
      <c r="O1185" s="31">
        <f>Project_Data_NYSE[[#This Row],[Operating Profit]]/Project_Data_NYSE[[#This Row],[ Total Revenue ]]</f>
        <v>0.17589196380161318</v>
      </c>
    </row>
    <row r="1186" spans="1:15" x14ac:dyDescent="0.2">
      <c r="A1186">
        <v>1232</v>
      </c>
      <c r="B1186" t="s">
        <v>431</v>
      </c>
      <c r="C1186" t="s">
        <v>11</v>
      </c>
      <c r="D1186" s="48">
        <v>41274</v>
      </c>
      <c r="E1186" s="3">
        <v>16596800000</v>
      </c>
      <c r="F1186" s="3">
        <v>13908300000</v>
      </c>
      <c r="G1186" s="3">
        <f>Project_Data_NYSE[[#This Row],[ Total Revenue ]]-Project_Data_NYSE[[#This Row],[ Cost of Goods Sold ]]</f>
        <v>2688500000</v>
      </c>
      <c r="H1186" s="3">
        <v>571600000</v>
      </c>
      <c r="I1186" s="3">
        <v>279300000</v>
      </c>
      <c r="J1186" s="3">
        <v>517400000</v>
      </c>
      <c r="K1186" s="3">
        <f>Project_Data_NYSE[[#This Row],[Gross Profit]]-Project_Data_NYSE[[#This Row],[ Sales, General and Admin. ]]-Project_Data_NYSE[[#This Row],[ Research and Development ]]-Project_Data_NYSE[[#This Row],[ Other Operating Items ]]</f>
        <v>1320200000</v>
      </c>
      <c r="L1186" t="s">
        <v>12</v>
      </c>
      <c r="M1186" t="s">
        <v>126</v>
      </c>
      <c r="N1186" s="31">
        <f>Project_Data_NYSE[[#This Row],[Gross Profit]]/Project_Data_NYSE[[#This Row],[ Total Revenue ]]</f>
        <v>0.16198905813168804</v>
      </c>
      <c r="O1186" s="31">
        <f>Project_Data_NYSE[[#This Row],[Operating Profit]]/Project_Data_NYSE[[#This Row],[ Total Revenue ]]</f>
        <v>7.9545454545454544E-2</v>
      </c>
    </row>
    <row r="1187" spans="1:15" x14ac:dyDescent="0.2">
      <c r="A1187">
        <v>1233</v>
      </c>
      <c r="B1187" t="s">
        <v>431</v>
      </c>
      <c r="C1187" t="s">
        <v>14</v>
      </c>
      <c r="D1187" s="48">
        <v>41639</v>
      </c>
      <c r="E1187" s="3">
        <v>16661000000</v>
      </c>
      <c r="F1187" s="3">
        <v>13900700000</v>
      </c>
      <c r="G1187" s="3">
        <f>Project_Data_NYSE[[#This Row],[ Total Revenue ]]-Project_Data_NYSE[[#This Row],[ Cost of Goods Sold ]]</f>
        <v>2760300000</v>
      </c>
      <c r="H1187" s="3">
        <v>559500000</v>
      </c>
      <c r="I1187" s="3">
        <v>251400000</v>
      </c>
      <c r="J1187" s="3">
        <v>571700000</v>
      </c>
      <c r="K1187" s="3">
        <f>Project_Data_NYSE[[#This Row],[Gross Profit]]-Project_Data_NYSE[[#This Row],[ Sales, General and Admin. ]]-Project_Data_NYSE[[#This Row],[ Research and Development ]]-Project_Data_NYSE[[#This Row],[ Other Operating Items ]]</f>
        <v>1377700000</v>
      </c>
      <c r="L1187" t="s">
        <v>12</v>
      </c>
      <c r="M1187" t="s">
        <v>126</v>
      </c>
      <c r="N1187" s="31">
        <f>Project_Data_NYSE[[#This Row],[Gross Profit]]/Project_Data_NYSE[[#This Row],[ Total Revenue ]]</f>
        <v>0.16567432927195247</v>
      </c>
      <c r="O1187" s="31">
        <f>Project_Data_NYSE[[#This Row],[Operating Profit]]/Project_Data_NYSE[[#This Row],[ Total Revenue ]]</f>
        <v>8.2690114638977255E-2</v>
      </c>
    </row>
    <row r="1188" spans="1:15" x14ac:dyDescent="0.2">
      <c r="A1188">
        <v>1234</v>
      </c>
      <c r="B1188" t="s">
        <v>431</v>
      </c>
      <c r="C1188" t="s">
        <v>15</v>
      </c>
      <c r="D1188" s="48">
        <v>42004</v>
      </c>
      <c r="E1188" s="3">
        <v>18534400000</v>
      </c>
      <c r="F1188" s="3">
        <v>15481600000</v>
      </c>
      <c r="G1188" s="3">
        <f>Project_Data_NYSE[[#This Row],[ Total Revenue ]]-Project_Data_NYSE[[#This Row],[ Cost of Goods Sold ]]</f>
        <v>3052800000</v>
      </c>
      <c r="H1188" s="3">
        <v>561400000</v>
      </c>
      <c r="I1188" s="3">
        <v>215600000</v>
      </c>
      <c r="J1188" s="3">
        <v>588500000</v>
      </c>
      <c r="K1188" s="3">
        <f>Project_Data_NYSE[[#This Row],[Gross Profit]]-Project_Data_NYSE[[#This Row],[ Sales, General and Admin. ]]-Project_Data_NYSE[[#This Row],[ Research and Development ]]-Project_Data_NYSE[[#This Row],[ Other Operating Items ]]</f>
        <v>1687300000</v>
      </c>
      <c r="L1188" t="s">
        <v>12</v>
      </c>
      <c r="M1188" t="s">
        <v>126</v>
      </c>
      <c r="N1188" s="31">
        <f>Project_Data_NYSE[[#This Row],[Gross Profit]]/Project_Data_NYSE[[#This Row],[ Total Revenue ]]</f>
        <v>0.1647099447513812</v>
      </c>
      <c r="O1188" s="31">
        <f>Project_Data_NYSE[[#This Row],[Operating Profit]]/Project_Data_NYSE[[#This Row],[ Total Revenue ]]</f>
        <v>9.1036127417127077E-2</v>
      </c>
    </row>
    <row r="1189" spans="1:15" x14ac:dyDescent="0.2">
      <c r="A1189">
        <v>1235</v>
      </c>
      <c r="B1189" t="s">
        <v>431</v>
      </c>
      <c r="C1189" t="s">
        <v>16</v>
      </c>
      <c r="D1189" s="48">
        <v>42369</v>
      </c>
      <c r="E1189" s="3">
        <v>18671300000</v>
      </c>
      <c r="F1189" s="3">
        <v>15292100000</v>
      </c>
      <c r="G1189" s="3">
        <f>Project_Data_NYSE[[#This Row],[ Total Revenue ]]-Project_Data_NYSE[[#This Row],[ Cost of Goods Sold ]]</f>
        <v>3379200000</v>
      </c>
      <c r="H1189" s="3">
        <v>541500000</v>
      </c>
      <c r="I1189" s="3">
        <v>239800000</v>
      </c>
      <c r="J1189" s="3">
        <v>583700000</v>
      </c>
      <c r="K1189" s="3">
        <f>Project_Data_NYSE[[#This Row],[Gross Profit]]-Project_Data_NYSE[[#This Row],[ Sales, General and Admin. ]]-Project_Data_NYSE[[#This Row],[ Research and Development ]]-Project_Data_NYSE[[#This Row],[ Other Operating Items ]]</f>
        <v>2014200000</v>
      </c>
      <c r="L1189" t="s">
        <v>12</v>
      </c>
      <c r="M1189" t="s">
        <v>126</v>
      </c>
      <c r="N1189" s="31">
        <f>Project_Data_NYSE[[#This Row],[Gross Profit]]/Project_Data_NYSE[[#This Row],[ Total Revenue ]]</f>
        <v>0.18098364870148304</v>
      </c>
      <c r="O1189" s="31">
        <f>Project_Data_NYSE[[#This Row],[Operating Profit]]/Project_Data_NYSE[[#This Row],[ Total Revenue ]]</f>
        <v>0.10787679486698837</v>
      </c>
    </row>
    <row r="1190" spans="1:15" x14ac:dyDescent="0.2">
      <c r="A1190">
        <v>1236</v>
      </c>
      <c r="B1190" t="s">
        <v>432</v>
      </c>
      <c r="C1190" t="s">
        <v>11</v>
      </c>
      <c r="D1190" s="48">
        <v>41639</v>
      </c>
      <c r="E1190" s="3">
        <v>15598000000</v>
      </c>
      <c r="F1190" s="3">
        <v>11759000000</v>
      </c>
      <c r="G1190" s="3">
        <f>Project_Data_NYSE[[#This Row],[ Total Revenue ]]-Project_Data_NYSE[[#This Row],[ Cost of Goods Sold ]]</f>
        <v>3839000000</v>
      </c>
      <c r="H1190" s="3">
        <v>0</v>
      </c>
      <c r="I1190" s="3">
        <v>0</v>
      </c>
      <c r="J1190" s="3">
        <v>2077000000</v>
      </c>
      <c r="K1190" s="3">
        <f>Project_Data_NYSE[[#This Row],[Gross Profit]]-Project_Data_NYSE[[#This Row],[ Sales, General and Admin. ]]-Project_Data_NYSE[[#This Row],[ Research and Development ]]-Project_Data_NYSE[[#This Row],[ Other Operating Items ]]</f>
        <v>1762000000</v>
      </c>
      <c r="L1190" t="s">
        <v>41</v>
      </c>
      <c r="M1190" t="s">
        <v>42</v>
      </c>
      <c r="N1190" s="31">
        <f>Project_Data_NYSE[[#This Row],[Gross Profit]]/Project_Data_NYSE[[#This Row],[ Total Revenue ]]</f>
        <v>0.24612129760225671</v>
      </c>
      <c r="O1190" s="31">
        <f>Project_Data_NYSE[[#This Row],[Operating Profit]]/Project_Data_NYSE[[#This Row],[ Total Revenue ]]</f>
        <v>0.11296320041030901</v>
      </c>
    </row>
    <row r="1191" spans="1:15" x14ac:dyDescent="0.2">
      <c r="A1191">
        <v>1237</v>
      </c>
      <c r="B1191" t="s">
        <v>432</v>
      </c>
      <c r="C1191" t="s">
        <v>14</v>
      </c>
      <c r="D1191" s="48">
        <v>42004</v>
      </c>
      <c r="E1191" s="3">
        <v>17090000000</v>
      </c>
      <c r="F1191" s="3">
        <v>12207000000</v>
      </c>
      <c r="G1191" s="3">
        <f>Project_Data_NYSE[[#This Row],[ Total Revenue ]]-Project_Data_NYSE[[#This Row],[ Cost of Goods Sold ]]</f>
        <v>4883000000</v>
      </c>
      <c r="H1191" s="3">
        <v>0</v>
      </c>
      <c r="I1191" s="3">
        <v>0</v>
      </c>
      <c r="J1191" s="3">
        <v>2433000000</v>
      </c>
      <c r="K1191" s="3">
        <f>Project_Data_NYSE[[#This Row],[Gross Profit]]-Project_Data_NYSE[[#This Row],[ Sales, General and Admin. ]]-Project_Data_NYSE[[#This Row],[ Research and Development ]]-Project_Data_NYSE[[#This Row],[ Other Operating Items ]]</f>
        <v>2450000000</v>
      </c>
      <c r="L1191" t="s">
        <v>41</v>
      </c>
      <c r="M1191" t="s">
        <v>42</v>
      </c>
      <c r="N1191" s="31">
        <f>Project_Data_NYSE[[#This Row],[Gross Profit]]/Project_Data_NYSE[[#This Row],[ Total Revenue ]]</f>
        <v>0.28572264482153303</v>
      </c>
      <c r="O1191" s="31">
        <f>Project_Data_NYSE[[#This Row],[Operating Profit]]/Project_Data_NYSE[[#This Row],[ Total Revenue ]]</f>
        <v>0.14335868929198362</v>
      </c>
    </row>
    <row r="1192" spans="1:15" x14ac:dyDescent="0.2">
      <c r="A1192">
        <v>1238</v>
      </c>
      <c r="B1192" t="s">
        <v>432</v>
      </c>
      <c r="C1192" t="s">
        <v>15</v>
      </c>
      <c r="D1192" s="48">
        <v>42369</v>
      </c>
      <c r="E1192" s="3">
        <v>16833000000</v>
      </c>
      <c r="F1192" s="3">
        <v>12713000000</v>
      </c>
      <c r="G1192" s="3">
        <f>Project_Data_NYSE[[#This Row],[ Total Revenue ]]-Project_Data_NYSE[[#This Row],[ Cost of Goods Sold ]]</f>
        <v>4120000000</v>
      </c>
      <c r="H1192" s="3">
        <v>0</v>
      </c>
      <c r="I1192" s="3">
        <v>0</v>
      </c>
      <c r="J1192" s="3">
        <v>2612000000</v>
      </c>
      <c r="K1192" s="3">
        <f>Project_Data_NYSE[[#This Row],[Gross Profit]]-Project_Data_NYSE[[#This Row],[ Sales, General and Admin. ]]-Project_Data_NYSE[[#This Row],[ Research and Development ]]-Project_Data_NYSE[[#This Row],[ Other Operating Items ]]</f>
        <v>1508000000</v>
      </c>
      <c r="L1192" t="s">
        <v>41</v>
      </c>
      <c r="M1192" t="s">
        <v>42</v>
      </c>
      <c r="N1192" s="31">
        <f>Project_Data_NYSE[[#This Row],[Gross Profit]]/Project_Data_NYSE[[#This Row],[ Total Revenue ]]</f>
        <v>0.24475732192716687</v>
      </c>
      <c r="O1192" s="31">
        <f>Project_Data_NYSE[[#This Row],[Operating Profit]]/Project_Data_NYSE[[#This Row],[ Total Revenue ]]</f>
        <v>8.958593239470089E-2</v>
      </c>
    </row>
    <row r="1193" spans="1:15" x14ac:dyDescent="0.2">
      <c r="A1193">
        <v>1239</v>
      </c>
      <c r="B1193" t="s">
        <v>432</v>
      </c>
      <c r="C1193" t="s">
        <v>16</v>
      </c>
      <c r="D1193" s="48">
        <v>42735</v>
      </c>
      <c r="E1193" s="3">
        <v>17666000000</v>
      </c>
      <c r="F1193" s="3">
        <v>12734000000</v>
      </c>
      <c r="G1193" s="3">
        <f>Project_Data_NYSE[[#This Row],[ Total Revenue ]]-Project_Data_NYSE[[#This Row],[ Cost of Goods Sold ]]</f>
        <v>4932000000</v>
      </c>
      <c r="H1193" s="3">
        <v>0</v>
      </c>
      <c r="I1193" s="3">
        <v>0</v>
      </c>
      <c r="J1193" s="3">
        <v>2755000000</v>
      </c>
      <c r="K1193" s="3">
        <f>Project_Data_NYSE[[#This Row],[Gross Profit]]-Project_Data_NYSE[[#This Row],[ Sales, General and Admin. ]]-Project_Data_NYSE[[#This Row],[ Research and Development ]]-Project_Data_NYSE[[#This Row],[ Other Operating Items ]]</f>
        <v>2177000000</v>
      </c>
      <c r="L1193" t="s">
        <v>41</v>
      </c>
      <c r="M1193" t="s">
        <v>42</v>
      </c>
      <c r="N1193" s="31">
        <f>Project_Data_NYSE[[#This Row],[Gross Profit]]/Project_Data_NYSE[[#This Row],[ Total Revenue ]]</f>
        <v>0.27918034642816708</v>
      </c>
      <c r="O1193" s="31">
        <f>Project_Data_NYSE[[#This Row],[Operating Profit]]/Project_Data_NYSE[[#This Row],[ Total Revenue ]]</f>
        <v>0.12323106532321974</v>
      </c>
    </row>
    <row r="1194" spans="1:15" x14ac:dyDescent="0.2">
      <c r="A1194">
        <v>1240</v>
      </c>
      <c r="B1194" t="s">
        <v>433</v>
      </c>
      <c r="C1194" t="s">
        <v>11</v>
      </c>
      <c r="D1194" s="48">
        <v>41274</v>
      </c>
      <c r="E1194" s="3">
        <v>5260956000</v>
      </c>
      <c r="F1194" s="3">
        <v>1177275000</v>
      </c>
      <c r="G1194" s="3">
        <f>Project_Data_NYSE[[#This Row],[ Total Revenue ]]-Project_Data_NYSE[[#This Row],[ Cost of Goods Sold ]]</f>
        <v>4083681000</v>
      </c>
      <c r="H1194" s="3">
        <v>2188747000</v>
      </c>
      <c r="I1194" s="3">
        <v>0</v>
      </c>
      <c r="J1194" s="3">
        <v>65141000</v>
      </c>
      <c r="K1194" s="3">
        <f>Project_Data_NYSE[[#This Row],[Gross Profit]]-Project_Data_NYSE[[#This Row],[ Sales, General and Admin. ]]-Project_Data_NYSE[[#This Row],[ Research and Development ]]-Project_Data_NYSE[[#This Row],[ Other Operating Items ]]</f>
        <v>1829793000</v>
      </c>
      <c r="L1194" t="s">
        <v>18</v>
      </c>
      <c r="M1194" t="s">
        <v>76</v>
      </c>
      <c r="N1194" s="31">
        <f>Project_Data_NYSE[[#This Row],[Gross Profit]]/Project_Data_NYSE[[#This Row],[ Total Revenue ]]</f>
        <v>0.77622413112749855</v>
      </c>
      <c r="O1194" s="31">
        <f>Project_Data_NYSE[[#This Row],[Operating Profit]]/Project_Data_NYSE[[#This Row],[ Total Revenue ]]</f>
        <v>0.3478061781927087</v>
      </c>
    </row>
    <row r="1195" spans="1:15" x14ac:dyDescent="0.2">
      <c r="A1195">
        <v>1241</v>
      </c>
      <c r="B1195" t="s">
        <v>433</v>
      </c>
      <c r="C1195" t="s">
        <v>14</v>
      </c>
      <c r="D1195" s="48">
        <v>41639</v>
      </c>
      <c r="E1195" s="3">
        <v>6793306000</v>
      </c>
      <c r="F1195" s="3">
        <v>1077420000</v>
      </c>
      <c r="G1195" s="3">
        <f>Project_Data_NYSE[[#This Row],[ Total Revenue ]]-Project_Data_NYSE[[#This Row],[ Cost of Goods Sold ]]</f>
        <v>5715886000</v>
      </c>
      <c r="H1195" s="3">
        <v>3185497000</v>
      </c>
      <c r="I1195" s="3">
        <v>0</v>
      </c>
      <c r="J1195" s="3">
        <v>117975000</v>
      </c>
      <c r="K1195" s="3">
        <f>Project_Data_NYSE[[#This Row],[Gross Profit]]-Project_Data_NYSE[[#This Row],[ Sales, General and Admin. ]]-Project_Data_NYSE[[#This Row],[ Research and Development ]]-Project_Data_NYSE[[#This Row],[ Other Operating Items ]]</f>
        <v>2412414000</v>
      </c>
      <c r="L1195" t="s">
        <v>18</v>
      </c>
      <c r="M1195" t="s">
        <v>76</v>
      </c>
      <c r="N1195" s="31">
        <f>Project_Data_NYSE[[#This Row],[Gross Profit]]/Project_Data_NYSE[[#This Row],[ Total Revenue ]]</f>
        <v>0.84139975440529247</v>
      </c>
      <c r="O1195" s="31">
        <f>Project_Data_NYSE[[#This Row],[Operating Profit]]/Project_Data_NYSE[[#This Row],[ Total Revenue ]]</f>
        <v>0.35511634541414738</v>
      </c>
    </row>
    <row r="1196" spans="1:15" x14ac:dyDescent="0.2">
      <c r="A1196">
        <v>1242</v>
      </c>
      <c r="B1196" t="s">
        <v>433</v>
      </c>
      <c r="C1196" t="s">
        <v>15</v>
      </c>
      <c r="D1196" s="48">
        <v>42004</v>
      </c>
      <c r="E1196" s="3">
        <v>8441971000</v>
      </c>
      <c r="F1196" s="3">
        <v>857841000</v>
      </c>
      <c r="G1196" s="3">
        <f>Project_Data_NYSE[[#This Row],[ Total Revenue ]]-Project_Data_NYSE[[#This Row],[ Cost of Goods Sold ]]</f>
        <v>7584130000</v>
      </c>
      <c r="H1196" s="3">
        <v>4302998000</v>
      </c>
      <c r="I1196" s="3">
        <v>0</v>
      </c>
      <c r="J1196" s="3">
        <v>207820000</v>
      </c>
      <c r="K1196" s="3">
        <f>Project_Data_NYSE[[#This Row],[Gross Profit]]-Project_Data_NYSE[[#This Row],[ Sales, General and Admin. ]]-Project_Data_NYSE[[#This Row],[ Research and Development ]]-Project_Data_NYSE[[#This Row],[ Other Operating Items ]]</f>
        <v>3073312000</v>
      </c>
      <c r="L1196" t="s">
        <v>18</v>
      </c>
      <c r="M1196" t="s">
        <v>76</v>
      </c>
      <c r="N1196" s="31">
        <f>Project_Data_NYSE[[#This Row],[Gross Profit]]/Project_Data_NYSE[[#This Row],[ Total Revenue ]]</f>
        <v>0.89838380160273001</v>
      </c>
      <c r="O1196" s="31">
        <f>Project_Data_NYSE[[#This Row],[Operating Profit]]/Project_Data_NYSE[[#This Row],[ Total Revenue ]]</f>
        <v>0.36405147565657359</v>
      </c>
    </row>
    <row r="1197" spans="1:15" x14ac:dyDescent="0.2">
      <c r="A1197">
        <v>1243</v>
      </c>
      <c r="B1197" t="s">
        <v>433</v>
      </c>
      <c r="C1197" t="s">
        <v>16</v>
      </c>
      <c r="D1197" s="48">
        <v>42369</v>
      </c>
      <c r="E1197" s="3">
        <v>9223987000</v>
      </c>
      <c r="F1197" s="3">
        <v>632180000</v>
      </c>
      <c r="G1197" s="3">
        <f>Project_Data_NYSE[[#This Row],[ Total Revenue ]]-Project_Data_NYSE[[#This Row],[ Cost of Goods Sold ]]</f>
        <v>8591807000</v>
      </c>
      <c r="H1197" s="3">
        <v>5060406000</v>
      </c>
      <c r="I1197" s="3">
        <v>0</v>
      </c>
      <c r="J1197" s="3">
        <v>272494000</v>
      </c>
      <c r="K1197" s="3">
        <f>Project_Data_NYSE[[#This Row],[Gross Profit]]-Project_Data_NYSE[[#This Row],[ Sales, General and Admin. ]]-Project_Data_NYSE[[#This Row],[ Research and Development ]]-Project_Data_NYSE[[#This Row],[ Other Operating Items ]]</f>
        <v>3258907000</v>
      </c>
      <c r="L1197" t="s">
        <v>18</v>
      </c>
      <c r="M1197" t="s">
        <v>76</v>
      </c>
      <c r="N1197" s="31">
        <f>Project_Data_NYSE[[#This Row],[Gross Profit]]/Project_Data_NYSE[[#This Row],[ Total Revenue ]]</f>
        <v>0.93146347669397189</v>
      </c>
      <c r="O1197" s="31">
        <f>Project_Data_NYSE[[#This Row],[Operating Profit]]/Project_Data_NYSE[[#This Row],[ Total Revenue ]]</f>
        <v>0.3533078483306622</v>
      </c>
    </row>
    <row r="1198" spans="1:15" x14ac:dyDescent="0.2">
      <c r="A1198">
        <v>95</v>
      </c>
      <c r="B1198" t="s">
        <v>64</v>
      </c>
      <c r="C1198" t="s">
        <v>16</v>
      </c>
      <c r="D1198" s="48">
        <v>42735</v>
      </c>
      <c r="E1198" s="3">
        <v>3084000000</v>
      </c>
      <c r="F1198" s="3">
        <v>258000000</v>
      </c>
      <c r="G1198" s="3">
        <f>Project_Data_NYSE[[#This Row],[ Total Revenue ]]-Project_Data_NYSE[[#This Row],[ Cost of Goods Sold ]]</f>
        <v>2826000000</v>
      </c>
      <c r="H1198" s="3">
        <v>990000000</v>
      </c>
      <c r="I1198" s="3">
        <v>757000000</v>
      </c>
      <c r="J1198" s="3">
        <v>322000000</v>
      </c>
      <c r="K1198" s="3">
        <f>Project_Data_NYSE[[#This Row],[Gross Profit]]-Project_Data_NYSE[[#This Row],[ Sales, General and Admin. ]]-Project_Data_NYSE[[#This Row],[ Research and Development ]]-Project_Data_NYSE[[#This Row],[ Other Operating Items ]]</f>
        <v>757000000</v>
      </c>
      <c r="L1198" t="s">
        <v>24</v>
      </c>
      <c r="M1198" t="s">
        <v>65</v>
      </c>
      <c r="N1198" s="31">
        <f>Project_Data_NYSE[[#This Row],[Gross Profit]]/Project_Data_NYSE[[#This Row],[ Total Revenue ]]</f>
        <v>0.91634241245136183</v>
      </c>
      <c r="O1198" s="31">
        <f>Project_Data_NYSE[[#This Row],[Operating Profit]]/Project_Data_NYSE[[#This Row],[ Total Revenue ]]</f>
        <v>0.2454604409857328</v>
      </c>
    </row>
    <row r="1199" spans="1:15" x14ac:dyDescent="0.2">
      <c r="A1199">
        <v>1247</v>
      </c>
      <c r="B1199" t="s">
        <v>434</v>
      </c>
      <c r="C1199" t="s">
        <v>16</v>
      </c>
      <c r="D1199" s="48">
        <v>42490</v>
      </c>
      <c r="E1199" s="3">
        <v>5386703000</v>
      </c>
      <c r="F1199" s="3">
        <v>4063955000</v>
      </c>
      <c r="G1199" s="3">
        <f>Project_Data_NYSE[[#This Row],[ Total Revenue ]]-Project_Data_NYSE[[#This Row],[ Cost of Goods Sold ]]</f>
        <v>1322748000</v>
      </c>
      <c r="H1199" s="3">
        <v>0</v>
      </c>
      <c r="I1199" s="3">
        <v>0</v>
      </c>
      <c r="J1199" s="3">
        <v>0</v>
      </c>
      <c r="K1199" s="3">
        <f>Project_Data_NYSE[[#This Row],[Gross Profit]]-Project_Data_NYSE[[#This Row],[ Sales, General and Admin. ]]-Project_Data_NYSE[[#This Row],[ Research and Development ]]-Project_Data_NYSE[[#This Row],[ Other Operating Items ]]</f>
        <v>1322748000</v>
      </c>
      <c r="L1199" t="s">
        <v>24</v>
      </c>
      <c r="M1199" t="s">
        <v>165</v>
      </c>
      <c r="N1199" s="31">
        <f>Project_Data_NYSE[[#This Row],[Gross Profit]]/Project_Data_NYSE[[#This Row],[ Total Revenue ]]</f>
        <v>0.24555799716449933</v>
      </c>
      <c r="O1199" s="31">
        <f>Project_Data_NYSE[[#This Row],[Operating Profit]]/Project_Data_NYSE[[#This Row],[ Total Revenue ]]</f>
        <v>0.24555799716449933</v>
      </c>
    </row>
    <row r="1200" spans="1:15" x14ac:dyDescent="0.2">
      <c r="A1200">
        <v>212</v>
      </c>
      <c r="B1200" t="s">
        <v>110</v>
      </c>
      <c r="C1200" t="s">
        <v>15</v>
      </c>
      <c r="D1200" s="48">
        <v>42369</v>
      </c>
      <c r="E1200" s="3">
        <v>3416000000</v>
      </c>
      <c r="F1200" s="3">
        <v>1301200000</v>
      </c>
      <c r="G1200" s="3">
        <f>Project_Data_NYSE[[#This Row],[ Total Revenue ]]-Project_Data_NYSE[[#This Row],[ Cost of Goods Sold ]]</f>
        <v>2114800000</v>
      </c>
      <c r="H1200" s="3">
        <v>1012100000</v>
      </c>
      <c r="I1200" s="3">
        <v>259200000</v>
      </c>
      <c r="J1200" s="3">
        <v>0</v>
      </c>
      <c r="K1200" s="3">
        <f>Project_Data_NYSE[[#This Row],[Gross Profit]]-Project_Data_NYSE[[#This Row],[ Sales, General and Admin. ]]-Project_Data_NYSE[[#This Row],[ Research and Development ]]-Project_Data_NYSE[[#This Row],[ Other Operating Items ]]</f>
        <v>843500000</v>
      </c>
      <c r="L1200" t="s">
        <v>24</v>
      </c>
      <c r="M1200" t="s">
        <v>29</v>
      </c>
      <c r="N1200" s="31">
        <f>Project_Data_NYSE[[#This Row],[Gross Profit]]/Project_Data_NYSE[[#This Row],[ Total Revenue ]]</f>
        <v>0.61908665105386418</v>
      </c>
      <c r="O1200" s="31">
        <f>Project_Data_NYSE[[#This Row],[Operating Profit]]/Project_Data_NYSE[[#This Row],[ Total Revenue ]]</f>
        <v>0.24692622950819673</v>
      </c>
    </row>
    <row r="1201" spans="1:15" x14ac:dyDescent="0.2">
      <c r="A1201">
        <v>967</v>
      </c>
      <c r="B1201" t="s">
        <v>356</v>
      </c>
      <c r="C1201" t="s">
        <v>11</v>
      </c>
      <c r="D1201" s="48">
        <v>41274</v>
      </c>
      <c r="E1201" s="3">
        <v>22603400000</v>
      </c>
      <c r="F1201" s="3">
        <v>4796500000</v>
      </c>
      <c r="G1201" s="3">
        <f>Project_Data_NYSE[[#This Row],[ Total Revenue ]]-Project_Data_NYSE[[#This Row],[ Cost of Goods Sold ]]</f>
        <v>17806900000</v>
      </c>
      <c r="H1201" s="3">
        <v>6839500000</v>
      </c>
      <c r="I1201" s="3">
        <v>5278100000</v>
      </c>
      <c r="J1201" s="3">
        <v>0</v>
      </c>
      <c r="K1201" s="3">
        <f>Project_Data_NYSE[[#This Row],[Gross Profit]]-Project_Data_NYSE[[#This Row],[ Sales, General and Admin. ]]-Project_Data_NYSE[[#This Row],[ Research and Development ]]-Project_Data_NYSE[[#This Row],[ Other Operating Items ]]</f>
        <v>5689300000</v>
      </c>
      <c r="L1201" t="s">
        <v>24</v>
      </c>
      <c r="M1201" t="s">
        <v>25</v>
      </c>
      <c r="N1201" s="31">
        <f>Project_Data_NYSE[[#This Row],[Gross Profit]]/Project_Data_NYSE[[#This Row],[ Total Revenue ]]</f>
        <v>0.78779741100896328</v>
      </c>
      <c r="O1201" s="31">
        <f>Project_Data_NYSE[[#This Row],[Operating Profit]]/Project_Data_NYSE[[#This Row],[ Total Revenue ]]</f>
        <v>0.25170107152021376</v>
      </c>
    </row>
    <row r="1202" spans="1:15" x14ac:dyDescent="0.2">
      <c r="A1202">
        <v>1248</v>
      </c>
      <c r="B1202" t="s">
        <v>435</v>
      </c>
      <c r="C1202" t="s">
        <v>11</v>
      </c>
      <c r="D1202" s="48">
        <v>41274</v>
      </c>
      <c r="E1202" s="3">
        <v>9781000000</v>
      </c>
      <c r="F1202" s="3">
        <v>6351000000</v>
      </c>
      <c r="G1202" s="3">
        <f>Project_Data_NYSE[[#This Row],[ Total Revenue ]]-Project_Data_NYSE[[#This Row],[ Cost of Goods Sold ]]</f>
        <v>3430000000</v>
      </c>
      <c r="H1202" s="3">
        <v>98000000</v>
      </c>
      <c r="I1202" s="3">
        <v>0</v>
      </c>
      <c r="J1202" s="3">
        <v>1054000000</v>
      </c>
      <c r="K1202" s="3">
        <f>Project_Data_NYSE[[#This Row],[Gross Profit]]-Project_Data_NYSE[[#This Row],[ Sales, General and Admin. ]]-Project_Data_NYSE[[#This Row],[ Research and Development ]]-Project_Data_NYSE[[#This Row],[ Other Operating Items ]]</f>
        <v>2278000000</v>
      </c>
      <c r="L1202" t="s">
        <v>41</v>
      </c>
      <c r="M1202" t="s">
        <v>44</v>
      </c>
      <c r="N1202" s="31">
        <f>Project_Data_NYSE[[#This Row],[Gross Profit]]/Project_Data_NYSE[[#This Row],[ Total Revenue ]]</f>
        <v>0.35067988958184237</v>
      </c>
      <c r="O1202" s="31">
        <f>Project_Data_NYSE[[#This Row],[Operating Profit]]/Project_Data_NYSE[[#This Row],[ Total Revenue ]]</f>
        <v>0.2329005214190778</v>
      </c>
    </row>
    <row r="1203" spans="1:15" x14ac:dyDescent="0.2">
      <c r="A1203">
        <v>1249</v>
      </c>
      <c r="B1203" t="s">
        <v>435</v>
      </c>
      <c r="C1203" t="s">
        <v>14</v>
      </c>
      <c r="D1203" s="48">
        <v>41639</v>
      </c>
      <c r="E1203" s="3">
        <v>9968000000</v>
      </c>
      <c r="F1203" s="3">
        <v>6423000000</v>
      </c>
      <c r="G1203" s="3">
        <f>Project_Data_NYSE[[#This Row],[ Total Revenue ]]-Project_Data_NYSE[[#This Row],[ Cost of Goods Sold ]]</f>
        <v>3545000000</v>
      </c>
      <c r="H1203" s="3">
        <v>68000000</v>
      </c>
      <c r="I1203" s="3">
        <v>0</v>
      </c>
      <c r="J1203" s="3">
        <v>1178000000</v>
      </c>
      <c r="K1203" s="3">
        <f>Project_Data_NYSE[[#This Row],[Gross Profit]]-Project_Data_NYSE[[#This Row],[ Sales, General and Admin. ]]-Project_Data_NYSE[[#This Row],[ Research and Development ]]-Project_Data_NYSE[[#This Row],[ Other Operating Items ]]</f>
        <v>2299000000</v>
      </c>
      <c r="L1203" t="s">
        <v>41</v>
      </c>
      <c r="M1203" t="s">
        <v>44</v>
      </c>
      <c r="N1203" s="31">
        <f>Project_Data_NYSE[[#This Row],[Gross Profit]]/Project_Data_NYSE[[#This Row],[ Total Revenue ]]</f>
        <v>0.35563804173354735</v>
      </c>
      <c r="O1203" s="31">
        <f>Project_Data_NYSE[[#This Row],[Operating Profit]]/Project_Data_NYSE[[#This Row],[ Total Revenue ]]</f>
        <v>0.23063804173354735</v>
      </c>
    </row>
    <row r="1204" spans="1:15" x14ac:dyDescent="0.2">
      <c r="A1204">
        <v>1250</v>
      </c>
      <c r="B1204" t="s">
        <v>435</v>
      </c>
      <c r="C1204" t="s">
        <v>15</v>
      </c>
      <c r="D1204" s="48">
        <v>42004</v>
      </c>
      <c r="E1204" s="3">
        <v>10886000000</v>
      </c>
      <c r="F1204" s="3">
        <v>7036000000</v>
      </c>
      <c r="G1204" s="3">
        <f>Project_Data_NYSE[[#This Row],[ Total Revenue ]]-Project_Data_NYSE[[#This Row],[ Cost of Goods Sold ]]</f>
        <v>3850000000</v>
      </c>
      <c r="H1204" s="3">
        <v>0</v>
      </c>
      <c r="I1204" s="3">
        <v>0</v>
      </c>
      <c r="J1204" s="3">
        <v>1227000000</v>
      </c>
      <c r="K1204" s="3">
        <f>Project_Data_NYSE[[#This Row],[Gross Profit]]-Project_Data_NYSE[[#This Row],[ Sales, General and Admin. ]]-Project_Data_NYSE[[#This Row],[ Research and Development ]]-Project_Data_NYSE[[#This Row],[ Other Operating Items ]]</f>
        <v>2623000000</v>
      </c>
      <c r="L1204" t="s">
        <v>41</v>
      </c>
      <c r="M1204" t="s">
        <v>44</v>
      </c>
      <c r="N1204" s="31">
        <f>Project_Data_NYSE[[#This Row],[Gross Profit]]/Project_Data_NYSE[[#This Row],[ Total Revenue ]]</f>
        <v>0.35366525812970789</v>
      </c>
      <c r="O1204" s="31">
        <f>Project_Data_NYSE[[#This Row],[Operating Profit]]/Project_Data_NYSE[[#This Row],[ Total Revenue ]]</f>
        <v>0.24095168105823994</v>
      </c>
    </row>
    <row r="1205" spans="1:15" x14ac:dyDescent="0.2">
      <c r="A1205">
        <v>1251</v>
      </c>
      <c r="B1205" t="s">
        <v>435</v>
      </c>
      <c r="C1205" t="s">
        <v>16</v>
      </c>
      <c r="D1205" s="48">
        <v>42369</v>
      </c>
      <c r="E1205" s="3">
        <v>10415000000</v>
      </c>
      <c r="F1205" s="3">
        <v>6239000000</v>
      </c>
      <c r="G1205" s="3">
        <f>Project_Data_NYSE[[#This Row],[ Total Revenue ]]-Project_Data_NYSE[[#This Row],[ Cost of Goods Sold ]]</f>
        <v>4176000000</v>
      </c>
      <c r="H1205" s="3">
        <v>0</v>
      </c>
      <c r="I1205" s="3">
        <v>0</v>
      </c>
      <c r="J1205" s="3">
        <v>1214000000</v>
      </c>
      <c r="K1205" s="3">
        <f>Project_Data_NYSE[[#This Row],[Gross Profit]]-Project_Data_NYSE[[#This Row],[ Sales, General and Admin. ]]-Project_Data_NYSE[[#This Row],[ Research and Development ]]-Project_Data_NYSE[[#This Row],[ Other Operating Items ]]</f>
        <v>2962000000</v>
      </c>
      <c r="L1205" t="s">
        <v>41</v>
      </c>
      <c r="M1205" t="s">
        <v>44</v>
      </c>
      <c r="N1205" s="31">
        <f>Project_Data_NYSE[[#This Row],[Gross Profit]]/Project_Data_NYSE[[#This Row],[ Total Revenue ]]</f>
        <v>0.40096015362457993</v>
      </c>
      <c r="O1205" s="31">
        <f>Project_Data_NYSE[[#This Row],[Operating Profit]]/Project_Data_NYSE[[#This Row],[ Total Revenue ]]</f>
        <v>0.28439750360057608</v>
      </c>
    </row>
    <row r="1206" spans="1:15" x14ac:dyDescent="0.2">
      <c r="A1206">
        <v>1252</v>
      </c>
      <c r="B1206" t="s">
        <v>436</v>
      </c>
      <c r="C1206" t="s">
        <v>11</v>
      </c>
      <c r="D1206" s="48">
        <v>41636</v>
      </c>
      <c r="E1206" s="3">
        <v>66415000000</v>
      </c>
      <c r="F1206" s="3">
        <v>31243000000</v>
      </c>
      <c r="G1206" s="3">
        <f>Project_Data_NYSE[[#This Row],[ Total Revenue ]]-Project_Data_NYSE[[#This Row],[ Cost of Goods Sold ]]</f>
        <v>35172000000</v>
      </c>
      <c r="H1206" s="3">
        <v>25357000000</v>
      </c>
      <c r="I1206" s="3">
        <v>0</v>
      </c>
      <c r="J1206" s="3">
        <v>110000000</v>
      </c>
      <c r="K1206" s="3">
        <f>Project_Data_NYSE[[#This Row],[Gross Profit]]-Project_Data_NYSE[[#This Row],[ Sales, General and Admin. ]]-Project_Data_NYSE[[#This Row],[ Research and Development ]]-Project_Data_NYSE[[#This Row],[ Other Operating Items ]]</f>
        <v>9705000000</v>
      </c>
      <c r="L1206" t="s">
        <v>35</v>
      </c>
      <c r="M1206" t="s">
        <v>213</v>
      </c>
      <c r="N1206" s="31">
        <f>Project_Data_NYSE[[#This Row],[Gross Profit]]/Project_Data_NYSE[[#This Row],[ Total Revenue ]]</f>
        <v>0.52957916133403593</v>
      </c>
      <c r="O1206" s="31">
        <f>Project_Data_NYSE[[#This Row],[Operating Profit]]/Project_Data_NYSE[[#This Row],[ Total Revenue ]]</f>
        <v>0.14612662802077844</v>
      </c>
    </row>
    <row r="1207" spans="1:15" x14ac:dyDescent="0.2">
      <c r="A1207">
        <v>1253</v>
      </c>
      <c r="B1207" t="s">
        <v>436</v>
      </c>
      <c r="C1207" t="s">
        <v>14</v>
      </c>
      <c r="D1207" s="48">
        <v>42000</v>
      </c>
      <c r="E1207" s="3">
        <v>66683000000</v>
      </c>
      <c r="F1207" s="3">
        <v>31238000000</v>
      </c>
      <c r="G1207" s="3">
        <f>Project_Data_NYSE[[#This Row],[ Total Revenue ]]-Project_Data_NYSE[[#This Row],[ Cost of Goods Sold ]]</f>
        <v>35445000000</v>
      </c>
      <c r="H1207" s="3">
        <v>25772000000</v>
      </c>
      <c r="I1207" s="3">
        <v>0</v>
      </c>
      <c r="J1207" s="3">
        <v>92000000</v>
      </c>
      <c r="K1207" s="3">
        <f>Project_Data_NYSE[[#This Row],[Gross Profit]]-Project_Data_NYSE[[#This Row],[ Sales, General and Admin. ]]-Project_Data_NYSE[[#This Row],[ Research and Development ]]-Project_Data_NYSE[[#This Row],[ Other Operating Items ]]</f>
        <v>9581000000</v>
      </c>
      <c r="L1207" t="s">
        <v>35</v>
      </c>
      <c r="M1207" t="s">
        <v>213</v>
      </c>
      <c r="N1207" s="31">
        <f>Project_Data_NYSE[[#This Row],[Gross Profit]]/Project_Data_NYSE[[#This Row],[ Total Revenue ]]</f>
        <v>0.5315447715309749</v>
      </c>
      <c r="O1207" s="31">
        <f>Project_Data_NYSE[[#This Row],[Operating Profit]]/Project_Data_NYSE[[#This Row],[ Total Revenue ]]</f>
        <v>0.14367979844937989</v>
      </c>
    </row>
    <row r="1208" spans="1:15" x14ac:dyDescent="0.2">
      <c r="A1208">
        <v>1254</v>
      </c>
      <c r="B1208" t="s">
        <v>436</v>
      </c>
      <c r="C1208" t="s">
        <v>15</v>
      </c>
      <c r="D1208" s="48">
        <v>42364</v>
      </c>
      <c r="E1208" s="3">
        <v>63056000000</v>
      </c>
      <c r="F1208" s="3">
        <v>28731000000</v>
      </c>
      <c r="G1208" s="3">
        <f>Project_Data_NYSE[[#This Row],[ Total Revenue ]]-Project_Data_NYSE[[#This Row],[ Cost of Goods Sold ]]</f>
        <v>34325000000</v>
      </c>
      <c r="H1208" s="3">
        <v>24538000000</v>
      </c>
      <c r="I1208" s="3">
        <v>0</v>
      </c>
      <c r="J1208" s="3">
        <v>75000000</v>
      </c>
      <c r="K1208" s="3">
        <f>Project_Data_NYSE[[#This Row],[Gross Profit]]-Project_Data_NYSE[[#This Row],[ Sales, General and Admin. ]]-Project_Data_NYSE[[#This Row],[ Research and Development ]]-Project_Data_NYSE[[#This Row],[ Other Operating Items ]]</f>
        <v>9712000000</v>
      </c>
      <c r="L1208" t="s">
        <v>35</v>
      </c>
      <c r="M1208" t="s">
        <v>213</v>
      </c>
      <c r="N1208" s="31">
        <f>Project_Data_NYSE[[#This Row],[Gross Profit]]/Project_Data_NYSE[[#This Row],[ Total Revenue ]]</f>
        <v>0.54435739659984772</v>
      </c>
      <c r="O1208" s="31">
        <f>Project_Data_NYSE[[#This Row],[Operating Profit]]/Project_Data_NYSE[[#This Row],[ Total Revenue ]]</f>
        <v>0.15402182187262117</v>
      </c>
    </row>
    <row r="1209" spans="1:15" x14ac:dyDescent="0.2">
      <c r="A1209">
        <v>1255</v>
      </c>
      <c r="B1209" t="s">
        <v>436</v>
      </c>
      <c r="C1209" t="s">
        <v>16</v>
      </c>
      <c r="D1209" s="48">
        <v>42735</v>
      </c>
      <c r="E1209" s="3">
        <v>62799000000</v>
      </c>
      <c r="F1209" s="3">
        <v>28209000000</v>
      </c>
      <c r="G1209" s="3">
        <f>Project_Data_NYSE[[#This Row],[ Total Revenue ]]-Project_Data_NYSE[[#This Row],[ Cost of Goods Sold ]]</f>
        <v>34590000000</v>
      </c>
      <c r="H1209" s="3">
        <v>24735000000</v>
      </c>
      <c r="I1209" s="3">
        <v>0</v>
      </c>
      <c r="J1209" s="3">
        <v>70000000</v>
      </c>
      <c r="K1209" s="3">
        <f>Project_Data_NYSE[[#This Row],[Gross Profit]]-Project_Data_NYSE[[#This Row],[ Sales, General and Admin. ]]-Project_Data_NYSE[[#This Row],[ Research and Development ]]-Project_Data_NYSE[[#This Row],[ Other Operating Items ]]</f>
        <v>9785000000</v>
      </c>
      <c r="L1209" t="s">
        <v>35</v>
      </c>
      <c r="M1209" t="s">
        <v>213</v>
      </c>
      <c r="N1209" s="31">
        <f>Project_Data_NYSE[[#This Row],[Gross Profit]]/Project_Data_NYSE[[#This Row],[ Total Revenue ]]</f>
        <v>0.55080494912339373</v>
      </c>
      <c r="O1209" s="31">
        <f>Project_Data_NYSE[[#This Row],[Operating Profit]]/Project_Data_NYSE[[#This Row],[ Total Revenue ]]</f>
        <v>0.1558145830347617</v>
      </c>
    </row>
    <row r="1210" spans="1:15" x14ac:dyDescent="0.2">
      <c r="A1210">
        <v>213</v>
      </c>
      <c r="B1210" t="s">
        <v>110</v>
      </c>
      <c r="C1210" t="s">
        <v>16</v>
      </c>
      <c r="D1210" s="48">
        <v>42735</v>
      </c>
      <c r="E1210" s="3">
        <v>3714000000</v>
      </c>
      <c r="F1210" s="3">
        <v>1371700000</v>
      </c>
      <c r="G1210" s="3">
        <f>Project_Data_NYSE[[#This Row],[ Total Revenue ]]-Project_Data_NYSE[[#This Row],[ Cost of Goods Sold ]]</f>
        <v>2342300000</v>
      </c>
      <c r="H1210" s="3">
        <v>1101900000</v>
      </c>
      <c r="I1210" s="3">
        <v>292800000</v>
      </c>
      <c r="J1210" s="3">
        <v>0</v>
      </c>
      <c r="K1210" s="3">
        <f>Project_Data_NYSE[[#This Row],[Gross Profit]]-Project_Data_NYSE[[#This Row],[ Sales, General and Admin. ]]-Project_Data_NYSE[[#This Row],[ Research and Development ]]-Project_Data_NYSE[[#This Row],[ Other Operating Items ]]</f>
        <v>947600000</v>
      </c>
      <c r="L1210" t="s">
        <v>24</v>
      </c>
      <c r="M1210" t="s">
        <v>29</v>
      </c>
      <c r="N1210" s="31">
        <f>Project_Data_NYSE[[#This Row],[Gross Profit]]/Project_Data_NYSE[[#This Row],[ Total Revenue ]]</f>
        <v>0.63066774367259015</v>
      </c>
      <c r="O1210" s="31">
        <f>Project_Data_NYSE[[#This Row],[Operating Profit]]/Project_Data_NYSE[[#This Row],[ Total Revenue ]]</f>
        <v>0.25514270328486804</v>
      </c>
    </row>
    <row r="1211" spans="1:15" x14ac:dyDescent="0.2">
      <c r="A1211">
        <v>860</v>
      </c>
      <c r="B1211" t="s">
        <v>324</v>
      </c>
      <c r="C1211" t="s">
        <v>14</v>
      </c>
      <c r="D1211" s="48">
        <v>42004</v>
      </c>
      <c r="E1211" s="3">
        <v>2131700000</v>
      </c>
      <c r="F1211" s="3">
        <v>717900000</v>
      </c>
      <c r="G1211" s="3">
        <f>Project_Data_NYSE[[#This Row],[ Total Revenue ]]-Project_Data_NYSE[[#This Row],[ Cost of Goods Sold ]]</f>
        <v>1413800000</v>
      </c>
      <c r="H1211" s="3">
        <v>691000000</v>
      </c>
      <c r="I1211" s="3">
        <v>178000000</v>
      </c>
      <c r="J1211" s="3">
        <v>0</v>
      </c>
      <c r="K1211" s="3">
        <f>Project_Data_NYSE[[#This Row],[Gross Profit]]-Project_Data_NYSE[[#This Row],[ Sales, General and Admin. ]]-Project_Data_NYSE[[#This Row],[ Research and Development ]]-Project_Data_NYSE[[#This Row],[ Other Operating Items ]]</f>
        <v>544800000</v>
      </c>
      <c r="L1211" t="s">
        <v>24</v>
      </c>
      <c r="M1211" t="s">
        <v>29</v>
      </c>
      <c r="N1211" s="31">
        <f>Project_Data_NYSE[[#This Row],[Gross Profit]]/Project_Data_NYSE[[#This Row],[ Total Revenue ]]</f>
        <v>0.66322653281418587</v>
      </c>
      <c r="O1211" s="31">
        <f>Project_Data_NYSE[[#This Row],[Operating Profit]]/Project_Data_NYSE[[#This Row],[ Total Revenue ]]</f>
        <v>0.25557067129521038</v>
      </c>
    </row>
    <row r="1212" spans="1:15" x14ac:dyDescent="0.2">
      <c r="A1212">
        <v>591</v>
      </c>
      <c r="B1212" t="s">
        <v>238</v>
      </c>
      <c r="C1212" t="s">
        <v>16</v>
      </c>
      <c r="D1212" s="48">
        <v>42369</v>
      </c>
      <c r="E1212" s="3">
        <v>2493700000</v>
      </c>
      <c r="F1212" s="3">
        <v>617200000</v>
      </c>
      <c r="G1212" s="3">
        <f>Project_Data_NYSE[[#This Row],[ Total Revenue ]]-Project_Data_NYSE[[#This Row],[ Cost of Goods Sold ]]</f>
        <v>1876500000</v>
      </c>
      <c r="H1212" s="3">
        <v>850700000</v>
      </c>
      <c r="I1212" s="3">
        <v>383100000</v>
      </c>
      <c r="J1212" s="3">
        <v>0</v>
      </c>
      <c r="K1212" s="3">
        <f>Project_Data_NYSE[[#This Row],[Gross Profit]]-Project_Data_NYSE[[#This Row],[ Sales, General and Admin. ]]-Project_Data_NYSE[[#This Row],[ Research and Development ]]-Project_Data_NYSE[[#This Row],[ Other Operating Items ]]</f>
        <v>642700000</v>
      </c>
      <c r="L1212" t="s">
        <v>24</v>
      </c>
      <c r="M1212" t="s">
        <v>29</v>
      </c>
      <c r="N1212" s="31">
        <f>Project_Data_NYSE[[#This Row],[Gross Profit]]/Project_Data_NYSE[[#This Row],[ Total Revenue ]]</f>
        <v>0.75249629065244417</v>
      </c>
      <c r="O1212" s="31">
        <f>Project_Data_NYSE[[#This Row],[Operating Profit]]/Project_Data_NYSE[[#This Row],[ Total Revenue ]]</f>
        <v>0.25772947828527892</v>
      </c>
    </row>
    <row r="1213" spans="1:15" x14ac:dyDescent="0.2">
      <c r="A1213">
        <v>968</v>
      </c>
      <c r="B1213" t="s">
        <v>356</v>
      </c>
      <c r="C1213" t="s">
        <v>14</v>
      </c>
      <c r="D1213" s="48">
        <v>41639</v>
      </c>
      <c r="E1213" s="3">
        <v>23113100000</v>
      </c>
      <c r="F1213" s="3">
        <v>4908100000</v>
      </c>
      <c r="G1213" s="3">
        <f>Project_Data_NYSE[[#This Row],[ Total Revenue ]]-Project_Data_NYSE[[#This Row],[ Cost of Goods Sold ]]</f>
        <v>18205000000</v>
      </c>
      <c r="H1213" s="3">
        <v>6606700000</v>
      </c>
      <c r="I1213" s="3">
        <v>5531300000</v>
      </c>
      <c r="J1213" s="3">
        <v>0</v>
      </c>
      <c r="K1213" s="3">
        <f>Project_Data_NYSE[[#This Row],[Gross Profit]]-Project_Data_NYSE[[#This Row],[ Sales, General and Admin. ]]-Project_Data_NYSE[[#This Row],[ Research and Development ]]-Project_Data_NYSE[[#This Row],[ Other Operating Items ]]</f>
        <v>6067000000</v>
      </c>
      <c r="L1213" t="s">
        <v>24</v>
      </c>
      <c r="M1213" t="s">
        <v>25</v>
      </c>
      <c r="N1213" s="31">
        <f>Project_Data_NYSE[[#This Row],[Gross Profit]]/Project_Data_NYSE[[#This Row],[ Total Revenue ]]</f>
        <v>0.78764856293617036</v>
      </c>
      <c r="O1213" s="31">
        <f>Project_Data_NYSE[[#This Row],[Operating Profit]]/Project_Data_NYSE[[#This Row],[ Total Revenue ]]</f>
        <v>0.26249183363547079</v>
      </c>
    </row>
    <row r="1214" spans="1:15" x14ac:dyDescent="0.2">
      <c r="A1214">
        <v>1260</v>
      </c>
      <c r="B1214" t="s">
        <v>438</v>
      </c>
      <c r="C1214" t="s">
        <v>11</v>
      </c>
      <c r="D1214" s="48">
        <v>41639</v>
      </c>
      <c r="E1214" s="3">
        <v>9289500000</v>
      </c>
      <c r="F1214" s="3">
        <v>4683600000</v>
      </c>
      <c r="G1214" s="3">
        <f>Project_Data_NYSE[[#This Row],[ Total Revenue ]]-Project_Data_NYSE[[#This Row],[ Cost of Goods Sold ]]</f>
        <v>4605900000</v>
      </c>
      <c r="H1214" s="3">
        <v>189000000</v>
      </c>
      <c r="I1214" s="3">
        <v>0</v>
      </c>
      <c r="J1214" s="3">
        <v>3292900000</v>
      </c>
      <c r="K1214" s="3">
        <f>Project_Data_NYSE[[#This Row],[Gross Profit]]-Project_Data_NYSE[[#This Row],[ Sales, General and Admin. ]]-Project_Data_NYSE[[#This Row],[ Research and Development ]]-Project_Data_NYSE[[#This Row],[ Other Operating Items ]]</f>
        <v>1124000000</v>
      </c>
      <c r="L1214" t="s">
        <v>46</v>
      </c>
      <c r="M1214" t="s">
        <v>378</v>
      </c>
      <c r="N1214" s="31">
        <f>Project_Data_NYSE[[#This Row],[Gross Profit]]/Project_Data_NYSE[[#This Row],[ Total Revenue ]]</f>
        <v>0.49581785887292101</v>
      </c>
      <c r="O1214" s="31">
        <f>Project_Data_NYSE[[#This Row],[Operating Profit]]/Project_Data_NYSE[[#This Row],[ Total Revenue ]]</f>
        <v>0.12099682437160235</v>
      </c>
    </row>
    <row r="1215" spans="1:15" x14ac:dyDescent="0.2">
      <c r="A1215">
        <v>1261</v>
      </c>
      <c r="B1215" t="s">
        <v>438</v>
      </c>
      <c r="C1215" t="s">
        <v>14</v>
      </c>
      <c r="D1215" s="48">
        <v>42004</v>
      </c>
      <c r="E1215" s="3">
        <v>10477600000</v>
      </c>
      <c r="F1215" s="3">
        <v>5231000000</v>
      </c>
      <c r="G1215" s="3">
        <f>Project_Data_NYSE[[#This Row],[ Total Revenue ]]-Project_Data_NYSE[[#This Row],[ Cost of Goods Sold ]]</f>
        <v>5246600000</v>
      </c>
      <c r="H1215" s="3">
        <v>177400000</v>
      </c>
      <c r="I1215" s="3">
        <v>0</v>
      </c>
      <c r="J1215" s="3">
        <v>3574300000</v>
      </c>
      <c r="K1215" s="3">
        <f>Project_Data_NYSE[[#This Row],[Gross Profit]]-Project_Data_NYSE[[#This Row],[ Sales, General and Admin. ]]-Project_Data_NYSE[[#This Row],[ Research and Development ]]-Project_Data_NYSE[[#This Row],[ Other Operating Items ]]</f>
        <v>1494900000</v>
      </c>
      <c r="L1215" t="s">
        <v>46</v>
      </c>
      <c r="M1215" t="s">
        <v>378</v>
      </c>
      <c r="N1215" s="31">
        <f>Project_Data_NYSE[[#This Row],[Gross Profit]]/Project_Data_NYSE[[#This Row],[ Total Revenue ]]</f>
        <v>0.50074444529281514</v>
      </c>
      <c r="O1215" s="31">
        <f>Project_Data_NYSE[[#This Row],[Operating Profit]]/Project_Data_NYSE[[#This Row],[ Total Revenue ]]</f>
        <v>0.14267580361914942</v>
      </c>
    </row>
    <row r="1216" spans="1:15" x14ac:dyDescent="0.2">
      <c r="A1216">
        <v>1262</v>
      </c>
      <c r="B1216" t="s">
        <v>438</v>
      </c>
      <c r="C1216" t="s">
        <v>15</v>
      </c>
      <c r="D1216" s="48">
        <v>42369</v>
      </c>
      <c r="E1216" s="3">
        <v>11964400000</v>
      </c>
      <c r="F1216" s="3">
        <v>6697700000</v>
      </c>
      <c r="G1216" s="3">
        <f>Project_Data_NYSE[[#This Row],[ Total Revenue ]]-Project_Data_NYSE[[#This Row],[ Cost of Goods Sold ]]</f>
        <v>5266700000</v>
      </c>
      <c r="H1216" s="3">
        <v>163500000</v>
      </c>
      <c r="I1216" s="3">
        <v>0</v>
      </c>
      <c r="J1216" s="3">
        <v>3672400000</v>
      </c>
      <c r="K1216" s="3">
        <f>Project_Data_NYSE[[#This Row],[Gross Profit]]-Project_Data_NYSE[[#This Row],[ Sales, General and Admin. ]]-Project_Data_NYSE[[#This Row],[ Research and Development ]]-Project_Data_NYSE[[#This Row],[ Other Operating Items ]]</f>
        <v>1430800000</v>
      </c>
      <c r="L1216" t="s">
        <v>46</v>
      </c>
      <c r="M1216" t="s">
        <v>378</v>
      </c>
      <c r="N1216" s="31">
        <f>Project_Data_NYSE[[#This Row],[Gross Profit]]/Project_Data_NYSE[[#This Row],[ Total Revenue ]]</f>
        <v>0.44019758617231119</v>
      </c>
      <c r="O1216" s="31">
        <f>Project_Data_NYSE[[#This Row],[Operating Profit]]/Project_Data_NYSE[[#This Row],[ Total Revenue ]]</f>
        <v>0.11958811139714487</v>
      </c>
    </row>
    <row r="1217" spans="1:15" x14ac:dyDescent="0.2">
      <c r="A1217">
        <v>1263</v>
      </c>
      <c r="B1217" t="s">
        <v>438</v>
      </c>
      <c r="C1217" t="s">
        <v>16</v>
      </c>
      <c r="D1217" s="48">
        <v>42735</v>
      </c>
      <c r="E1217" s="3">
        <v>12394100000</v>
      </c>
      <c r="F1217" s="3">
        <v>6913200000</v>
      </c>
      <c r="G1217" s="3">
        <f>Project_Data_NYSE[[#This Row],[ Total Revenue ]]-Project_Data_NYSE[[#This Row],[ Cost of Goods Sold ]]</f>
        <v>5480900000</v>
      </c>
      <c r="H1217" s="3">
        <v>156600000</v>
      </c>
      <c r="I1217" s="3">
        <v>0</v>
      </c>
      <c r="J1217" s="3">
        <v>3732600000</v>
      </c>
      <c r="K1217" s="3">
        <f>Project_Data_NYSE[[#This Row],[Gross Profit]]-Project_Data_NYSE[[#This Row],[ Sales, General and Admin. ]]-Project_Data_NYSE[[#This Row],[ Research and Development ]]-Project_Data_NYSE[[#This Row],[ Other Operating Items ]]</f>
        <v>1591700000</v>
      </c>
      <c r="L1217" t="s">
        <v>46</v>
      </c>
      <c r="M1217" t="s">
        <v>378</v>
      </c>
      <c r="N1217" s="31">
        <f>Project_Data_NYSE[[#This Row],[Gross Profit]]/Project_Data_NYSE[[#This Row],[ Total Revenue ]]</f>
        <v>0.44221847491951816</v>
      </c>
      <c r="O1217" s="31">
        <f>Project_Data_NYSE[[#This Row],[Operating Profit]]/Project_Data_NYSE[[#This Row],[ Total Revenue ]]</f>
        <v>0.12842400819744879</v>
      </c>
    </row>
    <row r="1218" spans="1:15" x14ac:dyDescent="0.2">
      <c r="A1218">
        <v>1264</v>
      </c>
      <c r="B1218" t="s">
        <v>439</v>
      </c>
      <c r="C1218" t="s">
        <v>11</v>
      </c>
      <c r="D1218" s="48">
        <v>41639</v>
      </c>
      <c r="E1218" s="3">
        <v>2104745000</v>
      </c>
      <c r="F1218" s="3">
        <v>155355000</v>
      </c>
      <c r="G1218" s="3">
        <f>Project_Data_NYSE[[#This Row],[ Total Revenue ]]-Project_Data_NYSE[[#This Row],[ Cost of Goods Sold ]]</f>
        <v>1949390000</v>
      </c>
      <c r="H1218" s="3">
        <v>346393000</v>
      </c>
      <c r="I1218" s="3">
        <v>859947000</v>
      </c>
      <c r="J1218" s="3">
        <v>0</v>
      </c>
      <c r="K1218" s="3">
        <f>Project_Data_NYSE[[#This Row],[Gross Profit]]-Project_Data_NYSE[[#This Row],[ Sales, General and Admin. ]]-Project_Data_NYSE[[#This Row],[ Research and Development ]]-Project_Data_NYSE[[#This Row],[ Other Operating Items ]]</f>
        <v>743050000</v>
      </c>
      <c r="L1218" t="s">
        <v>35</v>
      </c>
      <c r="M1218" t="s">
        <v>169</v>
      </c>
      <c r="N1218" s="31">
        <f>Project_Data_NYSE[[#This Row],[Gross Profit]]/Project_Data_NYSE[[#This Row],[ Total Revenue ]]</f>
        <v>0.92618820807271185</v>
      </c>
      <c r="O1218" s="31">
        <f>Project_Data_NYSE[[#This Row],[Operating Profit]]/Project_Data_NYSE[[#This Row],[ Total Revenue ]]</f>
        <v>0.35303564089711581</v>
      </c>
    </row>
    <row r="1219" spans="1:15" x14ac:dyDescent="0.2">
      <c r="A1219">
        <v>1265</v>
      </c>
      <c r="B1219" t="s">
        <v>439</v>
      </c>
      <c r="C1219" t="s">
        <v>14</v>
      </c>
      <c r="D1219" s="48">
        <v>42004</v>
      </c>
      <c r="E1219" s="3">
        <v>2819557000</v>
      </c>
      <c r="F1219" s="3">
        <v>205018000</v>
      </c>
      <c r="G1219" s="3">
        <f>Project_Data_NYSE[[#This Row],[ Total Revenue ]]-Project_Data_NYSE[[#This Row],[ Cost of Goods Sold ]]</f>
        <v>2614539000</v>
      </c>
      <c r="H1219" s="3">
        <v>519267000</v>
      </c>
      <c r="I1219" s="3">
        <v>1271353000</v>
      </c>
      <c r="J1219" s="3">
        <v>0</v>
      </c>
      <c r="K1219" s="3">
        <f>Project_Data_NYSE[[#This Row],[Gross Profit]]-Project_Data_NYSE[[#This Row],[ Sales, General and Admin. ]]-Project_Data_NYSE[[#This Row],[ Research and Development ]]-Project_Data_NYSE[[#This Row],[ Other Operating Items ]]</f>
        <v>823919000</v>
      </c>
      <c r="L1219" t="s">
        <v>35</v>
      </c>
      <c r="M1219" t="s">
        <v>169</v>
      </c>
      <c r="N1219" s="31">
        <f>Project_Data_NYSE[[#This Row],[Gross Profit]]/Project_Data_NYSE[[#This Row],[ Total Revenue ]]</f>
        <v>0.92728715894021652</v>
      </c>
      <c r="O1219" s="31">
        <f>Project_Data_NYSE[[#This Row],[Operating Profit]]/Project_Data_NYSE[[#This Row],[ Total Revenue ]]</f>
        <v>0.29221576297269392</v>
      </c>
    </row>
    <row r="1220" spans="1:15" x14ac:dyDescent="0.2">
      <c r="A1220">
        <v>1266</v>
      </c>
      <c r="B1220" t="s">
        <v>439</v>
      </c>
      <c r="C1220" t="s">
        <v>15</v>
      </c>
      <c r="D1220" s="48">
        <v>42369</v>
      </c>
      <c r="E1220" s="3">
        <v>4103728000</v>
      </c>
      <c r="F1220" s="3">
        <v>392709000</v>
      </c>
      <c r="G1220" s="3">
        <f>Project_Data_NYSE[[#This Row],[ Total Revenue ]]-Project_Data_NYSE[[#This Row],[ Cost of Goods Sold ]]</f>
        <v>3711019000</v>
      </c>
      <c r="H1220" s="3">
        <v>838526000</v>
      </c>
      <c r="I1220" s="3">
        <v>1620577000</v>
      </c>
      <c r="J1220" s="3">
        <v>0</v>
      </c>
      <c r="K1220" s="3">
        <f>Project_Data_NYSE[[#This Row],[Gross Profit]]-Project_Data_NYSE[[#This Row],[ Sales, General and Admin. ]]-Project_Data_NYSE[[#This Row],[ Research and Development ]]-Project_Data_NYSE[[#This Row],[ Other Operating Items ]]</f>
        <v>1251916000</v>
      </c>
      <c r="L1220" t="s">
        <v>35</v>
      </c>
      <c r="M1220" t="s">
        <v>169</v>
      </c>
      <c r="N1220" s="31">
        <f>Project_Data_NYSE[[#This Row],[Gross Profit]]/Project_Data_NYSE[[#This Row],[ Total Revenue ]]</f>
        <v>0.90430433011154732</v>
      </c>
      <c r="O1220" s="31">
        <f>Project_Data_NYSE[[#This Row],[Operating Profit]]/Project_Data_NYSE[[#This Row],[ Total Revenue ]]</f>
        <v>0.30506797721486412</v>
      </c>
    </row>
    <row r="1221" spans="1:15" x14ac:dyDescent="0.2">
      <c r="A1221">
        <v>1267</v>
      </c>
      <c r="B1221" t="s">
        <v>439</v>
      </c>
      <c r="C1221" t="s">
        <v>16</v>
      </c>
      <c r="D1221" s="48">
        <v>42735</v>
      </c>
      <c r="E1221" s="3">
        <v>4860427000</v>
      </c>
      <c r="F1221" s="3">
        <v>299694000</v>
      </c>
      <c r="G1221" s="3">
        <f>Project_Data_NYSE[[#This Row],[ Total Revenue ]]-Project_Data_NYSE[[#This Row],[ Cost of Goods Sold ]]</f>
        <v>4560733000</v>
      </c>
      <c r="H1221" s="3">
        <v>1177697000</v>
      </c>
      <c r="I1221" s="3">
        <v>2052295000</v>
      </c>
      <c r="J1221" s="3">
        <v>0</v>
      </c>
      <c r="K1221" s="3">
        <f>Project_Data_NYSE[[#This Row],[Gross Profit]]-Project_Data_NYSE[[#This Row],[ Sales, General and Admin. ]]-Project_Data_NYSE[[#This Row],[ Research and Development ]]-Project_Data_NYSE[[#This Row],[ Other Operating Items ]]</f>
        <v>1330741000</v>
      </c>
      <c r="L1221" t="s">
        <v>35</v>
      </c>
      <c r="M1221" t="s">
        <v>169</v>
      </c>
      <c r="N1221" s="31">
        <f>Project_Data_NYSE[[#This Row],[Gross Profit]]/Project_Data_NYSE[[#This Row],[ Total Revenue ]]</f>
        <v>0.93833998535519614</v>
      </c>
      <c r="O1221" s="31">
        <f>Project_Data_NYSE[[#This Row],[Operating Profit]]/Project_Data_NYSE[[#This Row],[ Total Revenue ]]</f>
        <v>0.27379096527938801</v>
      </c>
    </row>
    <row r="1222" spans="1:15" x14ac:dyDescent="0.2">
      <c r="A1222">
        <v>1268</v>
      </c>
      <c r="B1222" t="s">
        <v>440</v>
      </c>
      <c r="C1222" t="s">
        <v>11</v>
      </c>
      <c r="D1222" s="48">
        <v>41274</v>
      </c>
      <c r="E1222" s="3">
        <v>17083900000</v>
      </c>
      <c r="F1222" s="3">
        <v>15590900000</v>
      </c>
      <c r="G1222" s="3">
        <f>Project_Data_NYSE[[#This Row],[ Total Revenue ]]-Project_Data_NYSE[[#This Row],[ Cost of Goods Sold ]]</f>
        <v>1493000000</v>
      </c>
      <c r="H1222" s="3">
        <v>15400000</v>
      </c>
      <c r="I1222" s="3">
        <v>0</v>
      </c>
      <c r="J1222" s="3">
        <v>36100000</v>
      </c>
      <c r="K1222" s="3">
        <f>Project_Data_NYSE[[#This Row],[Gross Profit]]-Project_Data_NYSE[[#This Row],[ Sales, General and Admin. ]]-Project_Data_NYSE[[#This Row],[ Research and Development ]]-Project_Data_NYSE[[#This Row],[ Other Operating Items ]]</f>
        <v>1441500000</v>
      </c>
      <c r="L1222" t="s">
        <v>46</v>
      </c>
      <c r="M1222" t="s">
        <v>49</v>
      </c>
      <c r="N1222" s="31">
        <f>Project_Data_NYSE[[#This Row],[Gross Profit]]/Project_Data_NYSE[[#This Row],[ Total Revenue ]]</f>
        <v>8.7392223087234183E-2</v>
      </c>
      <c r="O1222" s="31">
        <f>Project_Data_NYSE[[#This Row],[Operating Profit]]/Project_Data_NYSE[[#This Row],[ Total Revenue ]]</f>
        <v>8.4377688935196302E-2</v>
      </c>
    </row>
    <row r="1223" spans="1:15" x14ac:dyDescent="0.2">
      <c r="A1223">
        <v>1269</v>
      </c>
      <c r="B1223" t="s">
        <v>440</v>
      </c>
      <c r="C1223" t="s">
        <v>14</v>
      </c>
      <c r="D1223" s="48">
        <v>41639</v>
      </c>
      <c r="E1223" s="3">
        <v>18170900000</v>
      </c>
      <c r="F1223" s="3">
        <v>16275100000</v>
      </c>
      <c r="G1223" s="3">
        <f>Project_Data_NYSE[[#This Row],[ Total Revenue ]]-Project_Data_NYSE[[#This Row],[ Cost of Goods Sold ]]</f>
        <v>1895800000</v>
      </c>
      <c r="H1223" s="3">
        <v>18800000</v>
      </c>
      <c r="I1223" s="3">
        <v>0</v>
      </c>
      <c r="J1223" s="3">
        <v>38800000</v>
      </c>
      <c r="K1223" s="3">
        <f>Project_Data_NYSE[[#This Row],[Gross Profit]]-Project_Data_NYSE[[#This Row],[ Sales, General and Admin. ]]-Project_Data_NYSE[[#This Row],[ Research and Development ]]-Project_Data_NYSE[[#This Row],[ Other Operating Items ]]</f>
        <v>1838200000</v>
      </c>
      <c r="L1223" t="s">
        <v>46</v>
      </c>
      <c r="M1223" t="s">
        <v>49</v>
      </c>
      <c r="N1223" s="31">
        <f>Project_Data_NYSE[[#This Row],[Gross Profit]]/Project_Data_NYSE[[#This Row],[ Total Revenue ]]</f>
        <v>0.10433165115651949</v>
      </c>
      <c r="O1223" s="31">
        <f>Project_Data_NYSE[[#This Row],[Operating Profit]]/Project_Data_NYSE[[#This Row],[ Total Revenue ]]</f>
        <v>0.10116174762945149</v>
      </c>
    </row>
    <row r="1224" spans="1:15" x14ac:dyDescent="0.2">
      <c r="A1224">
        <v>1270</v>
      </c>
      <c r="B1224" t="s">
        <v>440</v>
      </c>
      <c r="C1224" t="s">
        <v>15</v>
      </c>
      <c r="D1224" s="48">
        <v>42004</v>
      </c>
      <c r="E1224" s="3">
        <v>19391400000</v>
      </c>
      <c r="F1224" s="3">
        <v>17297300000</v>
      </c>
      <c r="G1224" s="3">
        <f>Project_Data_NYSE[[#This Row],[ Total Revenue ]]-Project_Data_NYSE[[#This Row],[ Cost of Goods Sold ]]</f>
        <v>2094100000</v>
      </c>
      <c r="H1224" s="3">
        <v>18900000</v>
      </c>
      <c r="I1224" s="3">
        <v>0</v>
      </c>
      <c r="J1224" s="3">
        <v>50900000</v>
      </c>
      <c r="K1224" s="3">
        <f>Project_Data_NYSE[[#This Row],[Gross Profit]]-Project_Data_NYSE[[#This Row],[ Sales, General and Admin. ]]-Project_Data_NYSE[[#This Row],[ Research and Development ]]-Project_Data_NYSE[[#This Row],[ Other Operating Items ]]</f>
        <v>2024300000</v>
      </c>
      <c r="L1224" t="s">
        <v>46</v>
      </c>
      <c r="M1224" t="s">
        <v>49</v>
      </c>
      <c r="N1224" s="31">
        <f>Project_Data_NYSE[[#This Row],[Gross Profit]]/Project_Data_NYSE[[#This Row],[ Total Revenue ]]</f>
        <v>0.10799117134399785</v>
      </c>
      <c r="O1224" s="31">
        <f>Project_Data_NYSE[[#This Row],[Operating Profit]]/Project_Data_NYSE[[#This Row],[ Total Revenue ]]</f>
        <v>0.10439163753003909</v>
      </c>
    </row>
    <row r="1225" spans="1:15" x14ac:dyDescent="0.2">
      <c r="A1225">
        <v>1271</v>
      </c>
      <c r="B1225" t="s">
        <v>440</v>
      </c>
      <c r="C1225" t="s">
        <v>16</v>
      </c>
      <c r="D1225" s="48">
        <v>42369</v>
      </c>
      <c r="E1225" s="3">
        <v>20853800000</v>
      </c>
      <c r="F1225" s="3">
        <v>18705900000</v>
      </c>
      <c r="G1225" s="3">
        <f>Project_Data_NYSE[[#This Row],[ Total Revenue ]]-Project_Data_NYSE[[#This Row],[ Cost of Goods Sold ]]</f>
        <v>2147900000</v>
      </c>
      <c r="H1225" s="3">
        <v>22800000</v>
      </c>
      <c r="I1225" s="3">
        <v>0</v>
      </c>
      <c r="J1225" s="3">
        <v>77500000</v>
      </c>
      <c r="K1225" s="3">
        <f>Project_Data_NYSE[[#This Row],[Gross Profit]]-Project_Data_NYSE[[#This Row],[ Sales, General and Admin. ]]-Project_Data_NYSE[[#This Row],[ Research and Development ]]-Project_Data_NYSE[[#This Row],[ Other Operating Items ]]</f>
        <v>2047600000</v>
      </c>
      <c r="L1225" t="s">
        <v>46</v>
      </c>
      <c r="M1225" t="s">
        <v>49</v>
      </c>
      <c r="N1225" s="31">
        <f>Project_Data_NYSE[[#This Row],[Gross Profit]]/Project_Data_NYSE[[#This Row],[ Total Revenue ]]</f>
        <v>0.1029980147503093</v>
      </c>
      <c r="O1225" s="31">
        <f>Project_Data_NYSE[[#This Row],[Operating Profit]]/Project_Data_NYSE[[#This Row],[ Total Revenue ]]</f>
        <v>9.8188339775005032E-2</v>
      </c>
    </row>
    <row r="1226" spans="1:15" x14ac:dyDescent="0.2">
      <c r="A1226">
        <v>1272</v>
      </c>
      <c r="B1226" t="s">
        <v>441</v>
      </c>
      <c r="C1226" t="s">
        <v>11</v>
      </c>
      <c r="D1226" s="48">
        <v>41455</v>
      </c>
      <c r="E1226" s="3">
        <v>13015704000</v>
      </c>
      <c r="F1226" s="3">
        <v>10086675000</v>
      </c>
      <c r="G1226" s="3">
        <f>Project_Data_NYSE[[#This Row],[ Total Revenue ]]-Project_Data_NYSE[[#This Row],[ Cost of Goods Sold ]]</f>
        <v>2929029000</v>
      </c>
      <c r="H1226" s="3">
        <v>1554973000</v>
      </c>
      <c r="I1226" s="3">
        <v>0</v>
      </c>
      <c r="J1226" s="3">
        <v>0</v>
      </c>
      <c r="K1226" s="3">
        <f>Project_Data_NYSE[[#This Row],[Gross Profit]]-Project_Data_NYSE[[#This Row],[ Sales, General and Admin. ]]-Project_Data_NYSE[[#This Row],[ Research and Development ]]-Project_Data_NYSE[[#This Row],[ Other Operating Items ]]</f>
        <v>1374056000</v>
      </c>
      <c r="L1226" t="s">
        <v>12</v>
      </c>
      <c r="M1226" t="s">
        <v>163</v>
      </c>
      <c r="N1226" s="31">
        <f>Project_Data_NYSE[[#This Row],[Gross Profit]]/Project_Data_NYSE[[#This Row],[ Total Revenue ]]</f>
        <v>0.22503807707981066</v>
      </c>
      <c r="O1226" s="31">
        <f>Project_Data_NYSE[[#This Row],[Operating Profit]]/Project_Data_NYSE[[#This Row],[ Total Revenue ]]</f>
        <v>0.1055690879264003</v>
      </c>
    </row>
    <row r="1227" spans="1:15" x14ac:dyDescent="0.2">
      <c r="A1227">
        <v>1273</v>
      </c>
      <c r="B1227" t="s">
        <v>441</v>
      </c>
      <c r="C1227" t="s">
        <v>14</v>
      </c>
      <c r="D1227" s="48">
        <v>41820</v>
      </c>
      <c r="E1227" s="3">
        <v>13215971000</v>
      </c>
      <c r="F1227" s="3">
        <v>10188227000</v>
      </c>
      <c r="G1227" s="3">
        <f>Project_Data_NYSE[[#This Row],[ Total Revenue ]]-Project_Data_NYSE[[#This Row],[ Cost of Goods Sold ]]</f>
        <v>3027744000</v>
      </c>
      <c r="H1227" s="3">
        <v>1633992000</v>
      </c>
      <c r="I1227" s="3">
        <v>0</v>
      </c>
      <c r="J1227" s="3">
        <v>0</v>
      </c>
      <c r="K1227" s="3">
        <f>Project_Data_NYSE[[#This Row],[Gross Profit]]-Project_Data_NYSE[[#This Row],[ Sales, General and Admin. ]]-Project_Data_NYSE[[#This Row],[ Research and Development ]]-Project_Data_NYSE[[#This Row],[ Other Operating Items ]]</f>
        <v>1393752000</v>
      </c>
      <c r="L1227" t="s">
        <v>12</v>
      </c>
      <c r="M1227" t="s">
        <v>163</v>
      </c>
      <c r="N1227" s="31">
        <f>Project_Data_NYSE[[#This Row],[Gross Profit]]/Project_Data_NYSE[[#This Row],[ Total Revenue ]]</f>
        <v>0.22909735501084255</v>
      </c>
      <c r="O1227" s="31">
        <f>Project_Data_NYSE[[#This Row],[Operating Profit]]/Project_Data_NYSE[[#This Row],[ Total Revenue ]]</f>
        <v>0.10545967451048432</v>
      </c>
    </row>
    <row r="1228" spans="1:15" x14ac:dyDescent="0.2">
      <c r="A1228">
        <v>1274</v>
      </c>
      <c r="B1228" t="s">
        <v>441</v>
      </c>
      <c r="C1228" t="s">
        <v>15</v>
      </c>
      <c r="D1228" s="48">
        <v>42185</v>
      </c>
      <c r="E1228" s="3">
        <v>12711744000</v>
      </c>
      <c r="F1228" s="3">
        <v>9655245000</v>
      </c>
      <c r="G1228" s="3">
        <f>Project_Data_NYSE[[#This Row],[ Total Revenue ]]-Project_Data_NYSE[[#This Row],[ Cost of Goods Sold ]]</f>
        <v>3056499000</v>
      </c>
      <c r="H1228" s="3">
        <v>1544746000</v>
      </c>
      <c r="I1228" s="3">
        <v>0</v>
      </c>
      <c r="J1228" s="3">
        <v>0</v>
      </c>
      <c r="K1228" s="3">
        <f>Project_Data_NYSE[[#This Row],[Gross Profit]]-Project_Data_NYSE[[#This Row],[ Sales, General and Admin. ]]-Project_Data_NYSE[[#This Row],[ Research and Development ]]-Project_Data_NYSE[[#This Row],[ Other Operating Items ]]</f>
        <v>1511753000</v>
      </c>
      <c r="L1228" t="s">
        <v>12</v>
      </c>
      <c r="M1228" t="s">
        <v>163</v>
      </c>
      <c r="N1228" s="31">
        <f>Project_Data_NYSE[[#This Row],[Gross Profit]]/Project_Data_NYSE[[#This Row],[ Total Revenue ]]</f>
        <v>0.24044686551271013</v>
      </c>
      <c r="O1228" s="31">
        <f>Project_Data_NYSE[[#This Row],[Operating Profit]]/Project_Data_NYSE[[#This Row],[ Total Revenue ]]</f>
        <v>0.11892569579752393</v>
      </c>
    </row>
    <row r="1229" spans="1:15" x14ac:dyDescent="0.2">
      <c r="A1229">
        <v>1275</v>
      </c>
      <c r="B1229" t="s">
        <v>441</v>
      </c>
      <c r="C1229" t="s">
        <v>16</v>
      </c>
      <c r="D1229" s="48">
        <v>42551</v>
      </c>
      <c r="E1229" s="3">
        <v>11360753000</v>
      </c>
      <c r="F1229" s="3">
        <v>8823384000</v>
      </c>
      <c r="G1229" s="3">
        <f>Project_Data_NYSE[[#This Row],[ Total Revenue ]]-Project_Data_NYSE[[#This Row],[ Cost of Goods Sold ]]</f>
        <v>2537369000</v>
      </c>
      <c r="H1229" s="3">
        <v>1359360000</v>
      </c>
      <c r="I1229" s="3">
        <v>0</v>
      </c>
      <c r="J1229" s="3">
        <v>0</v>
      </c>
      <c r="K1229" s="3">
        <f>Project_Data_NYSE[[#This Row],[Gross Profit]]-Project_Data_NYSE[[#This Row],[ Sales, General and Admin. ]]-Project_Data_NYSE[[#This Row],[ Research and Development ]]-Project_Data_NYSE[[#This Row],[ Other Operating Items ]]</f>
        <v>1178009000</v>
      </c>
      <c r="L1229" t="s">
        <v>12</v>
      </c>
      <c r="M1229" t="s">
        <v>163</v>
      </c>
      <c r="N1229" s="31">
        <f>Project_Data_NYSE[[#This Row],[Gross Profit]]/Project_Data_NYSE[[#This Row],[ Total Revenue ]]</f>
        <v>0.22334514270312891</v>
      </c>
      <c r="O1229" s="31">
        <f>Project_Data_NYSE[[#This Row],[Operating Profit]]/Project_Data_NYSE[[#This Row],[ Total Revenue ]]</f>
        <v>0.10369110216549907</v>
      </c>
    </row>
    <row r="1230" spans="1:15" x14ac:dyDescent="0.2">
      <c r="A1230">
        <v>1276</v>
      </c>
      <c r="B1230" t="s">
        <v>442</v>
      </c>
      <c r="C1230" t="s">
        <v>11</v>
      </c>
      <c r="D1230" s="48">
        <v>41639</v>
      </c>
      <c r="E1230" s="3">
        <v>5679595000</v>
      </c>
      <c r="F1230" s="3">
        <v>4507196000</v>
      </c>
      <c r="G1230" s="3">
        <f>Project_Data_NYSE[[#This Row],[ Total Revenue ]]-Project_Data_NYSE[[#This Row],[ Cost of Goods Sold ]]</f>
        <v>1172399000</v>
      </c>
      <c r="H1230" s="3">
        <v>568500000</v>
      </c>
      <c r="I1230" s="3">
        <v>0</v>
      </c>
      <c r="J1230" s="3">
        <v>0</v>
      </c>
      <c r="K1230" s="3">
        <f>Project_Data_NYSE[[#This Row],[Gross Profit]]-Project_Data_NYSE[[#This Row],[ Sales, General and Admin. ]]-Project_Data_NYSE[[#This Row],[ Research and Development ]]-Project_Data_NYSE[[#This Row],[ Other Operating Items ]]</f>
        <v>603899000</v>
      </c>
      <c r="L1230" t="s">
        <v>18</v>
      </c>
      <c r="M1230" t="s">
        <v>200</v>
      </c>
      <c r="N1230" s="31">
        <f>Project_Data_NYSE[[#This Row],[Gross Profit]]/Project_Data_NYSE[[#This Row],[ Total Revenue ]]</f>
        <v>0.20642299318877491</v>
      </c>
      <c r="O1230" s="31">
        <f>Project_Data_NYSE[[#This Row],[Operating Profit]]/Project_Data_NYSE[[#This Row],[ Total Revenue ]]</f>
        <v>0.10632782795252126</v>
      </c>
    </row>
    <row r="1231" spans="1:15" x14ac:dyDescent="0.2">
      <c r="A1231">
        <v>1277</v>
      </c>
      <c r="B1231" t="s">
        <v>442</v>
      </c>
      <c r="C1231" t="s">
        <v>14</v>
      </c>
      <c r="D1231" s="48">
        <v>42004</v>
      </c>
      <c r="E1231" s="3">
        <v>5822363000</v>
      </c>
      <c r="F1231" s="3">
        <v>4244479000</v>
      </c>
      <c r="G1231" s="3">
        <f>Project_Data_NYSE[[#This Row],[ Total Revenue ]]-Project_Data_NYSE[[#This Row],[ Cost of Goods Sold ]]</f>
        <v>1577884000</v>
      </c>
      <c r="H1231" s="3">
        <v>861390000</v>
      </c>
      <c r="I1231" s="3">
        <v>0</v>
      </c>
      <c r="J1231" s="3">
        <v>0</v>
      </c>
      <c r="K1231" s="3">
        <f>Project_Data_NYSE[[#This Row],[Gross Profit]]-Project_Data_NYSE[[#This Row],[ Sales, General and Admin. ]]-Project_Data_NYSE[[#This Row],[ Research and Development ]]-Project_Data_NYSE[[#This Row],[ Other Operating Items ]]</f>
        <v>716494000</v>
      </c>
      <c r="L1231" t="s">
        <v>18</v>
      </c>
      <c r="M1231" t="s">
        <v>200</v>
      </c>
      <c r="N1231" s="31">
        <f>Project_Data_NYSE[[#This Row],[Gross Profit]]/Project_Data_NYSE[[#This Row],[ Total Revenue ]]</f>
        <v>0.27100405797439975</v>
      </c>
      <c r="O1231" s="31">
        <f>Project_Data_NYSE[[#This Row],[Operating Profit]]/Project_Data_NYSE[[#This Row],[ Total Revenue ]]</f>
        <v>0.12305897107411544</v>
      </c>
    </row>
    <row r="1232" spans="1:15" x14ac:dyDescent="0.2">
      <c r="A1232">
        <v>1278</v>
      </c>
      <c r="B1232" t="s">
        <v>442</v>
      </c>
      <c r="C1232" t="s">
        <v>15</v>
      </c>
      <c r="D1232" s="48">
        <v>42369</v>
      </c>
      <c r="E1232" s="3">
        <v>5981964000</v>
      </c>
      <c r="F1232" s="3">
        <v>4353850000</v>
      </c>
      <c r="G1232" s="3">
        <f>Project_Data_NYSE[[#This Row],[ Total Revenue ]]-Project_Data_NYSE[[#This Row],[ Cost of Goods Sold ]]</f>
        <v>1628114000</v>
      </c>
      <c r="H1232" s="3">
        <v>794728000</v>
      </c>
      <c r="I1232" s="3">
        <v>0</v>
      </c>
      <c r="J1232" s="3">
        <v>0</v>
      </c>
      <c r="K1232" s="3">
        <f>Project_Data_NYSE[[#This Row],[Gross Profit]]-Project_Data_NYSE[[#This Row],[ Sales, General and Admin. ]]-Project_Data_NYSE[[#This Row],[ Research and Development ]]-Project_Data_NYSE[[#This Row],[ Other Operating Items ]]</f>
        <v>833386000</v>
      </c>
      <c r="L1232" t="s">
        <v>18</v>
      </c>
      <c r="M1232" t="s">
        <v>200</v>
      </c>
      <c r="N1232" s="31">
        <f>Project_Data_NYSE[[#This Row],[Gross Profit]]/Project_Data_NYSE[[#This Row],[ Total Revenue ]]</f>
        <v>0.27217047778956877</v>
      </c>
      <c r="O1232" s="31">
        <f>Project_Data_NYSE[[#This Row],[Operating Profit]]/Project_Data_NYSE[[#This Row],[ Total Revenue ]]</f>
        <v>0.13931645192114162</v>
      </c>
    </row>
    <row r="1233" spans="1:15" x14ac:dyDescent="0.2">
      <c r="A1233">
        <v>1279</v>
      </c>
      <c r="B1233" t="s">
        <v>442</v>
      </c>
      <c r="C1233" t="s">
        <v>16</v>
      </c>
      <c r="D1233" s="48">
        <v>42735</v>
      </c>
      <c r="E1233" s="3">
        <v>7668476000</v>
      </c>
      <c r="F1233" s="3">
        <v>5728662000</v>
      </c>
      <c r="G1233" s="3">
        <f>Project_Data_NYSE[[#This Row],[ Total Revenue ]]-Project_Data_NYSE[[#This Row],[ Cost of Goods Sold ]]</f>
        <v>1939814000</v>
      </c>
      <c r="H1233" s="3">
        <v>957150000</v>
      </c>
      <c r="I1233" s="3">
        <v>0</v>
      </c>
      <c r="J1233" s="3">
        <v>0</v>
      </c>
      <c r="K1233" s="3">
        <f>Project_Data_NYSE[[#This Row],[Gross Profit]]-Project_Data_NYSE[[#This Row],[ Sales, General and Admin. ]]-Project_Data_NYSE[[#This Row],[ Research and Development ]]-Project_Data_NYSE[[#This Row],[ Other Operating Items ]]</f>
        <v>982664000</v>
      </c>
      <c r="L1233" t="s">
        <v>18</v>
      </c>
      <c r="M1233" t="s">
        <v>200</v>
      </c>
      <c r="N1233" s="31">
        <f>Project_Data_NYSE[[#This Row],[Gross Profit]]/Project_Data_NYSE[[#This Row],[ Total Revenue ]]</f>
        <v>0.25295951894483337</v>
      </c>
      <c r="O1233" s="31">
        <f>Project_Data_NYSE[[#This Row],[Operating Profit]]/Project_Data_NYSE[[#This Row],[ Total Revenue ]]</f>
        <v>0.12814332339307055</v>
      </c>
    </row>
    <row r="1234" spans="1:15" x14ac:dyDescent="0.2">
      <c r="A1234">
        <v>1259</v>
      </c>
      <c r="B1234" t="s">
        <v>437</v>
      </c>
      <c r="C1234" t="s">
        <v>16</v>
      </c>
      <c r="D1234" s="48">
        <v>42369</v>
      </c>
      <c r="E1234" s="3">
        <v>48851000000</v>
      </c>
      <c r="F1234" s="3">
        <v>9648000000</v>
      </c>
      <c r="G1234" s="3">
        <f>Project_Data_NYSE[[#This Row],[ Total Revenue ]]-Project_Data_NYSE[[#This Row],[ Cost of Goods Sold ]]</f>
        <v>39203000000</v>
      </c>
      <c r="H1234" s="3">
        <v>14809000000</v>
      </c>
      <c r="I1234" s="3">
        <v>7690000000</v>
      </c>
      <c r="J1234" s="3">
        <v>3728000000</v>
      </c>
      <c r="K1234" s="3">
        <f>Project_Data_NYSE[[#This Row],[Gross Profit]]-Project_Data_NYSE[[#This Row],[ Sales, General and Admin. ]]-Project_Data_NYSE[[#This Row],[ Research and Development ]]-Project_Data_NYSE[[#This Row],[ Other Operating Items ]]</f>
        <v>12976000000</v>
      </c>
      <c r="L1234" t="s">
        <v>24</v>
      </c>
      <c r="M1234" t="s">
        <v>25</v>
      </c>
      <c r="N1234" s="31">
        <f>Project_Data_NYSE[[#This Row],[Gross Profit]]/Project_Data_NYSE[[#This Row],[ Total Revenue ]]</f>
        <v>0.80250148410472666</v>
      </c>
      <c r="O1234" s="31">
        <f>Project_Data_NYSE[[#This Row],[Operating Profit]]/Project_Data_NYSE[[#This Row],[ Total Revenue ]]</f>
        <v>0.2656240404495302</v>
      </c>
    </row>
    <row r="1235" spans="1:15" x14ac:dyDescent="0.2">
      <c r="A1235">
        <v>1672</v>
      </c>
      <c r="B1235" t="s">
        <v>546</v>
      </c>
      <c r="C1235" t="s">
        <v>15</v>
      </c>
      <c r="D1235" s="48">
        <v>42004</v>
      </c>
      <c r="E1235" s="3">
        <v>1989344000</v>
      </c>
      <c r="F1235" s="3">
        <v>824913000</v>
      </c>
      <c r="G1235" s="3">
        <f>Project_Data_NYSE[[#This Row],[ Total Revenue ]]-Project_Data_NYSE[[#This Row],[ Cost of Goods Sold ]]</f>
        <v>1164431000</v>
      </c>
      <c r="H1235" s="3">
        <v>512707000</v>
      </c>
      <c r="I1235" s="3">
        <v>107726000</v>
      </c>
      <c r="J1235" s="3">
        <v>10634000</v>
      </c>
      <c r="K1235" s="3">
        <f>Project_Data_NYSE[[#This Row],[Gross Profit]]-Project_Data_NYSE[[#This Row],[ Sales, General and Admin. ]]-Project_Data_NYSE[[#This Row],[ Research and Development ]]-Project_Data_NYSE[[#This Row],[ Other Operating Items ]]</f>
        <v>533364000</v>
      </c>
      <c r="L1235" t="s">
        <v>24</v>
      </c>
      <c r="M1235" t="s">
        <v>27</v>
      </c>
      <c r="N1235" s="31">
        <f>Project_Data_NYSE[[#This Row],[Gross Profit]]/Project_Data_NYSE[[#This Row],[ Total Revenue ]]</f>
        <v>0.58533416040664665</v>
      </c>
      <c r="O1235" s="31">
        <f>Project_Data_NYSE[[#This Row],[Operating Profit]]/Project_Data_NYSE[[#This Row],[ Total Revenue ]]</f>
        <v>0.26811049270513293</v>
      </c>
    </row>
    <row r="1236" spans="1:15" x14ac:dyDescent="0.2">
      <c r="A1236">
        <v>1246</v>
      </c>
      <c r="B1236" t="s">
        <v>434</v>
      </c>
      <c r="C1236" t="s">
        <v>15</v>
      </c>
      <c r="D1236" s="48">
        <v>42119</v>
      </c>
      <c r="E1236" s="3">
        <v>3910865000</v>
      </c>
      <c r="F1236" s="3">
        <v>2850316000</v>
      </c>
      <c r="G1236" s="3">
        <f>Project_Data_NYSE[[#This Row],[ Total Revenue ]]-Project_Data_NYSE[[#This Row],[ Cost of Goods Sold ]]</f>
        <v>1060549000</v>
      </c>
      <c r="H1236" s="3">
        <v>0</v>
      </c>
      <c r="I1236" s="3">
        <v>0</v>
      </c>
      <c r="J1236" s="3">
        <v>0</v>
      </c>
      <c r="K1236" s="3">
        <f>Project_Data_NYSE[[#This Row],[Gross Profit]]-Project_Data_NYSE[[#This Row],[ Sales, General and Admin. ]]-Project_Data_NYSE[[#This Row],[ Research and Development ]]-Project_Data_NYSE[[#This Row],[ Other Operating Items ]]</f>
        <v>1060549000</v>
      </c>
      <c r="L1236" t="s">
        <v>24</v>
      </c>
      <c r="M1236" t="s">
        <v>165</v>
      </c>
      <c r="N1236" s="31">
        <f>Project_Data_NYSE[[#This Row],[Gross Profit]]/Project_Data_NYSE[[#This Row],[ Total Revenue ]]</f>
        <v>0.27118016091069369</v>
      </c>
      <c r="O1236" s="31">
        <f>Project_Data_NYSE[[#This Row],[Operating Profit]]/Project_Data_NYSE[[#This Row],[ Total Revenue ]]</f>
        <v>0.27118016091069369</v>
      </c>
    </row>
    <row r="1237" spans="1:15" x14ac:dyDescent="0.2">
      <c r="A1237">
        <v>1671</v>
      </c>
      <c r="B1237" t="s">
        <v>546</v>
      </c>
      <c r="C1237" t="s">
        <v>14</v>
      </c>
      <c r="D1237" s="48">
        <v>41639</v>
      </c>
      <c r="E1237" s="3">
        <v>1904218000</v>
      </c>
      <c r="F1237" s="3">
        <v>783456000</v>
      </c>
      <c r="G1237" s="3">
        <f>Project_Data_NYSE[[#This Row],[ Total Revenue ]]-Project_Data_NYSE[[#This Row],[ Cost of Goods Sold ]]</f>
        <v>1120762000</v>
      </c>
      <c r="H1237" s="3">
        <v>492965000</v>
      </c>
      <c r="I1237" s="3">
        <v>100536000</v>
      </c>
      <c r="J1237" s="3">
        <v>9918000</v>
      </c>
      <c r="K1237" s="3">
        <f>Project_Data_NYSE[[#This Row],[Gross Profit]]-Project_Data_NYSE[[#This Row],[ Sales, General and Admin. ]]-Project_Data_NYSE[[#This Row],[ Research and Development ]]-Project_Data_NYSE[[#This Row],[ Other Operating Items ]]</f>
        <v>517343000</v>
      </c>
      <c r="L1237" t="s">
        <v>24</v>
      </c>
      <c r="M1237" t="s">
        <v>27</v>
      </c>
      <c r="N1237" s="31">
        <f>Project_Data_NYSE[[#This Row],[Gross Profit]]/Project_Data_NYSE[[#This Row],[ Total Revenue ]]</f>
        <v>0.58856811562541689</v>
      </c>
      <c r="O1237" s="31">
        <f>Project_Data_NYSE[[#This Row],[Operating Profit]]/Project_Data_NYSE[[#This Row],[ Total Revenue ]]</f>
        <v>0.27168265398184449</v>
      </c>
    </row>
    <row r="1238" spans="1:15" x14ac:dyDescent="0.2">
      <c r="A1238">
        <v>1284</v>
      </c>
      <c r="B1238" t="s">
        <v>444</v>
      </c>
      <c r="C1238" t="s">
        <v>11</v>
      </c>
      <c r="D1238" s="48">
        <v>41639</v>
      </c>
      <c r="E1238" s="3">
        <v>80029000000</v>
      </c>
      <c r="F1238" s="3">
        <v>59222000000</v>
      </c>
      <c r="G1238" s="3">
        <f>Project_Data_NYSE[[#This Row],[ Total Revenue ]]-Project_Data_NYSE[[#This Row],[ Cost of Goods Sold ]]</f>
        <v>20807000000</v>
      </c>
      <c r="H1238" s="3">
        <v>6890000000</v>
      </c>
      <c r="I1238" s="3">
        <v>0</v>
      </c>
      <c r="J1238" s="3">
        <v>93000000</v>
      </c>
      <c r="K1238" s="3">
        <f>Project_Data_NYSE[[#This Row],[Gross Profit]]-Project_Data_NYSE[[#This Row],[ Sales, General and Admin. ]]-Project_Data_NYSE[[#This Row],[ Research and Development ]]-Project_Data_NYSE[[#This Row],[ Other Operating Items ]]</f>
        <v>13824000000</v>
      </c>
      <c r="L1238" t="s">
        <v>35</v>
      </c>
      <c r="M1238" t="s">
        <v>392</v>
      </c>
      <c r="N1238" s="31">
        <f>Project_Data_NYSE[[#This Row],[Gross Profit]]/Project_Data_NYSE[[#This Row],[ Total Revenue ]]</f>
        <v>0.25999325244598831</v>
      </c>
      <c r="O1238" s="31">
        <f>Project_Data_NYSE[[#This Row],[Operating Profit]]/Project_Data_NYSE[[#This Row],[ Total Revenue ]]</f>
        <v>0.1727373826987717</v>
      </c>
    </row>
    <row r="1239" spans="1:15" x14ac:dyDescent="0.2">
      <c r="A1239">
        <v>1285</v>
      </c>
      <c r="B1239" t="s">
        <v>444</v>
      </c>
      <c r="C1239" t="s">
        <v>14</v>
      </c>
      <c r="D1239" s="48">
        <v>42004</v>
      </c>
      <c r="E1239" s="3">
        <v>80106000000</v>
      </c>
      <c r="F1239" s="3">
        <v>60775000000</v>
      </c>
      <c r="G1239" s="3">
        <f>Project_Data_NYSE[[#This Row],[ Total Revenue ]]-Project_Data_NYSE[[#This Row],[ Cost of Goods Sold ]]</f>
        <v>19331000000</v>
      </c>
      <c r="H1239" s="3">
        <v>7001000000</v>
      </c>
      <c r="I1239" s="3">
        <v>0</v>
      </c>
      <c r="J1239" s="3">
        <v>93000000</v>
      </c>
      <c r="K1239" s="3">
        <f>Project_Data_NYSE[[#This Row],[Gross Profit]]-Project_Data_NYSE[[#This Row],[ Sales, General and Admin. ]]-Project_Data_NYSE[[#This Row],[ Research and Development ]]-Project_Data_NYSE[[#This Row],[ Other Operating Items ]]</f>
        <v>12237000000</v>
      </c>
      <c r="L1239" t="s">
        <v>35</v>
      </c>
      <c r="M1239" t="s">
        <v>392</v>
      </c>
      <c r="N1239" s="31">
        <f>Project_Data_NYSE[[#This Row],[Gross Profit]]/Project_Data_NYSE[[#This Row],[ Total Revenue ]]</f>
        <v>0.24131775397598182</v>
      </c>
      <c r="O1239" s="31">
        <f>Project_Data_NYSE[[#This Row],[Operating Profit]]/Project_Data_NYSE[[#This Row],[ Total Revenue ]]</f>
        <v>0.15276009287693806</v>
      </c>
    </row>
    <row r="1240" spans="1:15" x14ac:dyDescent="0.2">
      <c r="A1240">
        <v>1286</v>
      </c>
      <c r="B1240" t="s">
        <v>444</v>
      </c>
      <c r="C1240" t="s">
        <v>15</v>
      </c>
      <c r="D1240" s="48">
        <v>42369</v>
      </c>
      <c r="E1240" s="3">
        <v>73908000000</v>
      </c>
      <c r="F1240" s="3">
        <v>56479000000</v>
      </c>
      <c r="G1240" s="3">
        <f>Project_Data_NYSE[[#This Row],[ Total Revenue ]]-Project_Data_NYSE[[#This Row],[ Cost of Goods Sold ]]</f>
        <v>17429000000</v>
      </c>
      <c r="H1240" s="3">
        <v>6656000000</v>
      </c>
      <c r="I1240" s="3">
        <v>0</v>
      </c>
      <c r="J1240" s="3">
        <v>82000000</v>
      </c>
      <c r="K1240" s="3">
        <f>Project_Data_NYSE[[#This Row],[Gross Profit]]-Project_Data_NYSE[[#This Row],[ Sales, General and Admin. ]]-Project_Data_NYSE[[#This Row],[ Research and Development ]]-Project_Data_NYSE[[#This Row],[ Other Operating Items ]]</f>
        <v>10691000000</v>
      </c>
      <c r="L1240" t="s">
        <v>35</v>
      </c>
      <c r="M1240" t="s">
        <v>392</v>
      </c>
      <c r="N1240" s="31">
        <f>Project_Data_NYSE[[#This Row],[Gross Profit]]/Project_Data_NYSE[[#This Row],[ Total Revenue ]]</f>
        <v>0.23582020890837257</v>
      </c>
      <c r="O1240" s="31">
        <f>Project_Data_NYSE[[#This Row],[Operating Profit]]/Project_Data_NYSE[[#This Row],[ Total Revenue ]]</f>
        <v>0.14465281160361532</v>
      </c>
    </row>
    <row r="1241" spans="1:15" x14ac:dyDescent="0.2">
      <c r="A1241">
        <v>1287</v>
      </c>
      <c r="B1241" t="s">
        <v>444</v>
      </c>
      <c r="C1241" t="s">
        <v>16</v>
      </c>
      <c r="D1241" s="48">
        <v>42735</v>
      </c>
      <c r="E1241" s="3">
        <v>74953000000</v>
      </c>
      <c r="F1241" s="3">
        <v>57659000000</v>
      </c>
      <c r="G1241" s="3">
        <f>Project_Data_NYSE[[#This Row],[ Total Revenue ]]-Project_Data_NYSE[[#This Row],[ Cost of Goods Sold ]]</f>
        <v>17294000000</v>
      </c>
      <c r="H1241" s="3">
        <v>6405000000</v>
      </c>
      <c r="I1241" s="3">
        <v>0</v>
      </c>
      <c r="J1241" s="3">
        <v>74000000</v>
      </c>
      <c r="K1241" s="3">
        <f>Project_Data_NYSE[[#This Row],[Gross Profit]]-Project_Data_NYSE[[#This Row],[ Sales, General and Admin. ]]-Project_Data_NYSE[[#This Row],[ Research and Development ]]-Project_Data_NYSE[[#This Row],[ Other Operating Items ]]</f>
        <v>10815000000</v>
      </c>
      <c r="L1241" t="s">
        <v>35</v>
      </c>
      <c r="M1241" t="s">
        <v>392</v>
      </c>
      <c r="N1241" s="31">
        <f>Project_Data_NYSE[[#This Row],[Gross Profit]]/Project_Data_NYSE[[#This Row],[ Total Revenue ]]</f>
        <v>0.23073125825517324</v>
      </c>
      <c r="O1241" s="31">
        <f>Project_Data_NYSE[[#This Row],[Operating Profit]]/Project_Data_NYSE[[#This Row],[ Total Revenue ]]</f>
        <v>0.14429042199778527</v>
      </c>
    </row>
    <row r="1242" spans="1:15" x14ac:dyDescent="0.2">
      <c r="A1242">
        <v>1288</v>
      </c>
      <c r="B1242" t="s">
        <v>445</v>
      </c>
      <c r="C1242" t="s">
        <v>11</v>
      </c>
      <c r="D1242" s="48">
        <v>41274</v>
      </c>
      <c r="E1242" s="3">
        <v>16606000000</v>
      </c>
      <c r="F1242" s="3">
        <v>386000000</v>
      </c>
      <c r="G1242" s="3">
        <f>Project_Data_NYSE[[#This Row],[ Total Revenue ]]-Project_Data_NYSE[[#This Row],[ Cost of Goods Sold ]]</f>
        <v>16220000000</v>
      </c>
      <c r="H1242" s="3">
        <v>10486000000</v>
      </c>
      <c r="I1242" s="3">
        <v>0</v>
      </c>
      <c r="J1242" s="3">
        <v>987000000</v>
      </c>
      <c r="K1242" s="3">
        <f>Project_Data_NYSE[[#This Row],[Gross Profit]]-Project_Data_NYSE[[#This Row],[ Sales, General and Admin. ]]-Project_Data_NYSE[[#This Row],[ Research and Development ]]-Project_Data_NYSE[[#This Row],[ Other Operating Items ]]</f>
        <v>4747000000</v>
      </c>
      <c r="L1242" t="s">
        <v>46</v>
      </c>
      <c r="M1242" t="s">
        <v>104</v>
      </c>
      <c r="N1242" s="31">
        <f>Project_Data_NYSE[[#This Row],[Gross Profit]]/Project_Data_NYSE[[#This Row],[ Total Revenue ]]</f>
        <v>0.97675538961821029</v>
      </c>
      <c r="O1242" s="31">
        <f>Project_Data_NYSE[[#This Row],[Operating Profit]]/Project_Data_NYSE[[#This Row],[ Total Revenue ]]</f>
        <v>0.28586053233770925</v>
      </c>
    </row>
    <row r="1243" spans="1:15" x14ac:dyDescent="0.2">
      <c r="A1243">
        <v>1289</v>
      </c>
      <c r="B1243" t="s">
        <v>445</v>
      </c>
      <c r="C1243" t="s">
        <v>14</v>
      </c>
      <c r="D1243" s="48">
        <v>41639</v>
      </c>
      <c r="E1243" s="3">
        <v>16872000000</v>
      </c>
      <c r="F1243" s="3">
        <v>344000000</v>
      </c>
      <c r="G1243" s="3">
        <f>Project_Data_NYSE[[#This Row],[ Total Revenue ]]-Project_Data_NYSE[[#This Row],[ Cost of Goods Sold ]]</f>
        <v>16528000000</v>
      </c>
      <c r="H1243" s="3">
        <v>9681000000</v>
      </c>
      <c r="I1243" s="3">
        <v>0</v>
      </c>
      <c r="J1243" s="3">
        <v>643000000</v>
      </c>
      <c r="K1243" s="3">
        <f>Project_Data_NYSE[[#This Row],[Gross Profit]]-Project_Data_NYSE[[#This Row],[ Sales, General and Admin. ]]-Project_Data_NYSE[[#This Row],[ Research and Development ]]-Project_Data_NYSE[[#This Row],[ Other Operating Items ]]</f>
        <v>6204000000</v>
      </c>
      <c r="L1243" t="s">
        <v>46</v>
      </c>
      <c r="M1243" t="s">
        <v>104</v>
      </c>
      <c r="N1243" s="31">
        <f>Project_Data_NYSE[[#This Row],[Gross Profit]]/Project_Data_NYSE[[#This Row],[ Total Revenue ]]</f>
        <v>0.97961119013750597</v>
      </c>
      <c r="O1243" s="31">
        <f>Project_Data_NYSE[[#This Row],[Operating Profit]]/Project_Data_NYSE[[#This Row],[ Total Revenue ]]</f>
        <v>0.36770981507823614</v>
      </c>
    </row>
    <row r="1244" spans="1:15" x14ac:dyDescent="0.2">
      <c r="A1244">
        <v>1290</v>
      </c>
      <c r="B1244" t="s">
        <v>445</v>
      </c>
      <c r="C1244" t="s">
        <v>15</v>
      </c>
      <c r="D1244" s="48">
        <v>42004</v>
      </c>
      <c r="E1244" s="3">
        <v>16281000000</v>
      </c>
      <c r="F1244" s="3">
        <v>325000000</v>
      </c>
      <c r="G1244" s="3">
        <f>Project_Data_NYSE[[#This Row],[ Total Revenue ]]-Project_Data_NYSE[[#This Row],[ Cost of Goods Sold ]]</f>
        <v>15956000000</v>
      </c>
      <c r="H1244" s="3">
        <v>9488000000</v>
      </c>
      <c r="I1244" s="3">
        <v>0</v>
      </c>
      <c r="J1244" s="3">
        <v>273000000</v>
      </c>
      <c r="K1244" s="3">
        <f>Project_Data_NYSE[[#This Row],[Gross Profit]]-Project_Data_NYSE[[#This Row],[ Sales, General and Admin. ]]-Project_Data_NYSE[[#This Row],[ Research and Development ]]-Project_Data_NYSE[[#This Row],[ Other Operating Items ]]</f>
        <v>6195000000</v>
      </c>
      <c r="L1244" t="s">
        <v>46</v>
      </c>
      <c r="M1244" t="s">
        <v>104</v>
      </c>
      <c r="N1244" s="31">
        <f>Project_Data_NYSE[[#This Row],[Gross Profit]]/Project_Data_NYSE[[#This Row],[ Total Revenue ]]</f>
        <v>0.98003808119894353</v>
      </c>
      <c r="O1244" s="31">
        <f>Project_Data_NYSE[[#This Row],[Operating Profit]]/Project_Data_NYSE[[#This Row],[ Total Revenue ]]</f>
        <v>0.38050488299244517</v>
      </c>
    </row>
    <row r="1245" spans="1:15" x14ac:dyDescent="0.2">
      <c r="A1245">
        <v>1291</v>
      </c>
      <c r="B1245" t="s">
        <v>445</v>
      </c>
      <c r="C1245" t="s">
        <v>16</v>
      </c>
      <c r="D1245" s="48">
        <v>42369</v>
      </c>
      <c r="E1245" s="3">
        <v>16270000000</v>
      </c>
      <c r="F1245" s="3">
        <v>403000000</v>
      </c>
      <c r="G1245" s="3">
        <f>Project_Data_NYSE[[#This Row],[ Total Revenue ]]-Project_Data_NYSE[[#This Row],[ Cost of Goods Sold ]]</f>
        <v>15867000000</v>
      </c>
      <c r="H1245" s="3">
        <v>9463000000</v>
      </c>
      <c r="I1245" s="3">
        <v>0</v>
      </c>
      <c r="J1245" s="3">
        <v>255000000</v>
      </c>
      <c r="K1245" s="3">
        <f>Project_Data_NYSE[[#This Row],[Gross Profit]]-Project_Data_NYSE[[#This Row],[ Sales, General and Admin. ]]-Project_Data_NYSE[[#This Row],[ Research and Development ]]-Project_Data_NYSE[[#This Row],[ Other Operating Items ]]</f>
        <v>6149000000</v>
      </c>
      <c r="L1245" t="s">
        <v>46</v>
      </c>
      <c r="M1245" t="s">
        <v>104</v>
      </c>
      <c r="N1245" s="31">
        <f>Project_Data_NYSE[[#This Row],[Gross Profit]]/Project_Data_NYSE[[#This Row],[ Total Revenue ]]</f>
        <v>0.97523048555623848</v>
      </c>
      <c r="O1245" s="31">
        <f>Project_Data_NYSE[[#This Row],[Operating Profit]]/Project_Data_NYSE[[#This Row],[ Total Revenue ]]</f>
        <v>0.37793484941610328</v>
      </c>
    </row>
    <row r="1246" spans="1:15" x14ac:dyDescent="0.2">
      <c r="A1246">
        <v>1292</v>
      </c>
      <c r="B1246" t="s">
        <v>446</v>
      </c>
      <c r="C1246" t="s">
        <v>11</v>
      </c>
      <c r="D1246" s="48">
        <v>41274</v>
      </c>
      <c r="E1246" s="3">
        <v>4306800000</v>
      </c>
      <c r="F1246" s="3">
        <v>3040900000</v>
      </c>
      <c r="G1246" s="3">
        <f>Project_Data_NYSE[[#This Row],[ Total Revenue ]]-Project_Data_NYSE[[#This Row],[ Cost of Goods Sold ]]</f>
        <v>1265900000</v>
      </c>
      <c r="H1246" s="3">
        <v>1117700000</v>
      </c>
      <c r="I1246" s="3">
        <v>92300000</v>
      </c>
      <c r="J1246" s="3">
        <v>0</v>
      </c>
      <c r="K1246" s="3">
        <f>Project_Data_NYSE[[#This Row],[Gross Profit]]-Project_Data_NYSE[[#This Row],[ Sales, General and Admin. ]]-Project_Data_NYSE[[#This Row],[ Research and Development ]]-Project_Data_NYSE[[#This Row],[ Other Operating Items ]]</f>
        <v>55900000</v>
      </c>
      <c r="L1246" t="s">
        <v>12</v>
      </c>
      <c r="M1246" t="s">
        <v>156</v>
      </c>
      <c r="N1246" s="31">
        <f>Project_Data_NYSE[[#This Row],[Gross Profit]]/Project_Data_NYSE[[#This Row],[ Total Revenue ]]</f>
        <v>0.29393052846661094</v>
      </c>
      <c r="O1246" s="31">
        <f>Project_Data_NYSE[[#This Row],[Operating Profit]]/Project_Data_NYSE[[#This Row],[ Total Revenue ]]</f>
        <v>1.2979474319680506E-2</v>
      </c>
    </row>
    <row r="1247" spans="1:15" x14ac:dyDescent="0.2">
      <c r="A1247">
        <v>1293</v>
      </c>
      <c r="B1247" t="s">
        <v>446</v>
      </c>
      <c r="C1247" t="s">
        <v>14</v>
      </c>
      <c r="D1247" s="48">
        <v>41639</v>
      </c>
      <c r="E1247" s="3">
        <v>6999700000</v>
      </c>
      <c r="F1247" s="3">
        <v>4629600000</v>
      </c>
      <c r="G1247" s="3">
        <f>Project_Data_NYSE[[#This Row],[ Total Revenue ]]-Project_Data_NYSE[[#This Row],[ Cost of Goods Sold ]]</f>
        <v>2370100000</v>
      </c>
      <c r="H1247" s="3">
        <v>1493700000</v>
      </c>
      <c r="I1247" s="3">
        <v>122800000</v>
      </c>
      <c r="J1247" s="3">
        <v>0</v>
      </c>
      <c r="K1247" s="3">
        <f>Project_Data_NYSE[[#This Row],[Gross Profit]]-Project_Data_NYSE[[#This Row],[ Sales, General and Admin. ]]-Project_Data_NYSE[[#This Row],[ Research and Development ]]-Project_Data_NYSE[[#This Row],[ Other Operating Items ]]</f>
        <v>753600000</v>
      </c>
      <c r="L1247" t="s">
        <v>12</v>
      </c>
      <c r="M1247" t="s">
        <v>156</v>
      </c>
      <c r="N1247" s="31">
        <f>Project_Data_NYSE[[#This Row],[Gross Profit]]/Project_Data_NYSE[[#This Row],[ Total Revenue ]]</f>
        <v>0.33860022572395959</v>
      </c>
      <c r="O1247" s="31">
        <f>Project_Data_NYSE[[#This Row],[Operating Profit]]/Project_Data_NYSE[[#This Row],[ Total Revenue ]]</f>
        <v>0.10766175693243996</v>
      </c>
    </row>
    <row r="1248" spans="1:15" x14ac:dyDescent="0.2">
      <c r="A1248">
        <v>1294</v>
      </c>
      <c r="B1248" t="s">
        <v>446</v>
      </c>
      <c r="C1248" t="s">
        <v>15</v>
      </c>
      <c r="D1248" s="48">
        <v>42004</v>
      </c>
      <c r="E1248" s="3">
        <v>7039000000</v>
      </c>
      <c r="F1248" s="3">
        <v>4576000000</v>
      </c>
      <c r="G1248" s="3">
        <f>Project_Data_NYSE[[#This Row],[ Total Revenue ]]-Project_Data_NYSE[[#This Row],[ Cost of Goods Sold ]]</f>
        <v>2463000000</v>
      </c>
      <c r="H1248" s="3">
        <v>1493800000</v>
      </c>
      <c r="I1248" s="3">
        <v>117300000</v>
      </c>
      <c r="J1248" s="3">
        <v>0</v>
      </c>
      <c r="K1248" s="3">
        <f>Project_Data_NYSE[[#This Row],[Gross Profit]]-Project_Data_NYSE[[#This Row],[ Sales, General and Admin. ]]-Project_Data_NYSE[[#This Row],[ Research and Development ]]-Project_Data_NYSE[[#This Row],[ Other Operating Items ]]</f>
        <v>851900000</v>
      </c>
      <c r="L1248" t="s">
        <v>12</v>
      </c>
      <c r="M1248" t="s">
        <v>156</v>
      </c>
      <c r="N1248" s="31">
        <f>Project_Data_NYSE[[#This Row],[Gross Profit]]/Project_Data_NYSE[[#This Row],[ Total Revenue ]]</f>
        <v>0.34990765733769003</v>
      </c>
      <c r="O1248" s="31">
        <f>Project_Data_NYSE[[#This Row],[Operating Profit]]/Project_Data_NYSE[[#This Row],[ Total Revenue ]]</f>
        <v>0.12102571387981248</v>
      </c>
    </row>
    <row r="1249" spans="1:15" x14ac:dyDescent="0.2">
      <c r="A1249">
        <v>1295</v>
      </c>
      <c r="B1249" t="s">
        <v>446</v>
      </c>
      <c r="C1249" t="s">
        <v>16</v>
      </c>
      <c r="D1249" s="48">
        <v>42369</v>
      </c>
      <c r="E1249" s="3">
        <v>6449000000</v>
      </c>
      <c r="F1249" s="3">
        <v>4263200000</v>
      </c>
      <c r="G1249" s="3">
        <f>Project_Data_NYSE[[#This Row],[ Total Revenue ]]-Project_Data_NYSE[[#This Row],[ Cost of Goods Sold ]]</f>
        <v>2185800000</v>
      </c>
      <c r="H1249" s="3">
        <v>1334300000</v>
      </c>
      <c r="I1249" s="3">
        <v>119600000</v>
      </c>
      <c r="J1249" s="3">
        <v>0</v>
      </c>
      <c r="K1249" s="3">
        <f>Project_Data_NYSE[[#This Row],[Gross Profit]]-Project_Data_NYSE[[#This Row],[ Sales, General and Admin. ]]-Project_Data_NYSE[[#This Row],[ Research and Development ]]-Project_Data_NYSE[[#This Row],[ Other Operating Items ]]</f>
        <v>731900000</v>
      </c>
      <c r="L1249" t="s">
        <v>12</v>
      </c>
      <c r="M1249" t="s">
        <v>156</v>
      </c>
      <c r="N1249" s="31">
        <f>Project_Data_NYSE[[#This Row],[Gross Profit]]/Project_Data_NYSE[[#This Row],[ Total Revenue ]]</f>
        <v>0.33893626918902153</v>
      </c>
      <c r="O1249" s="31">
        <f>Project_Data_NYSE[[#This Row],[Operating Profit]]/Project_Data_NYSE[[#This Row],[ Total Revenue ]]</f>
        <v>0.11349046363777329</v>
      </c>
    </row>
    <row r="1250" spans="1:15" x14ac:dyDescent="0.2">
      <c r="A1250">
        <v>1296</v>
      </c>
      <c r="B1250" t="s">
        <v>447</v>
      </c>
      <c r="C1250" t="s">
        <v>11</v>
      </c>
      <c r="D1250" s="48">
        <v>41274</v>
      </c>
      <c r="E1250" s="3">
        <v>3301804000</v>
      </c>
      <c r="F1250" s="3">
        <v>1879559000</v>
      </c>
      <c r="G1250" s="3">
        <f>Project_Data_NYSE[[#This Row],[ Total Revenue ]]-Project_Data_NYSE[[#This Row],[ Cost of Goods Sold ]]</f>
        <v>1422245000</v>
      </c>
      <c r="H1250" s="3">
        <v>166154000</v>
      </c>
      <c r="I1250" s="3">
        <v>0</v>
      </c>
      <c r="J1250" s="3">
        <v>404336000</v>
      </c>
      <c r="K1250" s="3">
        <f>Project_Data_NYSE[[#This Row],[Gross Profit]]-Project_Data_NYSE[[#This Row],[ Sales, General and Admin. ]]-Project_Data_NYSE[[#This Row],[ Research and Development ]]-Project_Data_NYSE[[#This Row],[ Other Operating Items ]]</f>
        <v>851755000</v>
      </c>
      <c r="L1250" t="s">
        <v>41</v>
      </c>
      <c r="M1250" t="s">
        <v>42</v>
      </c>
      <c r="N1250" s="31">
        <f>Project_Data_NYSE[[#This Row],[Gross Profit]]/Project_Data_NYSE[[#This Row],[ Total Revenue ]]</f>
        <v>0.43074785783771541</v>
      </c>
      <c r="O1250" s="31">
        <f>Project_Data_NYSE[[#This Row],[Operating Profit]]/Project_Data_NYSE[[#This Row],[ Total Revenue ]]</f>
        <v>0.25796655404136648</v>
      </c>
    </row>
    <row r="1251" spans="1:15" x14ac:dyDescent="0.2">
      <c r="A1251">
        <v>1297</v>
      </c>
      <c r="B1251" t="s">
        <v>447</v>
      </c>
      <c r="C1251" t="s">
        <v>14</v>
      </c>
      <c r="D1251" s="48">
        <v>41639</v>
      </c>
      <c r="E1251" s="3">
        <v>3454628000</v>
      </c>
      <c r="F1251" s="3">
        <v>2020436000</v>
      </c>
      <c r="G1251" s="3">
        <f>Project_Data_NYSE[[#This Row],[ Total Revenue ]]-Project_Data_NYSE[[#This Row],[ Cost of Goods Sold ]]</f>
        <v>1434192000</v>
      </c>
      <c r="H1251" s="3">
        <v>172161000</v>
      </c>
      <c r="I1251" s="3">
        <v>0</v>
      </c>
      <c r="J1251" s="3">
        <v>415708000</v>
      </c>
      <c r="K1251" s="3">
        <f>Project_Data_NYSE[[#This Row],[Gross Profit]]-Project_Data_NYSE[[#This Row],[ Sales, General and Admin. ]]-Project_Data_NYSE[[#This Row],[ Research and Development ]]-Project_Data_NYSE[[#This Row],[ Other Operating Items ]]</f>
        <v>846323000</v>
      </c>
      <c r="L1251" t="s">
        <v>41</v>
      </c>
      <c r="M1251" t="s">
        <v>42</v>
      </c>
      <c r="N1251" s="31">
        <f>Project_Data_NYSE[[#This Row],[Gross Profit]]/Project_Data_NYSE[[#This Row],[ Total Revenue ]]</f>
        <v>0.41515092218322786</v>
      </c>
      <c r="O1251" s="31">
        <f>Project_Data_NYSE[[#This Row],[Operating Profit]]/Project_Data_NYSE[[#This Row],[ Total Revenue ]]</f>
        <v>0.24498238305253128</v>
      </c>
    </row>
    <row r="1252" spans="1:15" x14ac:dyDescent="0.2">
      <c r="A1252">
        <v>1298</v>
      </c>
      <c r="B1252" t="s">
        <v>447</v>
      </c>
      <c r="C1252" t="s">
        <v>15</v>
      </c>
      <c r="D1252" s="48">
        <v>42004</v>
      </c>
      <c r="E1252" s="3">
        <v>3491632000</v>
      </c>
      <c r="F1252" s="3">
        <v>2087854000</v>
      </c>
      <c r="G1252" s="3">
        <f>Project_Data_NYSE[[#This Row],[ Total Revenue ]]-Project_Data_NYSE[[#This Row],[ Cost of Goods Sold ]]</f>
        <v>1403778000</v>
      </c>
      <c r="H1252" s="3">
        <v>175178000</v>
      </c>
      <c r="I1252" s="3">
        <v>0</v>
      </c>
      <c r="J1252" s="3">
        <v>417358000</v>
      </c>
      <c r="K1252" s="3">
        <f>Project_Data_NYSE[[#This Row],[Gross Profit]]-Project_Data_NYSE[[#This Row],[ Sales, General and Admin. ]]-Project_Data_NYSE[[#This Row],[ Research and Development ]]-Project_Data_NYSE[[#This Row],[ Other Operating Items ]]</f>
        <v>811242000</v>
      </c>
      <c r="L1252" t="s">
        <v>41</v>
      </c>
      <c r="M1252" t="s">
        <v>42</v>
      </c>
      <c r="N1252" s="31">
        <f>Project_Data_NYSE[[#This Row],[Gross Profit]]/Project_Data_NYSE[[#This Row],[ Total Revenue ]]</f>
        <v>0.40204065033199377</v>
      </c>
      <c r="O1252" s="31">
        <f>Project_Data_NYSE[[#This Row],[Operating Profit]]/Project_Data_NYSE[[#This Row],[ Total Revenue ]]</f>
        <v>0.23233891773245291</v>
      </c>
    </row>
    <row r="1253" spans="1:15" x14ac:dyDescent="0.2">
      <c r="A1253">
        <v>1299</v>
      </c>
      <c r="B1253" t="s">
        <v>447</v>
      </c>
      <c r="C1253" t="s">
        <v>16</v>
      </c>
      <c r="D1253" s="48">
        <v>42369</v>
      </c>
      <c r="E1253" s="3">
        <v>3495443000</v>
      </c>
      <c r="F1253" s="3">
        <v>1969675000</v>
      </c>
      <c r="G1253" s="3">
        <f>Project_Data_NYSE[[#This Row],[ Total Revenue ]]-Project_Data_NYSE[[#This Row],[ Cost of Goods Sold ]]</f>
        <v>1525768000</v>
      </c>
      <c r="H1253" s="3">
        <v>176744000</v>
      </c>
      <c r="I1253" s="3">
        <v>0</v>
      </c>
      <c r="J1253" s="3">
        <v>494422000</v>
      </c>
      <c r="K1253" s="3">
        <f>Project_Data_NYSE[[#This Row],[Gross Profit]]-Project_Data_NYSE[[#This Row],[ Sales, General and Admin. ]]-Project_Data_NYSE[[#This Row],[ Research and Development ]]-Project_Data_NYSE[[#This Row],[ Other Operating Items ]]</f>
        <v>854602000</v>
      </c>
      <c r="L1253" t="s">
        <v>41</v>
      </c>
      <c r="M1253" t="s">
        <v>42</v>
      </c>
      <c r="N1253" s="31">
        <f>Project_Data_NYSE[[#This Row],[Gross Profit]]/Project_Data_NYSE[[#This Row],[ Total Revenue ]]</f>
        <v>0.43650203994171838</v>
      </c>
      <c r="O1253" s="31">
        <f>Project_Data_NYSE[[#This Row],[Operating Profit]]/Project_Data_NYSE[[#This Row],[ Total Revenue ]]</f>
        <v>0.24449032640497928</v>
      </c>
    </row>
    <row r="1254" spans="1:15" x14ac:dyDescent="0.2">
      <c r="A1254">
        <v>1300</v>
      </c>
      <c r="B1254" t="s">
        <v>448</v>
      </c>
      <c r="C1254" t="s">
        <v>11</v>
      </c>
      <c r="D1254" s="48">
        <v>41639</v>
      </c>
      <c r="E1254" s="3">
        <v>14265000000</v>
      </c>
      <c r="F1254" s="3">
        <v>8314000000</v>
      </c>
      <c r="G1254" s="3">
        <f>Project_Data_NYSE[[#This Row],[ Total Revenue ]]-Project_Data_NYSE[[#This Row],[ Cost of Goods Sold ]]</f>
        <v>5951000000</v>
      </c>
      <c r="H1254" s="3">
        <v>3486000000</v>
      </c>
      <c r="I1254" s="3">
        <v>463000000</v>
      </c>
      <c r="J1254" s="3">
        <v>452000000</v>
      </c>
      <c r="K1254" s="3">
        <f>Project_Data_NYSE[[#This Row],[Gross Profit]]-Project_Data_NYSE[[#This Row],[ Sales, General and Admin. ]]-Project_Data_NYSE[[#This Row],[ Research and Development ]]-Project_Data_NYSE[[#This Row],[ Other Operating Items ]]</f>
        <v>1550000000</v>
      </c>
      <c r="L1254" t="s">
        <v>58</v>
      </c>
      <c r="M1254" t="s">
        <v>192</v>
      </c>
      <c r="N1254" s="31">
        <f>Project_Data_NYSE[[#This Row],[Gross Profit]]/Project_Data_NYSE[[#This Row],[ Total Revenue ]]</f>
        <v>0.41717490361023485</v>
      </c>
      <c r="O1254" s="31">
        <f>Project_Data_NYSE[[#This Row],[Operating Profit]]/Project_Data_NYSE[[#This Row],[ Total Revenue ]]</f>
        <v>0.10865755345250613</v>
      </c>
    </row>
    <row r="1255" spans="1:15" x14ac:dyDescent="0.2">
      <c r="A1255">
        <v>1301</v>
      </c>
      <c r="B1255" t="s">
        <v>448</v>
      </c>
      <c r="C1255" t="s">
        <v>14</v>
      </c>
      <c r="D1255" s="48">
        <v>42004</v>
      </c>
      <c r="E1255" s="3">
        <v>14791000000</v>
      </c>
      <c r="F1255" s="3">
        <v>8348000000</v>
      </c>
      <c r="G1255" s="3">
        <f>Project_Data_NYSE[[#This Row],[ Total Revenue ]]-Project_Data_NYSE[[#This Row],[ Cost of Goods Sold ]]</f>
        <v>6443000000</v>
      </c>
      <c r="H1255" s="3">
        <v>4013000000</v>
      </c>
      <c r="I1255" s="3">
        <v>483000000</v>
      </c>
      <c r="J1255" s="3">
        <v>450000000</v>
      </c>
      <c r="K1255" s="3">
        <f>Project_Data_NYSE[[#This Row],[Gross Profit]]-Project_Data_NYSE[[#This Row],[ Sales, General and Admin. ]]-Project_Data_NYSE[[#This Row],[ Research and Development ]]-Project_Data_NYSE[[#This Row],[ Other Operating Items ]]</f>
        <v>1497000000</v>
      </c>
      <c r="L1255" t="s">
        <v>58</v>
      </c>
      <c r="M1255" t="s">
        <v>192</v>
      </c>
      <c r="N1255" s="31">
        <f>Project_Data_NYSE[[#This Row],[Gross Profit]]/Project_Data_NYSE[[#This Row],[ Total Revenue ]]</f>
        <v>0.43560273139071054</v>
      </c>
      <c r="O1255" s="31">
        <f>Project_Data_NYSE[[#This Row],[Operating Profit]]/Project_Data_NYSE[[#This Row],[ Total Revenue ]]</f>
        <v>0.10121019538908796</v>
      </c>
    </row>
    <row r="1256" spans="1:15" x14ac:dyDescent="0.2">
      <c r="A1256">
        <v>1302</v>
      </c>
      <c r="B1256" t="s">
        <v>448</v>
      </c>
      <c r="C1256" t="s">
        <v>15</v>
      </c>
      <c r="D1256" s="48">
        <v>42369</v>
      </c>
      <c r="E1256" s="3">
        <v>14766000000</v>
      </c>
      <c r="F1256" s="3">
        <v>8206000000</v>
      </c>
      <c r="G1256" s="3">
        <f>Project_Data_NYSE[[#This Row],[ Total Revenue ]]-Project_Data_NYSE[[#This Row],[ Cost of Goods Sold ]]</f>
        <v>6560000000</v>
      </c>
      <c r="H1256" s="3">
        <v>3624000000</v>
      </c>
      <c r="I1256" s="3">
        <v>476000000</v>
      </c>
      <c r="J1256" s="3">
        <v>471000000</v>
      </c>
      <c r="K1256" s="3">
        <f>Project_Data_NYSE[[#This Row],[Gross Profit]]-Project_Data_NYSE[[#This Row],[ Sales, General and Admin. ]]-Project_Data_NYSE[[#This Row],[ Research and Development ]]-Project_Data_NYSE[[#This Row],[ Other Operating Items ]]</f>
        <v>1989000000</v>
      </c>
      <c r="L1256" t="s">
        <v>58</v>
      </c>
      <c r="M1256" t="s">
        <v>192</v>
      </c>
      <c r="N1256" s="31">
        <f>Project_Data_NYSE[[#This Row],[Gross Profit]]/Project_Data_NYSE[[#This Row],[ Total Revenue ]]</f>
        <v>0.44426384938371938</v>
      </c>
      <c r="O1256" s="31">
        <f>Project_Data_NYSE[[#This Row],[Operating Profit]]/Project_Data_NYSE[[#This Row],[ Total Revenue ]]</f>
        <v>0.13470134091832589</v>
      </c>
    </row>
    <row r="1257" spans="1:15" x14ac:dyDescent="0.2">
      <c r="A1257">
        <v>1303</v>
      </c>
      <c r="B1257" t="s">
        <v>448</v>
      </c>
      <c r="C1257" t="s">
        <v>16</v>
      </c>
      <c r="D1257" s="48">
        <v>42735</v>
      </c>
      <c r="E1257" s="3">
        <v>14751000000</v>
      </c>
      <c r="F1257" s="3">
        <v>8063000000</v>
      </c>
      <c r="G1257" s="3">
        <f>Project_Data_NYSE[[#This Row],[ Total Revenue ]]-Project_Data_NYSE[[#This Row],[ Cost of Goods Sold ]]</f>
        <v>6688000000</v>
      </c>
      <c r="H1257" s="3">
        <v>4630000000</v>
      </c>
      <c r="I1257" s="3">
        <v>466000000</v>
      </c>
      <c r="J1257" s="3">
        <v>462000000</v>
      </c>
      <c r="K1257" s="3">
        <f>Project_Data_NYSE[[#This Row],[Gross Profit]]-Project_Data_NYSE[[#This Row],[ Sales, General and Admin. ]]-Project_Data_NYSE[[#This Row],[ Research and Development ]]-Project_Data_NYSE[[#This Row],[ Other Operating Items ]]</f>
        <v>1130000000</v>
      </c>
      <c r="L1257" t="s">
        <v>58</v>
      </c>
      <c r="M1257" t="s">
        <v>192</v>
      </c>
      <c r="N1257" s="31">
        <f>Project_Data_NYSE[[#This Row],[Gross Profit]]/Project_Data_NYSE[[#This Row],[ Total Revenue ]]</f>
        <v>0.45339299030574198</v>
      </c>
      <c r="O1257" s="31">
        <f>Project_Data_NYSE[[#This Row],[Operating Profit]]/Project_Data_NYSE[[#This Row],[ Total Revenue ]]</f>
        <v>7.6604975933835001E-2</v>
      </c>
    </row>
    <row r="1258" spans="1:15" x14ac:dyDescent="0.2">
      <c r="A1258">
        <v>1304</v>
      </c>
      <c r="B1258" t="s">
        <v>449</v>
      </c>
      <c r="C1258" t="s">
        <v>11</v>
      </c>
      <c r="D1258" s="48">
        <v>41274</v>
      </c>
      <c r="E1258" s="3">
        <v>12132000000</v>
      </c>
      <c r="F1258" s="3">
        <v>4876000000</v>
      </c>
      <c r="G1258" s="3">
        <f>Project_Data_NYSE[[#This Row],[ Total Revenue ]]-Project_Data_NYSE[[#This Row],[ Cost of Goods Sold ]]</f>
        <v>7256000000</v>
      </c>
      <c r="H1258" s="3">
        <v>3143000000</v>
      </c>
      <c r="I1258" s="3">
        <v>0</v>
      </c>
      <c r="J1258" s="3">
        <v>1087000000</v>
      </c>
      <c r="K1258" s="3">
        <f>Project_Data_NYSE[[#This Row],[Gross Profit]]-Project_Data_NYSE[[#This Row],[ Sales, General and Admin. ]]-Project_Data_NYSE[[#This Row],[ Research and Development ]]-Project_Data_NYSE[[#This Row],[ Other Operating Items ]]</f>
        <v>3026000000</v>
      </c>
      <c r="L1258" t="s">
        <v>41</v>
      </c>
      <c r="M1258" t="s">
        <v>44</v>
      </c>
      <c r="N1258" s="31">
        <f>Project_Data_NYSE[[#This Row],[Gross Profit]]/Project_Data_NYSE[[#This Row],[ Total Revenue ]]</f>
        <v>0.59808770194526872</v>
      </c>
      <c r="O1258" s="31">
        <f>Project_Data_NYSE[[#This Row],[Operating Profit]]/Project_Data_NYSE[[#This Row],[ Total Revenue ]]</f>
        <v>0.249423013517969</v>
      </c>
    </row>
    <row r="1259" spans="1:15" x14ac:dyDescent="0.2">
      <c r="A1259">
        <v>1305</v>
      </c>
      <c r="B1259" t="s">
        <v>449</v>
      </c>
      <c r="C1259" t="s">
        <v>14</v>
      </c>
      <c r="D1259" s="48">
        <v>41639</v>
      </c>
      <c r="E1259" s="3">
        <v>7263000000</v>
      </c>
      <c r="F1259" s="3">
        <v>1751000000</v>
      </c>
      <c r="G1259" s="3">
        <f>Project_Data_NYSE[[#This Row],[ Total Revenue ]]-Project_Data_NYSE[[#This Row],[ Cost of Goods Sold ]]</f>
        <v>5512000000</v>
      </c>
      <c r="H1259" s="3">
        <v>2108000000</v>
      </c>
      <c r="I1259" s="3">
        <v>0</v>
      </c>
      <c r="J1259" s="3">
        <v>843000000</v>
      </c>
      <c r="K1259" s="3">
        <f>Project_Data_NYSE[[#This Row],[Gross Profit]]-Project_Data_NYSE[[#This Row],[ Sales, General and Admin. ]]-Project_Data_NYSE[[#This Row],[ Research and Development ]]-Project_Data_NYSE[[#This Row],[ Other Operating Items ]]</f>
        <v>2561000000</v>
      </c>
      <c r="L1259" t="s">
        <v>41</v>
      </c>
      <c r="M1259" t="s">
        <v>44</v>
      </c>
      <c r="N1259" s="31">
        <f>Project_Data_NYSE[[#This Row],[Gross Profit]]/Project_Data_NYSE[[#This Row],[ Total Revenue ]]</f>
        <v>0.7589150488778742</v>
      </c>
      <c r="O1259" s="31">
        <f>Project_Data_NYSE[[#This Row],[Operating Profit]]/Project_Data_NYSE[[#This Row],[ Total Revenue ]]</f>
        <v>0.35260911469089906</v>
      </c>
    </row>
    <row r="1260" spans="1:15" x14ac:dyDescent="0.2">
      <c r="A1260">
        <v>1306</v>
      </c>
      <c r="B1260" t="s">
        <v>449</v>
      </c>
      <c r="C1260" t="s">
        <v>15</v>
      </c>
      <c r="D1260" s="48">
        <v>42004</v>
      </c>
      <c r="E1260" s="3">
        <v>7852000000</v>
      </c>
      <c r="F1260" s="3">
        <v>1889000000</v>
      </c>
      <c r="G1260" s="3">
        <f>Project_Data_NYSE[[#This Row],[ Total Revenue ]]-Project_Data_NYSE[[#This Row],[ Cost of Goods Sold ]]</f>
        <v>5963000000</v>
      </c>
      <c r="H1260" s="3">
        <v>2173000000</v>
      </c>
      <c r="I1260" s="3">
        <v>0</v>
      </c>
      <c r="J1260" s="3">
        <v>923000000</v>
      </c>
      <c r="K1260" s="3">
        <f>Project_Data_NYSE[[#This Row],[Gross Profit]]-Project_Data_NYSE[[#This Row],[ Sales, General and Admin. ]]-Project_Data_NYSE[[#This Row],[ Research and Development ]]-Project_Data_NYSE[[#This Row],[ Other Operating Items ]]</f>
        <v>2867000000</v>
      </c>
      <c r="L1260" t="s">
        <v>41</v>
      </c>
      <c r="M1260" t="s">
        <v>44</v>
      </c>
      <c r="N1260" s="31">
        <f>Project_Data_NYSE[[#This Row],[Gross Profit]]/Project_Data_NYSE[[#This Row],[ Total Revenue ]]</f>
        <v>0.75942435048395318</v>
      </c>
      <c r="O1260" s="31">
        <f>Project_Data_NYSE[[#This Row],[Operating Profit]]/Project_Data_NYSE[[#This Row],[ Total Revenue ]]</f>
        <v>0.36512990320937339</v>
      </c>
    </row>
    <row r="1261" spans="1:15" x14ac:dyDescent="0.2">
      <c r="A1261">
        <v>1307</v>
      </c>
      <c r="B1261" t="s">
        <v>449</v>
      </c>
      <c r="C1261" t="s">
        <v>16</v>
      </c>
      <c r="D1261" s="48">
        <v>42369</v>
      </c>
      <c r="E1261" s="3">
        <v>7669000000</v>
      </c>
      <c r="F1261" s="3">
        <v>1718000000</v>
      </c>
      <c r="G1261" s="3">
        <f>Project_Data_NYSE[[#This Row],[ Total Revenue ]]-Project_Data_NYSE[[#This Row],[ Cost of Goods Sold ]]</f>
        <v>5951000000</v>
      </c>
      <c r="H1261" s="3">
        <v>2237000000</v>
      </c>
      <c r="I1261" s="3">
        <v>0</v>
      </c>
      <c r="J1261" s="3">
        <v>883000000</v>
      </c>
      <c r="K1261" s="3">
        <f>Project_Data_NYSE[[#This Row],[Gross Profit]]-Project_Data_NYSE[[#This Row],[ Sales, General and Admin. ]]-Project_Data_NYSE[[#This Row],[ Research and Development ]]-Project_Data_NYSE[[#This Row],[ Other Operating Items ]]</f>
        <v>2831000000</v>
      </c>
      <c r="L1261" t="s">
        <v>41</v>
      </c>
      <c r="M1261" t="s">
        <v>44</v>
      </c>
      <c r="N1261" s="31">
        <f>Project_Data_NYSE[[#This Row],[Gross Profit]]/Project_Data_NYSE[[#This Row],[ Total Revenue ]]</f>
        <v>0.77598122310601125</v>
      </c>
      <c r="O1261" s="31">
        <f>Project_Data_NYSE[[#This Row],[Operating Profit]]/Project_Data_NYSE[[#This Row],[ Total Revenue ]]</f>
        <v>0.36914852001564741</v>
      </c>
    </row>
    <row r="1262" spans="1:15" x14ac:dyDescent="0.2">
      <c r="A1262">
        <v>1308</v>
      </c>
      <c r="B1262" t="s">
        <v>450</v>
      </c>
      <c r="C1262" t="s">
        <v>11</v>
      </c>
      <c r="D1262" s="48">
        <v>41274</v>
      </c>
      <c r="E1262" s="3">
        <v>84847000000</v>
      </c>
      <c r="F1262" s="3">
        <v>66635000000</v>
      </c>
      <c r="G1262" s="3">
        <f>Project_Data_NYSE[[#This Row],[ Total Revenue ]]-Project_Data_NYSE[[#This Row],[ Cost of Goods Sold ]]</f>
        <v>18212000000</v>
      </c>
      <c r="H1262" s="3">
        <v>17504000000</v>
      </c>
      <c r="I1262" s="3">
        <v>0</v>
      </c>
      <c r="J1262" s="3">
        <v>0</v>
      </c>
      <c r="K1262" s="3">
        <f>Project_Data_NYSE[[#This Row],[Gross Profit]]-Project_Data_NYSE[[#This Row],[ Sales, General and Admin. ]]-Project_Data_NYSE[[#This Row],[ Research and Development ]]-Project_Data_NYSE[[#This Row],[ Other Operating Items ]]</f>
        <v>708000000</v>
      </c>
      <c r="L1262" t="s">
        <v>46</v>
      </c>
      <c r="M1262" t="s">
        <v>378</v>
      </c>
      <c r="N1262" s="31">
        <f>Project_Data_NYSE[[#This Row],[Gross Profit]]/Project_Data_NYSE[[#This Row],[ Total Revenue ]]</f>
        <v>0.21464518486216366</v>
      </c>
      <c r="O1262" s="31">
        <f>Project_Data_NYSE[[#This Row],[Operating Profit]]/Project_Data_NYSE[[#This Row],[ Total Revenue ]]</f>
        <v>8.3444317418411972E-3</v>
      </c>
    </row>
    <row r="1263" spans="1:15" x14ac:dyDescent="0.2">
      <c r="A1263">
        <v>1309</v>
      </c>
      <c r="B1263" t="s">
        <v>450</v>
      </c>
      <c r="C1263" t="s">
        <v>14</v>
      </c>
      <c r="D1263" s="48">
        <v>41639</v>
      </c>
      <c r="E1263" s="3">
        <v>41461000000</v>
      </c>
      <c r="F1263" s="3">
        <v>26973000000</v>
      </c>
      <c r="G1263" s="3">
        <f>Project_Data_NYSE[[#This Row],[ Total Revenue ]]-Project_Data_NYSE[[#This Row],[ Cost of Goods Sold ]]</f>
        <v>14488000000</v>
      </c>
      <c r="H1263" s="3">
        <v>16172000000</v>
      </c>
      <c r="I1263" s="3">
        <v>0</v>
      </c>
      <c r="J1263" s="3">
        <v>0</v>
      </c>
      <c r="K1263" s="3">
        <f>Project_Data_NYSE[[#This Row],[Gross Profit]]-Project_Data_NYSE[[#This Row],[ Sales, General and Admin. ]]-Project_Data_NYSE[[#This Row],[ Research and Development ]]-Project_Data_NYSE[[#This Row],[ Other Operating Items ]]</f>
        <v>-1684000000</v>
      </c>
      <c r="L1263" t="s">
        <v>46</v>
      </c>
      <c r="M1263" t="s">
        <v>378</v>
      </c>
      <c r="N1263" s="31">
        <f>Project_Data_NYSE[[#This Row],[Gross Profit]]/Project_Data_NYSE[[#This Row],[ Total Revenue ]]</f>
        <v>0.34943682014423194</v>
      </c>
      <c r="O1263" s="31">
        <f>Project_Data_NYSE[[#This Row],[Operating Profit]]/Project_Data_NYSE[[#This Row],[ Total Revenue ]]</f>
        <v>-4.0616482959890017E-2</v>
      </c>
    </row>
    <row r="1264" spans="1:15" x14ac:dyDescent="0.2">
      <c r="A1264">
        <v>1310</v>
      </c>
      <c r="B1264" t="s">
        <v>450</v>
      </c>
      <c r="C1264" t="s">
        <v>15</v>
      </c>
      <c r="D1264" s="48">
        <v>42004</v>
      </c>
      <c r="E1264" s="3">
        <v>54105000000</v>
      </c>
      <c r="F1264" s="3">
        <v>33560000000</v>
      </c>
      <c r="G1264" s="3">
        <f>Project_Data_NYSE[[#This Row],[ Total Revenue ]]-Project_Data_NYSE[[#This Row],[ Cost of Goods Sold ]]</f>
        <v>20545000000</v>
      </c>
      <c r="H1264" s="3">
        <v>18786000000</v>
      </c>
      <c r="I1264" s="3">
        <v>0</v>
      </c>
      <c r="J1264" s="3">
        <v>0</v>
      </c>
      <c r="K1264" s="3">
        <f>Project_Data_NYSE[[#This Row],[Gross Profit]]-Project_Data_NYSE[[#This Row],[ Sales, General and Admin. ]]-Project_Data_NYSE[[#This Row],[ Research and Development ]]-Project_Data_NYSE[[#This Row],[ Other Operating Items ]]</f>
        <v>1759000000</v>
      </c>
      <c r="L1264" t="s">
        <v>46</v>
      </c>
      <c r="M1264" t="s">
        <v>378</v>
      </c>
      <c r="N1264" s="31">
        <f>Project_Data_NYSE[[#This Row],[Gross Profit]]/Project_Data_NYSE[[#This Row],[ Total Revenue ]]</f>
        <v>0.37972460955549392</v>
      </c>
      <c r="O1264" s="31">
        <f>Project_Data_NYSE[[#This Row],[Operating Profit]]/Project_Data_NYSE[[#This Row],[ Total Revenue ]]</f>
        <v>3.2510858515848812E-2</v>
      </c>
    </row>
    <row r="1265" spans="1:15" x14ac:dyDescent="0.2">
      <c r="A1265">
        <v>1311</v>
      </c>
      <c r="B1265" t="s">
        <v>450</v>
      </c>
      <c r="C1265" t="s">
        <v>16</v>
      </c>
      <c r="D1265" s="48">
        <v>42369</v>
      </c>
      <c r="E1265" s="3">
        <v>57119000000</v>
      </c>
      <c r="F1265" s="3">
        <v>32747000000</v>
      </c>
      <c r="G1265" s="3">
        <f>Project_Data_NYSE[[#This Row],[ Total Revenue ]]-Project_Data_NYSE[[#This Row],[ Cost of Goods Sold ]]</f>
        <v>24372000000</v>
      </c>
      <c r="H1265" s="3">
        <v>16603000000</v>
      </c>
      <c r="I1265" s="3">
        <v>0</v>
      </c>
      <c r="J1265" s="3">
        <v>0</v>
      </c>
      <c r="K1265" s="3">
        <f>Project_Data_NYSE[[#This Row],[Gross Profit]]-Project_Data_NYSE[[#This Row],[ Sales, General and Admin. ]]-Project_Data_NYSE[[#This Row],[ Research and Development ]]-Project_Data_NYSE[[#This Row],[ Other Operating Items ]]</f>
        <v>7769000000</v>
      </c>
      <c r="L1265" t="s">
        <v>46</v>
      </c>
      <c r="M1265" t="s">
        <v>378</v>
      </c>
      <c r="N1265" s="31">
        <f>Project_Data_NYSE[[#This Row],[Gross Profit]]/Project_Data_NYSE[[#This Row],[ Total Revenue ]]</f>
        <v>0.42668814229940999</v>
      </c>
      <c r="O1265" s="31">
        <f>Project_Data_NYSE[[#This Row],[Operating Profit]]/Project_Data_NYSE[[#This Row],[ Total Revenue ]]</f>
        <v>0.13601428596439014</v>
      </c>
    </row>
    <row r="1266" spans="1:15" x14ac:dyDescent="0.2">
      <c r="A1266">
        <v>1312</v>
      </c>
      <c r="B1266" t="s">
        <v>451</v>
      </c>
      <c r="C1266" t="s">
        <v>11</v>
      </c>
      <c r="D1266" s="48">
        <v>41274</v>
      </c>
      <c r="E1266" s="3">
        <v>179290000000</v>
      </c>
      <c r="F1266" s="3">
        <v>158446000000</v>
      </c>
      <c r="G1266" s="3">
        <f>Project_Data_NYSE[[#This Row],[ Total Revenue ]]-Project_Data_NYSE[[#This Row],[ Cost of Goods Sold ]]</f>
        <v>20844000000</v>
      </c>
      <c r="H1266" s="3">
        <v>15443000000</v>
      </c>
      <c r="I1266" s="3">
        <v>0</v>
      </c>
      <c r="J1266" s="3">
        <v>931000000</v>
      </c>
      <c r="K1266" s="3">
        <f>Project_Data_NYSE[[#This Row],[Gross Profit]]-Project_Data_NYSE[[#This Row],[ Sales, General and Admin. ]]-Project_Data_NYSE[[#This Row],[ Research and Development ]]-Project_Data_NYSE[[#This Row],[ Other Operating Items ]]</f>
        <v>4470000000</v>
      </c>
      <c r="L1266" t="s">
        <v>82</v>
      </c>
      <c r="M1266" t="s">
        <v>340</v>
      </c>
      <c r="N1266" s="31">
        <f>Project_Data_NYSE[[#This Row],[Gross Profit]]/Project_Data_NYSE[[#This Row],[ Total Revenue ]]</f>
        <v>0.11625857549221931</v>
      </c>
      <c r="O1266" s="31">
        <f>Project_Data_NYSE[[#This Row],[Operating Profit]]/Project_Data_NYSE[[#This Row],[ Total Revenue ]]</f>
        <v>2.4931674940041275E-2</v>
      </c>
    </row>
    <row r="1267" spans="1:15" x14ac:dyDescent="0.2">
      <c r="A1267">
        <v>1313</v>
      </c>
      <c r="B1267" t="s">
        <v>451</v>
      </c>
      <c r="C1267" t="s">
        <v>14</v>
      </c>
      <c r="D1267" s="48">
        <v>41639</v>
      </c>
      <c r="E1267" s="3">
        <v>171596000000</v>
      </c>
      <c r="F1267" s="3">
        <v>152451000000</v>
      </c>
      <c r="G1267" s="3">
        <f>Project_Data_NYSE[[#This Row],[ Total Revenue ]]-Project_Data_NYSE[[#This Row],[ Cost of Goods Sold ]]</f>
        <v>19145000000</v>
      </c>
      <c r="H1267" s="3">
        <v>15597000000</v>
      </c>
      <c r="I1267" s="3">
        <v>0</v>
      </c>
      <c r="J1267" s="3">
        <v>971000000</v>
      </c>
      <c r="K1267" s="3">
        <f>Project_Data_NYSE[[#This Row],[Gross Profit]]-Project_Data_NYSE[[#This Row],[ Sales, General and Admin. ]]-Project_Data_NYSE[[#This Row],[ Research and Development ]]-Project_Data_NYSE[[#This Row],[ Other Operating Items ]]</f>
        <v>2577000000</v>
      </c>
      <c r="L1267" t="s">
        <v>82</v>
      </c>
      <c r="M1267" t="s">
        <v>340</v>
      </c>
      <c r="N1267" s="31">
        <f>Project_Data_NYSE[[#This Row],[Gross Profit]]/Project_Data_NYSE[[#This Row],[ Total Revenue ]]</f>
        <v>0.11157019977155645</v>
      </c>
      <c r="O1267" s="31">
        <f>Project_Data_NYSE[[#This Row],[Operating Profit]]/Project_Data_NYSE[[#This Row],[ Total Revenue ]]</f>
        <v>1.5017832583510105E-2</v>
      </c>
    </row>
    <row r="1268" spans="1:15" x14ac:dyDescent="0.2">
      <c r="A1268">
        <v>1314</v>
      </c>
      <c r="B1268" t="s">
        <v>451</v>
      </c>
      <c r="C1268" t="s">
        <v>15</v>
      </c>
      <c r="D1268" s="48">
        <v>42004</v>
      </c>
      <c r="E1268" s="3">
        <v>161212000000</v>
      </c>
      <c r="F1268" s="3">
        <v>140183000000</v>
      </c>
      <c r="G1268" s="3">
        <f>Project_Data_NYSE[[#This Row],[ Total Revenue ]]-Project_Data_NYSE[[#This Row],[ Cost of Goods Sold ]]</f>
        <v>21029000000</v>
      </c>
      <c r="H1268" s="3">
        <v>16703000000</v>
      </c>
      <c r="I1268" s="3">
        <v>0</v>
      </c>
      <c r="J1268" s="3">
        <v>1019000000</v>
      </c>
      <c r="K1268" s="3">
        <f>Project_Data_NYSE[[#This Row],[Gross Profit]]-Project_Data_NYSE[[#This Row],[ Sales, General and Admin. ]]-Project_Data_NYSE[[#This Row],[ Research and Development ]]-Project_Data_NYSE[[#This Row],[ Other Operating Items ]]</f>
        <v>3307000000</v>
      </c>
      <c r="L1268" t="s">
        <v>82</v>
      </c>
      <c r="M1268" t="s">
        <v>340</v>
      </c>
      <c r="N1268" s="31">
        <f>Project_Data_NYSE[[#This Row],[Gross Profit]]/Project_Data_NYSE[[#This Row],[ Total Revenue ]]</f>
        <v>0.13044314319033323</v>
      </c>
      <c r="O1268" s="31">
        <f>Project_Data_NYSE[[#This Row],[Operating Profit]]/Project_Data_NYSE[[#This Row],[ Total Revenue ]]</f>
        <v>2.051336128824157E-2</v>
      </c>
    </row>
    <row r="1269" spans="1:15" x14ac:dyDescent="0.2">
      <c r="A1269">
        <v>1315</v>
      </c>
      <c r="B1269" t="s">
        <v>451</v>
      </c>
      <c r="C1269" t="s">
        <v>16</v>
      </c>
      <c r="D1269" s="48">
        <v>42369</v>
      </c>
      <c r="E1269" s="3">
        <v>98975000000</v>
      </c>
      <c r="F1269" s="3">
        <v>77693000000</v>
      </c>
      <c r="G1269" s="3">
        <f>Project_Data_NYSE[[#This Row],[ Total Revenue ]]-Project_Data_NYSE[[#This Row],[ Cost of Goods Sold ]]</f>
        <v>21282000000</v>
      </c>
      <c r="H1269" s="3">
        <v>15747000000</v>
      </c>
      <c r="I1269" s="3">
        <v>0</v>
      </c>
      <c r="J1269" s="3">
        <v>1099000000</v>
      </c>
      <c r="K1269" s="3">
        <f>Project_Data_NYSE[[#This Row],[Gross Profit]]-Project_Data_NYSE[[#This Row],[ Sales, General and Admin. ]]-Project_Data_NYSE[[#This Row],[ Research and Development ]]-Project_Data_NYSE[[#This Row],[ Other Operating Items ]]</f>
        <v>4436000000</v>
      </c>
      <c r="L1269" t="s">
        <v>82</v>
      </c>
      <c r="M1269" t="s">
        <v>340</v>
      </c>
      <c r="N1269" s="31">
        <f>Project_Data_NYSE[[#This Row],[Gross Profit]]/Project_Data_NYSE[[#This Row],[ Total Revenue ]]</f>
        <v>0.21502399595857541</v>
      </c>
      <c r="O1269" s="31">
        <f>Project_Data_NYSE[[#This Row],[Operating Profit]]/Project_Data_NYSE[[#This Row],[ Total Revenue ]]</f>
        <v>4.4819398838090427E-2</v>
      </c>
    </row>
    <row r="1270" spans="1:15" x14ac:dyDescent="0.2">
      <c r="A1270">
        <v>1316</v>
      </c>
      <c r="B1270" t="s">
        <v>452</v>
      </c>
      <c r="C1270" t="s">
        <v>11</v>
      </c>
      <c r="D1270" s="48">
        <v>41308</v>
      </c>
      <c r="E1270" s="3">
        <v>6043000000</v>
      </c>
      <c r="F1270" s="3">
        <v>2793800000</v>
      </c>
      <c r="G1270" s="3">
        <f>Project_Data_NYSE[[#This Row],[ Total Revenue ]]-Project_Data_NYSE[[#This Row],[ Cost of Goods Sold ]]</f>
        <v>3249200000</v>
      </c>
      <c r="H1270" s="3">
        <v>2594300000</v>
      </c>
      <c r="I1270" s="3">
        <v>0</v>
      </c>
      <c r="J1270" s="3">
        <v>0</v>
      </c>
      <c r="K1270" s="3">
        <f>Project_Data_NYSE[[#This Row],[Gross Profit]]-Project_Data_NYSE[[#This Row],[ Sales, General and Admin. ]]-Project_Data_NYSE[[#This Row],[ Research and Development ]]-Project_Data_NYSE[[#This Row],[ Other Operating Items ]]</f>
        <v>654900000</v>
      </c>
      <c r="L1270" t="s">
        <v>18</v>
      </c>
      <c r="M1270" t="s">
        <v>288</v>
      </c>
      <c r="N1270" s="31">
        <f>Project_Data_NYSE[[#This Row],[Gross Profit]]/Project_Data_NYSE[[#This Row],[ Total Revenue ]]</f>
        <v>0.53767996028462683</v>
      </c>
      <c r="O1270" s="31">
        <f>Project_Data_NYSE[[#This Row],[Operating Profit]]/Project_Data_NYSE[[#This Row],[ Total Revenue ]]</f>
        <v>0.10837332450769485</v>
      </c>
    </row>
    <row r="1271" spans="1:15" x14ac:dyDescent="0.2">
      <c r="A1271">
        <v>1317</v>
      </c>
      <c r="B1271" t="s">
        <v>452</v>
      </c>
      <c r="C1271" t="s">
        <v>14</v>
      </c>
      <c r="D1271" s="48">
        <v>41672</v>
      </c>
      <c r="E1271" s="3">
        <v>8186400000</v>
      </c>
      <c r="F1271" s="3">
        <v>3967100000</v>
      </c>
      <c r="G1271" s="3">
        <f>Project_Data_NYSE[[#This Row],[ Total Revenue ]]-Project_Data_NYSE[[#This Row],[ Cost of Goods Sold ]]</f>
        <v>4219300000</v>
      </c>
      <c r="H1271" s="3">
        <v>3673500000</v>
      </c>
      <c r="I1271" s="3">
        <v>0</v>
      </c>
      <c r="J1271" s="3">
        <v>0</v>
      </c>
      <c r="K1271" s="3">
        <f>Project_Data_NYSE[[#This Row],[Gross Profit]]-Project_Data_NYSE[[#This Row],[ Sales, General and Admin. ]]-Project_Data_NYSE[[#This Row],[ Research and Development ]]-Project_Data_NYSE[[#This Row],[ Other Operating Items ]]</f>
        <v>545800000</v>
      </c>
      <c r="L1271" t="s">
        <v>18</v>
      </c>
      <c r="M1271" t="s">
        <v>288</v>
      </c>
      <c r="N1271" s="31">
        <f>Project_Data_NYSE[[#This Row],[Gross Profit]]/Project_Data_NYSE[[#This Row],[ Total Revenue ]]</f>
        <v>0.51540359620834553</v>
      </c>
      <c r="O1271" s="31">
        <f>Project_Data_NYSE[[#This Row],[Operating Profit]]/Project_Data_NYSE[[#This Row],[ Total Revenue ]]</f>
        <v>6.6671552819310073E-2</v>
      </c>
    </row>
    <row r="1272" spans="1:15" x14ac:dyDescent="0.2">
      <c r="A1272">
        <v>1318</v>
      </c>
      <c r="B1272" t="s">
        <v>452</v>
      </c>
      <c r="C1272" t="s">
        <v>15</v>
      </c>
      <c r="D1272" s="48">
        <v>42036</v>
      </c>
      <c r="E1272" s="3">
        <v>8241200000</v>
      </c>
      <c r="F1272" s="3">
        <v>3914500000</v>
      </c>
      <c r="G1272" s="3">
        <f>Project_Data_NYSE[[#This Row],[ Total Revenue ]]-Project_Data_NYSE[[#This Row],[ Cost of Goods Sold ]]</f>
        <v>4326700000</v>
      </c>
      <c r="H1272" s="3">
        <v>3713600000</v>
      </c>
      <c r="I1272" s="3">
        <v>0</v>
      </c>
      <c r="J1272" s="3">
        <v>0</v>
      </c>
      <c r="K1272" s="3">
        <f>Project_Data_NYSE[[#This Row],[Gross Profit]]-Project_Data_NYSE[[#This Row],[ Sales, General and Admin. ]]-Project_Data_NYSE[[#This Row],[ Research and Development ]]-Project_Data_NYSE[[#This Row],[ Other Operating Items ]]</f>
        <v>613100000</v>
      </c>
      <c r="L1272" t="s">
        <v>18</v>
      </c>
      <c r="M1272" t="s">
        <v>288</v>
      </c>
      <c r="N1272" s="31">
        <f>Project_Data_NYSE[[#This Row],[Gross Profit]]/Project_Data_NYSE[[#This Row],[ Total Revenue ]]</f>
        <v>0.52500849390865412</v>
      </c>
      <c r="O1272" s="31">
        <f>Project_Data_NYSE[[#This Row],[Operating Profit]]/Project_Data_NYSE[[#This Row],[ Total Revenue ]]</f>
        <v>7.439450565451633E-2</v>
      </c>
    </row>
    <row r="1273" spans="1:15" x14ac:dyDescent="0.2">
      <c r="A1273">
        <v>1319</v>
      </c>
      <c r="B1273" t="s">
        <v>452</v>
      </c>
      <c r="C1273" t="s">
        <v>16</v>
      </c>
      <c r="D1273" s="48">
        <v>42400</v>
      </c>
      <c r="E1273" s="3">
        <v>8020300000</v>
      </c>
      <c r="F1273" s="3">
        <v>3858700000</v>
      </c>
      <c r="G1273" s="3">
        <f>Project_Data_NYSE[[#This Row],[ Total Revenue ]]-Project_Data_NYSE[[#This Row],[ Cost of Goods Sold ]]</f>
        <v>4161600000</v>
      </c>
      <c r="H1273" s="3">
        <v>3417700000</v>
      </c>
      <c r="I1273" s="3">
        <v>0</v>
      </c>
      <c r="J1273" s="3">
        <v>0</v>
      </c>
      <c r="K1273" s="3">
        <f>Project_Data_NYSE[[#This Row],[Gross Profit]]-Project_Data_NYSE[[#This Row],[ Sales, General and Admin. ]]-Project_Data_NYSE[[#This Row],[ Research and Development ]]-Project_Data_NYSE[[#This Row],[ Other Operating Items ]]</f>
        <v>743900000</v>
      </c>
      <c r="L1273" t="s">
        <v>18</v>
      </c>
      <c r="M1273" t="s">
        <v>288</v>
      </c>
      <c r="N1273" s="31">
        <f>Project_Data_NYSE[[#This Row],[Gross Profit]]/Project_Data_NYSE[[#This Row],[ Total Revenue ]]</f>
        <v>0.51888333354113936</v>
      </c>
      <c r="O1273" s="31">
        <f>Project_Data_NYSE[[#This Row],[Operating Profit]]/Project_Data_NYSE[[#This Row],[ Total Revenue ]]</f>
        <v>9.2752141441093228E-2</v>
      </c>
    </row>
    <row r="1274" spans="1:15" x14ac:dyDescent="0.2">
      <c r="A1274">
        <v>1320</v>
      </c>
      <c r="B1274" t="s">
        <v>453</v>
      </c>
      <c r="C1274" t="s">
        <v>11</v>
      </c>
      <c r="D1274" s="48">
        <v>41274</v>
      </c>
      <c r="E1274" s="3">
        <v>5920269000</v>
      </c>
      <c r="F1274" s="3">
        <v>4982562000</v>
      </c>
      <c r="G1274" s="3">
        <f>Project_Data_NYSE[[#This Row],[ Total Revenue ]]-Project_Data_NYSE[[#This Row],[ Cost of Goods Sold ]]</f>
        <v>937707000</v>
      </c>
      <c r="H1274" s="3">
        <v>434894000</v>
      </c>
      <c r="I1274" s="3">
        <v>0</v>
      </c>
      <c r="J1274" s="3">
        <v>37691000</v>
      </c>
      <c r="K1274" s="3">
        <f>Project_Data_NYSE[[#This Row],[Gross Profit]]-Project_Data_NYSE[[#This Row],[ Sales, General and Admin. ]]-Project_Data_NYSE[[#This Row],[ Research and Development ]]-Project_Data_NYSE[[#This Row],[ Other Operating Items ]]</f>
        <v>465122000</v>
      </c>
      <c r="L1274" t="s">
        <v>12</v>
      </c>
      <c r="M1274" t="s">
        <v>163</v>
      </c>
      <c r="N1274" s="31">
        <f>Project_Data_NYSE[[#This Row],[Gross Profit]]/Project_Data_NYSE[[#This Row],[ Total Revenue ]]</f>
        <v>0.15838925562335091</v>
      </c>
      <c r="O1274" s="31">
        <f>Project_Data_NYSE[[#This Row],[Operating Profit]]/Project_Data_NYSE[[#This Row],[ Total Revenue ]]</f>
        <v>7.8564335505700841E-2</v>
      </c>
    </row>
    <row r="1275" spans="1:15" x14ac:dyDescent="0.2">
      <c r="A1275">
        <v>1321</v>
      </c>
      <c r="B1275" t="s">
        <v>453</v>
      </c>
      <c r="C1275" t="s">
        <v>14</v>
      </c>
      <c r="D1275" s="48">
        <v>41639</v>
      </c>
      <c r="E1275" s="3">
        <v>6411577000</v>
      </c>
      <c r="F1275" s="3">
        <v>5424644000</v>
      </c>
      <c r="G1275" s="3">
        <f>Project_Data_NYSE[[#This Row],[ Total Revenue ]]-Project_Data_NYSE[[#This Row],[ Cost of Goods Sold ]]</f>
        <v>986933000</v>
      </c>
      <c r="H1275" s="3">
        <v>485069000</v>
      </c>
      <c r="I1275" s="3">
        <v>0</v>
      </c>
      <c r="J1275" s="3">
        <v>25865000</v>
      </c>
      <c r="K1275" s="3">
        <f>Project_Data_NYSE[[#This Row],[Gross Profit]]-Project_Data_NYSE[[#This Row],[ Sales, General and Admin. ]]-Project_Data_NYSE[[#This Row],[ Research and Development ]]-Project_Data_NYSE[[#This Row],[ Other Operating Items ]]</f>
        <v>475999000</v>
      </c>
      <c r="L1275" t="s">
        <v>12</v>
      </c>
      <c r="M1275" t="s">
        <v>163</v>
      </c>
      <c r="N1275" s="31">
        <f>Project_Data_NYSE[[#This Row],[Gross Profit]]/Project_Data_NYSE[[#This Row],[ Total Revenue ]]</f>
        <v>0.15392983660650103</v>
      </c>
      <c r="O1275" s="31">
        <f>Project_Data_NYSE[[#This Row],[Operating Profit]]/Project_Data_NYSE[[#This Row],[ Total Revenue ]]</f>
        <v>7.4240549555904894E-2</v>
      </c>
    </row>
    <row r="1276" spans="1:15" x14ac:dyDescent="0.2">
      <c r="A1276">
        <v>1322</v>
      </c>
      <c r="B1276" t="s">
        <v>453</v>
      </c>
      <c r="C1276" t="s">
        <v>15</v>
      </c>
      <c r="D1276" s="48">
        <v>42004</v>
      </c>
      <c r="E1276" s="3">
        <v>7747229000</v>
      </c>
      <c r="F1276" s="3">
        <v>6578435000</v>
      </c>
      <c r="G1276" s="3">
        <f>Project_Data_NYSE[[#This Row],[ Total Revenue ]]-Project_Data_NYSE[[#This Row],[ Cost of Goods Sold ]]</f>
        <v>1168794000</v>
      </c>
      <c r="H1276" s="3">
        <v>705477000</v>
      </c>
      <c r="I1276" s="3">
        <v>0</v>
      </c>
      <c r="J1276" s="3">
        <v>34257000</v>
      </c>
      <c r="K1276" s="3">
        <f>Project_Data_NYSE[[#This Row],[Gross Profit]]-Project_Data_NYSE[[#This Row],[ Sales, General and Admin. ]]-Project_Data_NYSE[[#This Row],[ Research and Development ]]-Project_Data_NYSE[[#This Row],[ Other Operating Items ]]</f>
        <v>429060000</v>
      </c>
      <c r="L1276" t="s">
        <v>12</v>
      </c>
      <c r="M1276" t="s">
        <v>163</v>
      </c>
      <c r="N1276" s="31">
        <f>Project_Data_NYSE[[#This Row],[Gross Profit]]/Project_Data_NYSE[[#This Row],[ Total Revenue ]]</f>
        <v>0.1508660709525948</v>
      </c>
      <c r="O1276" s="31">
        <f>Project_Data_NYSE[[#This Row],[Operating Profit]]/Project_Data_NYSE[[#This Row],[ Total Revenue ]]</f>
        <v>5.538238252670729E-2</v>
      </c>
    </row>
    <row r="1277" spans="1:15" x14ac:dyDescent="0.2">
      <c r="A1277">
        <v>1323</v>
      </c>
      <c r="B1277" t="s">
        <v>453</v>
      </c>
      <c r="C1277" t="s">
        <v>16</v>
      </c>
      <c r="D1277" s="48">
        <v>42369</v>
      </c>
      <c r="E1277" s="3">
        <v>7572436000</v>
      </c>
      <c r="F1277" s="3">
        <v>6648771000</v>
      </c>
      <c r="G1277" s="3">
        <f>Project_Data_NYSE[[#This Row],[ Total Revenue ]]-Project_Data_NYSE[[#This Row],[ Cost of Goods Sold ]]</f>
        <v>923665000</v>
      </c>
      <c r="H1277" s="3">
        <v>592863000</v>
      </c>
      <c r="I1277" s="3">
        <v>0</v>
      </c>
      <c r="J1277" s="3">
        <v>34848000</v>
      </c>
      <c r="K1277" s="3">
        <f>Project_Data_NYSE[[#This Row],[Gross Profit]]-Project_Data_NYSE[[#This Row],[ Sales, General and Admin. ]]-Project_Data_NYSE[[#This Row],[ Research and Development ]]-Project_Data_NYSE[[#This Row],[ Other Operating Items ]]</f>
        <v>295954000</v>
      </c>
      <c r="L1277" t="s">
        <v>12</v>
      </c>
      <c r="M1277" t="s">
        <v>163</v>
      </c>
      <c r="N1277" s="31">
        <f>Project_Data_NYSE[[#This Row],[Gross Profit]]/Project_Data_NYSE[[#This Row],[ Total Revenue ]]</f>
        <v>0.12197726068599325</v>
      </c>
      <c r="O1277" s="31">
        <f>Project_Data_NYSE[[#This Row],[Operating Profit]]/Project_Data_NYSE[[#This Row],[ Total Revenue ]]</f>
        <v>3.9083063891196965E-2</v>
      </c>
    </row>
    <row r="1278" spans="1:15" x14ac:dyDescent="0.2">
      <c r="A1278">
        <v>1324</v>
      </c>
      <c r="B1278" t="s">
        <v>454</v>
      </c>
      <c r="C1278" t="s">
        <v>11</v>
      </c>
      <c r="D1278" s="48">
        <v>41274</v>
      </c>
      <c r="E1278" s="3">
        <v>11224000000</v>
      </c>
      <c r="F1278" s="3">
        <v>6396000000</v>
      </c>
      <c r="G1278" s="3">
        <f>Project_Data_NYSE[[#This Row],[ Total Revenue ]]-Project_Data_NYSE[[#This Row],[ Cost of Goods Sold ]]</f>
        <v>4828000000</v>
      </c>
      <c r="H1278" s="3">
        <v>1227000000</v>
      </c>
      <c r="I1278" s="3">
        <v>98000000</v>
      </c>
      <c r="J1278" s="3">
        <v>1001000000</v>
      </c>
      <c r="K1278" s="3">
        <f>Project_Data_NYSE[[#This Row],[Gross Profit]]-Project_Data_NYSE[[#This Row],[ Sales, General and Admin. ]]-Project_Data_NYSE[[#This Row],[ Research and Development ]]-Project_Data_NYSE[[#This Row],[ Other Operating Items ]]</f>
        <v>2502000000</v>
      </c>
      <c r="L1278" t="s">
        <v>58</v>
      </c>
      <c r="M1278" t="s">
        <v>86</v>
      </c>
      <c r="N1278" s="31">
        <f>Project_Data_NYSE[[#This Row],[Gross Profit]]/Project_Data_NYSE[[#This Row],[ Total Revenue ]]</f>
        <v>0.43014967925873127</v>
      </c>
      <c r="O1278" s="31">
        <f>Project_Data_NYSE[[#This Row],[Operating Profit]]/Project_Data_NYSE[[#This Row],[ Total Revenue ]]</f>
        <v>0.22291518175338559</v>
      </c>
    </row>
    <row r="1279" spans="1:15" x14ac:dyDescent="0.2">
      <c r="A1279">
        <v>1325</v>
      </c>
      <c r="B1279" t="s">
        <v>454</v>
      </c>
      <c r="C1279" t="s">
        <v>14</v>
      </c>
      <c r="D1279" s="48">
        <v>41639</v>
      </c>
      <c r="E1279" s="3">
        <v>11925000000</v>
      </c>
      <c r="F1279" s="3">
        <v>6744000000</v>
      </c>
      <c r="G1279" s="3">
        <f>Project_Data_NYSE[[#This Row],[ Total Revenue ]]-Project_Data_NYSE[[#This Row],[ Cost of Goods Sold ]]</f>
        <v>5181000000</v>
      </c>
      <c r="H1279" s="3">
        <v>1349000000</v>
      </c>
      <c r="I1279" s="3">
        <v>98000000</v>
      </c>
      <c r="J1279" s="3">
        <v>1109000000</v>
      </c>
      <c r="K1279" s="3">
        <f>Project_Data_NYSE[[#This Row],[Gross Profit]]-Project_Data_NYSE[[#This Row],[ Sales, General and Admin. ]]-Project_Data_NYSE[[#This Row],[ Research and Development ]]-Project_Data_NYSE[[#This Row],[ Other Operating Items ]]</f>
        <v>2625000000</v>
      </c>
      <c r="L1279" t="s">
        <v>58</v>
      </c>
      <c r="M1279" t="s">
        <v>86</v>
      </c>
      <c r="N1279" s="31">
        <f>Project_Data_NYSE[[#This Row],[Gross Profit]]/Project_Data_NYSE[[#This Row],[ Total Revenue ]]</f>
        <v>0.43446540880503143</v>
      </c>
      <c r="O1279" s="31">
        <f>Project_Data_NYSE[[#This Row],[Operating Profit]]/Project_Data_NYSE[[#This Row],[ Total Revenue ]]</f>
        <v>0.22012578616352202</v>
      </c>
    </row>
    <row r="1280" spans="1:15" x14ac:dyDescent="0.2">
      <c r="A1280">
        <v>1326</v>
      </c>
      <c r="B1280" t="s">
        <v>454</v>
      </c>
      <c r="C1280" t="s">
        <v>15</v>
      </c>
      <c r="D1280" s="48">
        <v>42004</v>
      </c>
      <c r="E1280" s="3">
        <v>12273000000</v>
      </c>
      <c r="F1280" s="3">
        <v>6962000000</v>
      </c>
      <c r="G1280" s="3">
        <f>Project_Data_NYSE[[#This Row],[ Total Revenue ]]-Project_Data_NYSE[[#This Row],[ Cost of Goods Sold ]]</f>
        <v>5311000000</v>
      </c>
      <c r="H1280" s="3">
        <v>1437000000</v>
      </c>
      <c r="I1280" s="3">
        <v>96000000</v>
      </c>
      <c r="J1280" s="3">
        <v>1170000000</v>
      </c>
      <c r="K1280" s="3">
        <f>Project_Data_NYSE[[#This Row],[Gross Profit]]-Project_Data_NYSE[[#This Row],[ Sales, General and Admin. ]]-Project_Data_NYSE[[#This Row],[ Research and Development ]]-Project_Data_NYSE[[#This Row],[ Other Operating Items ]]</f>
        <v>2608000000</v>
      </c>
      <c r="L1280" t="s">
        <v>58</v>
      </c>
      <c r="M1280" t="s">
        <v>86</v>
      </c>
      <c r="N1280" s="31">
        <f>Project_Data_NYSE[[#This Row],[Gross Profit]]/Project_Data_NYSE[[#This Row],[ Total Revenue ]]</f>
        <v>0.43273853173633181</v>
      </c>
      <c r="O1280" s="31">
        <f>Project_Data_NYSE[[#This Row],[Operating Profit]]/Project_Data_NYSE[[#This Row],[ Total Revenue ]]</f>
        <v>0.21249898150411473</v>
      </c>
    </row>
    <row r="1281" spans="1:15" x14ac:dyDescent="0.2">
      <c r="A1281">
        <v>1327</v>
      </c>
      <c r="B1281" t="s">
        <v>454</v>
      </c>
      <c r="C1281" t="s">
        <v>16</v>
      </c>
      <c r="D1281" s="48">
        <v>42369</v>
      </c>
      <c r="E1281" s="3">
        <v>10776000000</v>
      </c>
      <c r="F1281" s="3">
        <v>5960000000</v>
      </c>
      <c r="G1281" s="3">
        <f>Project_Data_NYSE[[#This Row],[ Total Revenue ]]-Project_Data_NYSE[[#This Row],[ Cost of Goods Sold ]]</f>
        <v>4816000000</v>
      </c>
      <c r="H1281" s="3">
        <v>1296000000</v>
      </c>
      <c r="I1281" s="3">
        <v>93000000</v>
      </c>
      <c r="J1281" s="3">
        <v>1106000000</v>
      </c>
      <c r="K1281" s="3">
        <f>Project_Data_NYSE[[#This Row],[Gross Profit]]-Project_Data_NYSE[[#This Row],[ Sales, General and Admin. ]]-Project_Data_NYSE[[#This Row],[ Research and Development ]]-Project_Data_NYSE[[#This Row],[ Other Operating Items ]]</f>
        <v>2321000000</v>
      </c>
      <c r="L1281" t="s">
        <v>58</v>
      </c>
      <c r="M1281" t="s">
        <v>86</v>
      </c>
      <c r="N1281" s="31">
        <f>Project_Data_NYSE[[#This Row],[Gross Profit]]/Project_Data_NYSE[[#This Row],[ Total Revenue ]]</f>
        <v>0.44691907943578324</v>
      </c>
      <c r="O1281" s="31">
        <f>Project_Data_NYSE[[#This Row],[Operating Profit]]/Project_Data_NYSE[[#This Row],[ Total Revenue ]]</f>
        <v>0.21538604305864886</v>
      </c>
    </row>
    <row r="1282" spans="1:15" x14ac:dyDescent="0.2">
      <c r="A1282">
        <v>1331</v>
      </c>
      <c r="B1282" t="s">
        <v>455</v>
      </c>
      <c r="C1282" t="s">
        <v>11</v>
      </c>
      <c r="D1282" s="48">
        <v>41546</v>
      </c>
      <c r="E1282" s="3">
        <v>24866000000</v>
      </c>
      <c r="F1282" s="3">
        <v>9820000000</v>
      </c>
      <c r="G1282" s="3">
        <f>Project_Data_NYSE[[#This Row],[ Total Revenue ]]-Project_Data_NYSE[[#This Row],[ Cost of Goods Sold ]]</f>
        <v>15046000000</v>
      </c>
      <c r="H1282" s="3">
        <v>2849000000</v>
      </c>
      <c r="I1282" s="3">
        <v>4967000000</v>
      </c>
      <c r="J1282" s="3">
        <v>0</v>
      </c>
      <c r="K1282" s="3">
        <f>Project_Data_NYSE[[#This Row],[Gross Profit]]-Project_Data_NYSE[[#This Row],[ Sales, General and Admin. ]]-Project_Data_NYSE[[#This Row],[ Research and Development ]]-Project_Data_NYSE[[#This Row],[ Other Operating Items ]]</f>
        <v>7230000000</v>
      </c>
      <c r="L1282" t="s">
        <v>21</v>
      </c>
      <c r="M1282" t="s">
        <v>33</v>
      </c>
      <c r="N1282" s="31">
        <f>Project_Data_NYSE[[#This Row],[Gross Profit]]/Project_Data_NYSE[[#This Row],[ Total Revenue ]]</f>
        <v>0.60508324619963005</v>
      </c>
      <c r="O1282" s="31">
        <f>Project_Data_NYSE[[#This Row],[Operating Profit]]/Project_Data_NYSE[[#This Row],[ Total Revenue ]]</f>
        <v>0.2907584653744068</v>
      </c>
    </row>
    <row r="1283" spans="1:15" x14ac:dyDescent="0.2">
      <c r="A1283">
        <v>1332</v>
      </c>
      <c r="B1283" t="s">
        <v>455</v>
      </c>
      <c r="C1283" t="s">
        <v>14</v>
      </c>
      <c r="D1283" s="48">
        <v>41910</v>
      </c>
      <c r="E1283" s="3">
        <v>26487000000</v>
      </c>
      <c r="F1283" s="3">
        <v>10686000000</v>
      </c>
      <c r="G1283" s="3">
        <f>Project_Data_NYSE[[#This Row],[ Total Revenue ]]-Project_Data_NYSE[[#This Row],[ Cost of Goods Sold ]]</f>
        <v>15801000000</v>
      </c>
      <c r="H1283" s="3">
        <v>2774000000</v>
      </c>
      <c r="I1283" s="3">
        <v>5477000000</v>
      </c>
      <c r="J1283" s="3">
        <v>0</v>
      </c>
      <c r="K1283" s="3">
        <f>Project_Data_NYSE[[#This Row],[Gross Profit]]-Project_Data_NYSE[[#This Row],[ Sales, General and Admin. ]]-Project_Data_NYSE[[#This Row],[ Research and Development ]]-Project_Data_NYSE[[#This Row],[ Other Operating Items ]]</f>
        <v>7550000000</v>
      </c>
      <c r="L1283" t="s">
        <v>21</v>
      </c>
      <c r="M1283" t="s">
        <v>33</v>
      </c>
      <c r="N1283" s="31">
        <f>Project_Data_NYSE[[#This Row],[Gross Profit]]/Project_Data_NYSE[[#This Row],[ Total Revenue ]]</f>
        <v>0.59655680144976786</v>
      </c>
      <c r="O1283" s="31">
        <f>Project_Data_NYSE[[#This Row],[Operating Profit]]/Project_Data_NYSE[[#This Row],[ Total Revenue ]]</f>
        <v>0.28504549401593232</v>
      </c>
    </row>
    <row r="1284" spans="1:15" x14ac:dyDescent="0.2">
      <c r="A1284">
        <v>1333</v>
      </c>
      <c r="B1284" t="s">
        <v>455</v>
      </c>
      <c r="C1284" t="s">
        <v>15</v>
      </c>
      <c r="D1284" s="48">
        <v>42274</v>
      </c>
      <c r="E1284" s="3">
        <v>25281000000</v>
      </c>
      <c r="F1284" s="3">
        <v>10378000000</v>
      </c>
      <c r="G1284" s="3">
        <f>Project_Data_NYSE[[#This Row],[ Total Revenue ]]-Project_Data_NYSE[[#This Row],[ Cost of Goods Sold ]]</f>
        <v>14903000000</v>
      </c>
      <c r="H1284" s="3">
        <v>3637000000</v>
      </c>
      <c r="I1284" s="3">
        <v>5490000000</v>
      </c>
      <c r="J1284" s="3">
        <v>0</v>
      </c>
      <c r="K1284" s="3">
        <f>Project_Data_NYSE[[#This Row],[Gross Profit]]-Project_Data_NYSE[[#This Row],[ Sales, General and Admin. ]]-Project_Data_NYSE[[#This Row],[ Research and Development ]]-Project_Data_NYSE[[#This Row],[ Other Operating Items ]]</f>
        <v>5776000000</v>
      </c>
      <c r="L1284" t="s">
        <v>21</v>
      </c>
      <c r="M1284" t="s">
        <v>33</v>
      </c>
      <c r="N1284" s="31">
        <f>Project_Data_NYSE[[#This Row],[Gross Profit]]/Project_Data_NYSE[[#This Row],[ Total Revenue ]]</f>
        <v>0.58949408646809853</v>
      </c>
      <c r="O1284" s="31">
        <f>Project_Data_NYSE[[#This Row],[Operating Profit]]/Project_Data_NYSE[[#This Row],[ Total Revenue ]]</f>
        <v>0.2284719750009889</v>
      </c>
    </row>
    <row r="1285" spans="1:15" x14ac:dyDescent="0.2">
      <c r="A1285">
        <v>1334</v>
      </c>
      <c r="B1285" t="s">
        <v>455</v>
      </c>
      <c r="C1285" t="s">
        <v>16</v>
      </c>
      <c r="D1285" s="48">
        <v>42638</v>
      </c>
      <c r="E1285" s="3">
        <v>23554000000</v>
      </c>
      <c r="F1285" s="3">
        <v>9749000000</v>
      </c>
      <c r="G1285" s="3">
        <f>Project_Data_NYSE[[#This Row],[ Total Revenue ]]-Project_Data_NYSE[[#This Row],[ Cost of Goods Sold ]]</f>
        <v>13805000000</v>
      </c>
      <c r="H1285" s="3">
        <v>2159000000</v>
      </c>
      <c r="I1285" s="3">
        <v>5151000000</v>
      </c>
      <c r="J1285" s="3">
        <v>0</v>
      </c>
      <c r="K1285" s="3">
        <f>Project_Data_NYSE[[#This Row],[Gross Profit]]-Project_Data_NYSE[[#This Row],[ Sales, General and Admin. ]]-Project_Data_NYSE[[#This Row],[ Research and Development ]]-Project_Data_NYSE[[#This Row],[ Other Operating Items ]]</f>
        <v>6495000000</v>
      </c>
      <c r="L1285" t="s">
        <v>21</v>
      </c>
      <c r="M1285" t="s">
        <v>33</v>
      </c>
      <c r="N1285" s="31">
        <f>Project_Data_NYSE[[#This Row],[Gross Profit]]/Project_Data_NYSE[[#This Row],[ Total Revenue ]]</f>
        <v>0.58610002547338036</v>
      </c>
      <c r="O1285" s="31">
        <f>Project_Data_NYSE[[#This Row],[Operating Profit]]/Project_Data_NYSE[[#This Row],[ Total Revenue ]]</f>
        <v>0.27574934193767514</v>
      </c>
    </row>
    <row r="1286" spans="1:15" x14ac:dyDescent="0.2">
      <c r="A1286">
        <v>1335</v>
      </c>
      <c r="B1286" t="s">
        <v>456</v>
      </c>
      <c r="C1286" t="s">
        <v>11</v>
      </c>
      <c r="D1286" s="48">
        <v>41727</v>
      </c>
      <c r="E1286" s="3">
        <v>1148231000</v>
      </c>
      <c r="F1286" s="3">
        <v>743304000</v>
      </c>
      <c r="G1286" s="3">
        <f>Project_Data_NYSE[[#This Row],[ Total Revenue ]]-Project_Data_NYSE[[#This Row],[ Cost of Goods Sold ]]</f>
        <v>404927000</v>
      </c>
      <c r="H1286" s="3">
        <v>180317000</v>
      </c>
      <c r="I1286" s="3">
        <v>197269000</v>
      </c>
      <c r="J1286" s="3">
        <v>0</v>
      </c>
      <c r="K1286" s="3">
        <f>Project_Data_NYSE[[#This Row],[Gross Profit]]-Project_Data_NYSE[[#This Row],[ Sales, General and Admin. ]]-Project_Data_NYSE[[#This Row],[ Research and Development ]]-Project_Data_NYSE[[#This Row],[ Other Operating Items ]]</f>
        <v>27341000</v>
      </c>
      <c r="L1286" t="s">
        <v>21</v>
      </c>
      <c r="M1286" t="s">
        <v>33</v>
      </c>
      <c r="N1286" s="31">
        <f>Project_Data_NYSE[[#This Row],[Gross Profit]]/Project_Data_NYSE[[#This Row],[ Total Revenue ]]</f>
        <v>0.35265290694990814</v>
      </c>
      <c r="O1286" s="31">
        <f>Project_Data_NYSE[[#This Row],[Operating Profit]]/Project_Data_NYSE[[#This Row],[ Total Revenue ]]</f>
        <v>2.3811410770132491E-2</v>
      </c>
    </row>
    <row r="1287" spans="1:15" x14ac:dyDescent="0.2">
      <c r="A1287">
        <v>1336</v>
      </c>
      <c r="B1287" t="s">
        <v>456</v>
      </c>
      <c r="C1287" t="s">
        <v>14</v>
      </c>
      <c r="D1287" s="48">
        <v>42091</v>
      </c>
      <c r="E1287" s="3">
        <v>1710966000</v>
      </c>
      <c r="F1287" s="3">
        <v>1021658000</v>
      </c>
      <c r="G1287" s="3">
        <f>Project_Data_NYSE[[#This Row],[ Total Revenue ]]-Project_Data_NYSE[[#This Row],[ Cost of Goods Sold ]]</f>
        <v>689308000</v>
      </c>
      <c r="H1287" s="3">
        <v>309348000</v>
      </c>
      <c r="I1287" s="3">
        <v>257494000</v>
      </c>
      <c r="J1287" s="3">
        <v>0</v>
      </c>
      <c r="K1287" s="3">
        <f>Project_Data_NYSE[[#This Row],[Gross Profit]]-Project_Data_NYSE[[#This Row],[ Sales, General and Admin. ]]-Project_Data_NYSE[[#This Row],[ Research and Development ]]-Project_Data_NYSE[[#This Row],[ Other Operating Items ]]</f>
        <v>122466000</v>
      </c>
      <c r="L1287" t="s">
        <v>21</v>
      </c>
      <c r="M1287" t="s">
        <v>33</v>
      </c>
      <c r="N1287" s="31">
        <f>Project_Data_NYSE[[#This Row],[Gross Profit]]/Project_Data_NYSE[[#This Row],[ Total Revenue ]]</f>
        <v>0.40287650368271494</v>
      </c>
      <c r="O1287" s="31">
        <f>Project_Data_NYSE[[#This Row],[Operating Profit]]/Project_Data_NYSE[[#This Row],[ Total Revenue ]]</f>
        <v>7.1577109071717382E-2</v>
      </c>
    </row>
    <row r="1288" spans="1:15" x14ac:dyDescent="0.2">
      <c r="A1288">
        <v>1337</v>
      </c>
      <c r="B1288" t="s">
        <v>456</v>
      </c>
      <c r="C1288" t="s">
        <v>15</v>
      </c>
      <c r="D1288" s="48">
        <v>42462</v>
      </c>
      <c r="E1288" s="3">
        <v>2610726000</v>
      </c>
      <c r="F1288" s="3">
        <v>1561173000</v>
      </c>
      <c r="G1288" s="3">
        <f>Project_Data_NYSE[[#This Row],[ Total Revenue ]]-Project_Data_NYSE[[#This Row],[ Cost of Goods Sold ]]</f>
        <v>1049553000</v>
      </c>
      <c r="H1288" s="3">
        <v>588822000</v>
      </c>
      <c r="I1288" s="3">
        <v>448763000</v>
      </c>
      <c r="J1288" s="3">
        <v>0</v>
      </c>
      <c r="K1288" s="3">
        <f>Project_Data_NYSE[[#This Row],[Gross Profit]]-Project_Data_NYSE[[#This Row],[ Sales, General and Admin. ]]-Project_Data_NYSE[[#This Row],[ Research and Development ]]-Project_Data_NYSE[[#This Row],[ Other Operating Items ]]</f>
        <v>11968000</v>
      </c>
      <c r="L1288" t="s">
        <v>21</v>
      </c>
      <c r="M1288" t="s">
        <v>33</v>
      </c>
      <c r="N1288" s="31">
        <f>Project_Data_NYSE[[#This Row],[Gross Profit]]/Project_Data_NYSE[[#This Row],[ Total Revenue ]]</f>
        <v>0.40201576113311011</v>
      </c>
      <c r="O1288" s="31">
        <f>Project_Data_NYSE[[#This Row],[Operating Profit]]/Project_Data_NYSE[[#This Row],[ Total Revenue ]]</f>
        <v>4.5841654773423179E-3</v>
      </c>
    </row>
    <row r="1289" spans="1:15" x14ac:dyDescent="0.2">
      <c r="A1289">
        <v>1338</v>
      </c>
      <c r="B1289" t="s">
        <v>457</v>
      </c>
      <c r="C1289" t="s">
        <v>11</v>
      </c>
      <c r="D1289" s="48">
        <v>41639</v>
      </c>
      <c r="E1289" s="3">
        <v>6419285000</v>
      </c>
      <c r="F1289" s="3">
        <v>5099484000</v>
      </c>
      <c r="G1289" s="3">
        <f>Project_Data_NYSE[[#This Row],[ Total Revenue ]]-Project_Data_NYSE[[#This Row],[ Cost of Goods Sold ]]</f>
        <v>1319801000</v>
      </c>
      <c r="H1289" s="3">
        <v>922340000</v>
      </c>
      <c r="I1289" s="3">
        <v>0</v>
      </c>
      <c r="J1289" s="3">
        <v>0</v>
      </c>
      <c r="K1289" s="3">
        <f>Project_Data_NYSE[[#This Row],[Gross Profit]]-Project_Data_NYSE[[#This Row],[ Sales, General and Admin. ]]-Project_Data_NYSE[[#This Row],[ Research and Development ]]-Project_Data_NYSE[[#This Row],[ Other Operating Items ]]</f>
        <v>397461000</v>
      </c>
      <c r="L1289" t="s">
        <v>12</v>
      </c>
      <c r="M1289" t="s">
        <v>163</v>
      </c>
      <c r="N1289" s="31">
        <f>Project_Data_NYSE[[#This Row],[Gross Profit]]/Project_Data_NYSE[[#This Row],[ Total Revenue ]]</f>
        <v>0.20559937750076526</v>
      </c>
      <c r="O1289" s="31">
        <f>Project_Data_NYSE[[#This Row],[Operating Profit]]/Project_Data_NYSE[[#This Row],[ Total Revenue ]]</f>
        <v>6.1916708792334352E-2</v>
      </c>
    </row>
    <row r="1290" spans="1:15" x14ac:dyDescent="0.2">
      <c r="A1290">
        <v>1339</v>
      </c>
      <c r="B1290" t="s">
        <v>457</v>
      </c>
      <c r="C1290" t="s">
        <v>14</v>
      </c>
      <c r="D1290" s="48">
        <v>42004</v>
      </c>
      <c r="E1290" s="3">
        <v>6638774000</v>
      </c>
      <c r="F1290" s="3">
        <v>5253040000</v>
      </c>
      <c r="G1290" s="3">
        <f>Project_Data_NYSE[[#This Row],[ Total Revenue ]]-Project_Data_NYSE[[#This Row],[ Cost of Goods Sold ]]</f>
        <v>1385734000</v>
      </c>
      <c r="H1290" s="3">
        <v>1030014000</v>
      </c>
      <c r="I1290" s="3">
        <v>0</v>
      </c>
      <c r="J1290" s="3">
        <v>0</v>
      </c>
      <c r="K1290" s="3">
        <f>Project_Data_NYSE[[#This Row],[Gross Profit]]-Project_Data_NYSE[[#This Row],[ Sales, General and Admin. ]]-Project_Data_NYSE[[#This Row],[ Research and Development ]]-Project_Data_NYSE[[#This Row],[ Other Operating Items ]]</f>
        <v>355720000</v>
      </c>
      <c r="L1290" t="s">
        <v>12</v>
      </c>
      <c r="M1290" t="s">
        <v>163</v>
      </c>
      <c r="N1290" s="31">
        <f>Project_Data_NYSE[[#This Row],[Gross Profit]]/Project_Data_NYSE[[#This Row],[ Total Revenue ]]</f>
        <v>0.20873341975491258</v>
      </c>
      <c r="O1290" s="31">
        <f>Project_Data_NYSE[[#This Row],[Operating Profit]]/Project_Data_NYSE[[#This Row],[ Total Revenue ]]</f>
        <v>5.3582182493333859E-2</v>
      </c>
    </row>
    <row r="1291" spans="1:15" x14ac:dyDescent="0.2">
      <c r="A1291">
        <v>1340</v>
      </c>
      <c r="B1291" t="s">
        <v>457</v>
      </c>
      <c r="C1291" t="s">
        <v>15</v>
      </c>
      <c r="D1291" s="48">
        <v>42369</v>
      </c>
      <c r="E1291" s="3">
        <v>6571893000</v>
      </c>
      <c r="F1291" s="3">
        <v>5086449000</v>
      </c>
      <c r="G1291" s="3">
        <f>Project_Data_NYSE[[#This Row],[ Total Revenue ]]-Project_Data_NYSE[[#This Row],[ Cost of Goods Sold ]]</f>
        <v>1485444000</v>
      </c>
      <c r="H1291" s="3">
        <v>961579000</v>
      </c>
      <c r="I1291" s="3">
        <v>0</v>
      </c>
      <c r="J1291" s="3">
        <v>0</v>
      </c>
      <c r="K1291" s="3">
        <f>Project_Data_NYSE[[#This Row],[Gross Profit]]-Project_Data_NYSE[[#This Row],[ Sales, General and Admin. ]]-Project_Data_NYSE[[#This Row],[ Research and Development ]]-Project_Data_NYSE[[#This Row],[ Other Operating Items ]]</f>
        <v>523865000</v>
      </c>
      <c r="L1291" t="s">
        <v>12</v>
      </c>
      <c r="M1291" t="s">
        <v>163</v>
      </c>
      <c r="N1291" s="31">
        <f>Project_Data_NYSE[[#This Row],[Gross Profit]]/Project_Data_NYSE[[#This Row],[ Total Revenue ]]</f>
        <v>0.22602985167287415</v>
      </c>
      <c r="O1291" s="31">
        <f>Project_Data_NYSE[[#This Row],[Operating Profit]]/Project_Data_NYSE[[#This Row],[ Total Revenue ]]</f>
        <v>7.9712953330189643E-2</v>
      </c>
    </row>
    <row r="1292" spans="1:15" x14ac:dyDescent="0.2">
      <c r="A1292">
        <v>1341</v>
      </c>
      <c r="B1292" t="s">
        <v>457</v>
      </c>
      <c r="C1292" t="s">
        <v>16</v>
      </c>
      <c r="D1292" s="48">
        <v>42735</v>
      </c>
      <c r="E1292" s="3">
        <v>6786984000</v>
      </c>
      <c r="F1292" s="3">
        <v>5285568000</v>
      </c>
      <c r="G1292" s="3">
        <f>Project_Data_NYSE[[#This Row],[ Total Revenue ]]-Project_Data_NYSE[[#This Row],[ Cost of Goods Sold ]]</f>
        <v>1501416000</v>
      </c>
      <c r="H1292" s="3">
        <v>956158000</v>
      </c>
      <c r="I1292" s="3">
        <v>0</v>
      </c>
      <c r="J1292" s="3">
        <v>0</v>
      </c>
      <c r="K1292" s="3">
        <f>Project_Data_NYSE[[#This Row],[Gross Profit]]-Project_Data_NYSE[[#This Row],[ Sales, General and Admin. ]]-Project_Data_NYSE[[#This Row],[ Research and Development ]]-Project_Data_NYSE[[#This Row],[ Other Operating Items ]]</f>
        <v>545258000</v>
      </c>
      <c r="L1292" t="s">
        <v>12</v>
      </c>
      <c r="M1292" t="s">
        <v>163</v>
      </c>
      <c r="N1292" s="31">
        <f>Project_Data_NYSE[[#This Row],[Gross Profit]]/Project_Data_NYSE[[#This Row],[ Total Revenue ]]</f>
        <v>0.22121991152476564</v>
      </c>
      <c r="O1292" s="31">
        <f>Project_Data_NYSE[[#This Row],[Operating Profit]]/Project_Data_NYSE[[#This Row],[ Total Revenue ]]</f>
        <v>8.0338777872468833E-2</v>
      </c>
    </row>
    <row r="1293" spans="1:15" x14ac:dyDescent="0.2">
      <c r="A1293">
        <v>1342</v>
      </c>
      <c r="B1293" t="s">
        <v>458</v>
      </c>
      <c r="C1293" t="s">
        <v>11</v>
      </c>
      <c r="D1293" s="48">
        <v>41274</v>
      </c>
      <c r="E1293" s="3">
        <v>7688024000</v>
      </c>
      <c r="F1293" s="3">
        <v>5157434000</v>
      </c>
      <c r="G1293" s="3">
        <f>Project_Data_NYSE[[#This Row],[ Total Revenue ]]-Project_Data_NYSE[[#This Row],[ Cost of Goods Sold ]]</f>
        <v>2530590000</v>
      </c>
      <c r="H1293" s="3">
        <v>1011543000</v>
      </c>
      <c r="I1293" s="3">
        <v>0</v>
      </c>
      <c r="J1293" s="3">
        <v>730493000</v>
      </c>
      <c r="K1293" s="3">
        <f>Project_Data_NYSE[[#This Row],[Gross Profit]]-Project_Data_NYSE[[#This Row],[ Sales, General and Admin. ]]-Project_Data_NYSE[[#This Row],[ Research and Development ]]-Project_Data_NYSE[[#This Row],[ Other Operating Items ]]</f>
        <v>788554000</v>
      </c>
      <c r="L1293" t="s">
        <v>18</v>
      </c>
      <c r="M1293" t="s">
        <v>132</v>
      </c>
      <c r="N1293" s="31">
        <f>Project_Data_NYSE[[#This Row],[Gross Profit]]/Project_Data_NYSE[[#This Row],[ Total Revenue ]]</f>
        <v>0.32916000262226031</v>
      </c>
      <c r="O1293" s="31">
        <f>Project_Data_NYSE[[#This Row],[Operating Profit]]/Project_Data_NYSE[[#This Row],[ Total Revenue ]]</f>
        <v>0.10256913870196034</v>
      </c>
    </row>
    <row r="1294" spans="1:15" x14ac:dyDescent="0.2">
      <c r="A1294">
        <v>1343</v>
      </c>
      <c r="B1294" t="s">
        <v>458</v>
      </c>
      <c r="C1294" t="s">
        <v>14</v>
      </c>
      <c r="D1294" s="48">
        <v>41639</v>
      </c>
      <c r="E1294" s="3">
        <v>7959894000</v>
      </c>
      <c r="F1294" s="3">
        <v>5305270000</v>
      </c>
      <c r="G1294" s="3">
        <f>Project_Data_NYSE[[#This Row],[ Total Revenue ]]-Project_Data_NYSE[[#This Row],[ Cost of Goods Sold ]]</f>
        <v>2654624000</v>
      </c>
      <c r="H1294" s="3">
        <v>1044819000</v>
      </c>
      <c r="I1294" s="3">
        <v>0</v>
      </c>
      <c r="J1294" s="3">
        <v>754711000</v>
      </c>
      <c r="K1294" s="3">
        <f>Project_Data_NYSE[[#This Row],[Gross Profit]]-Project_Data_NYSE[[#This Row],[ Sales, General and Admin. ]]-Project_Data_NYSE[[#This Row],[ Research and Development ]]-Project_Data_NYSE[[#This Row],[ Other Operating Items ]]</f>
        <v>855094000</v>
      </c>
      <c r="L1294" t="s">
        <v>18</v>
      </c>
      <c r="M1294" t="s">
        <v>132</v>
      </c>
      <c r="N1294" s="31">
        <f>Project_Data_NYSE[[#This Row],[Gross Profit]]/Project_Data_NYSE[[#This Row],[ Total Revenue ]]</f>
        <v>0.33349991846625093</v>
      </c>
      <c r="O1294" s="31">
        <f>Project_Data_NYSE[[#This Row],[Operating Profit]]/Project_Data_NYSE[[#This Row],[ Total Revenue ]]</f>
        <v>0.1074252998846467</v>
      </c>
    </row>
    <row r="1295" spans="1:15" x14ac:dyDescent="0.2">
      <c r="A1295">
        <v>1344</v>
      </c>
      <c r="B1295" t="s">
        <v>458</v>
      </c>
      <c r="C1295" t="s">
        <v>15</v>
      </c>
      <c r="D1295" s="48">
        <v>42004</v>
      </c>
      <c r="E1295" s="3">
        <v>8073855000</v>
      </c>
      <c r="F1295" s="3">
        <v>5306281000</v>
      </c>
      <c r="G1295" s="3">
        <f>Project_Data_NYSE[[#This Row],[ Total Revenue ]]-Project_Data_NYSE[[#This Row],[ Cost of Goods Sold ]]</f>
        <v>2767574000</v>
      </c>
      <c r="H1295" s="3">
        <v>1048952000</v>
      </c>
      <c r="I1295" s="3">
        <v>0</v>
      </c>
      <c r="J1295" s="3">
        <v>772445000</v>
      </c>
      <c r="K1295" s="3">
        <f>Project_Data_NYSE[[#This Row],[Gross Profit]]-Project_Data_NYSE[[#This Row],[ Sales, General and Admin. ]]-Project_Data_NYSE[[#This Row],[ Research and Development ]]-Project_Data_NYSE[[#This Row],[ Other Operating Items ]]</f>
        <v>946177000</v>
      </c>
      <c r="L1295" t="s">
        <v>18</v>
      </c>
      <c r="M1295" t="s">
        <v>132</v>
      </c>
      <c r="N1295" s="31">
        <f>Project_Data_NYSE[[#This Row],[Gross Profit]]/Project_Data_NYSE[[#This Row],[ Total Revenue ]]</f>
        <v>0.34278222732511299</v>
      </c>
      <c r="O1295" s="31">
        <f>Project_Data_NYSE[[#This Row],[Operating Profit]]/Project_Data_NYSE[[#This Row],[ Total Revenue ]]</f>
        <v>0.11719023935901747</v>
      </c>
    </row>
    <row r="1296" spans="1:15" x14ac:dyDescent="0.2">
      <c r="A1296">
        <v>1345</v>
      </c>
      <c r="B1296" t="s">
        <v>458</v>
      </c>
      <c r="C1296" t="s">
        <v>16</v>
      </c>
      <c r="D1296" s="48">
        <v>42369</v>
      </c>
      <c r="E1296" s="3">
        <v>8299074000</v>
      </c>
      <c r="F1296" s="3">
        <v>5099393000</v>
      </c>
      <c r="G1296" s="3">
        <f>Project_Data_NYSE[[#This Row],[ Total Revenue ]]-Project_Data_NYSE[[#This Row],[ Cost of Goods Sold ]]</f>
        <v>3199681000</v>
      </c>
      <c r="H1296" s="3">
        <v>1086504000</v>
      </c>
      <c r="I1296" s="3">
        <v>0</v>
      </c>
      <c r="J1296" s="3">
        <v>827008000</v>
      </c>
      <c r="K1296" s="3">
        <f>Project_Data_NYSE[[#This Row],[Gross Profit]]-Project_Data_NYSE[[#This Row],[ Sales, General and Admin. ]]-Project_Data_NYSE[[#This Row],[ Research and Development ]]-Project_Data_NYSE[[#This Row],[ Other Operating Items ]]</f>
        <v>1286169000</v>
      </c>
      <c r="L1296" t="s">
        <v>18</v>
      </c>
      <c r="M1296" t="s">
        <v>132</v>
      </c>
      <c r="N1296" s="31">
        <f>Project_Data_NYSE[[#This Row],[Gross Profit]]/Project_Data_NYSE[[#This Row],[ Total Revenue ]]</f>
        <v>0.38554674895054558</v>
      </c>
      <c r="O1296" s="31">
        <f>Project_Data_NYSE[[#This Row],[Operating Profit]]/Project_Data_NYSE[[#This Row],[ Total Revenue ]]</f>
        <v>0.15497741073281188</v>
      </c>
    </row>
    <row r="1297" spans="1:15" x14ac:dyDescent="0.2">
      <c r="A1297">
        <v>1258</v>
      </c>
      <c r="B1297" t="s">
        <v>437</v>
      </c>
      <c r="C1297" t="s">
        <v>15</v>
      </c>
      <c r="D1297" s="48">
        <v>42004</v>
      </c>
      <c r="E1297" s="3">
        <v>49605000000</v>
      </c>
      <c r="F1297" s="3">
        <v>9577000000</v>
      </c>
      <c r="G1297" s="3">
        <f>Project_Data_NYSE[[#This Row],[ Total Revenue ]]-Project_Data_NYSE[[#This Row],[ Cost of Goods Sold ]]</f>
        <v>40028000000</v>
      </c>
      <c r="H1297" s="3">
        <v>14097000000</v>
      </c>
      <c r="I1297" s="3">
        <v>8393000000</v>
      </c>
      <c r="J1297" s="3">
        <v>4039000000</v>
      </c>
      <c r="K1297" s="3">
        <f>Project_Data_NYSE[[#This Row],[Gross Profit]]-Project_Data_NYSE[[#This Row],[ Sales, General and Admin. ]]-Project_Data_NYSE[[#This Row],[ Research and Development ]]-Project_Data_NYSE[[#This Row],[ Other Operating Items ]]</f>
        <v>13499000000</v>
      </c>
      <c r="L1297" t="s">
        <v>24</v>
      </c>
      <c r="M1297" t="s">
        <v>25</v>
      </c>
      <c r="N1297" s="31">
        <f>Project_Data_NYSE[[#This Row],[Gross Profit]]/Project_Data_NYSE[[#This Row],[ Total Revenue ]]</f>
        <v>0.80693478479991931</v>
      </c>
      <c r="O1297" s="31">
        <f>Project_Data_NYSE[[#This Row],[Operating Profit]]/Project_Data_NYSE[[#This Row],[ Total Revenue ]]</f>
        <v>0.27212982562241711</v>
      </c>
    </row>
    <row r="1298" spans="1:15" x14ac:dyDescent="0.2">
      <c r="A1298">
        <v>1349</v>
      </c>
      <c r="B1298" t="s">
        <v>459</v>
      </c>
      <c r="C1298" t="s">
        <v>16</v>
      </c>
      <c r="D1298" s="48">
        <v>42735</v>
      </c>
      <c r="E1298" s="3">
        <v>4860427000</v>
      </c>
      <c r="F1298" s="3">
        <v>299694000</v>
      </c>
      <c r="G1298" s="3">
        <f>Project_Data_NYSE[[#This Row],[ Total Revenue ]]-Project_Data_NYSE[[#This Row],[ Cost of Goods Sold ]]</f>
        <v>4560733000</v>
      </c>
      <c r="H1298" s="3">
        <v>1177697000</v>
      </c>
      <c r="I1298" s="3">
        <v>2052295000</v>
      </c>
      <c r="J1298" s="3">
        <v>0</v>
      </c>
      <c r="K1298" s="3">
        <f>Project_Data_NYSE[[#This Row],[Gross Profit]]-Project_Data_NYSE[[#This Row],[ Sales, General and Admin. ]]-Project_Data_NYSE[[#This Row],[ Research and Development ]]-Project_Data_NYSE[[#This Row],[ Other Operating Items ]]</f>
        <v>1330741000</v>
      </c>
      <c r="L1298" t="s">
        <v>24</v>
      </c>
      <c r="M1298" t="s">
        <v>65</v>
      </c>
      <c r="N1298" s="31">
        <f>Project_Data_NYSE[[#This Row],[Gross Profit]]/Project_Data_NYSE[[#This Row],[ Total Revenue ]]</f>
        <v>0.93833998535519614</v>
      </c>
      <c r="O1298" s="31">
        <f>Project_Data_NYSE[[#This Row],[Operating Profit]]/Project_Data_NYSE[[#This Row],[ Total Revenue ]]</f>
        <v>0.27379096527938801</v>
      </c>
    </row>
    <row r="1299" spans="1:15" x14ac:dyDescent="0.2">
      <c r="A1299">
        <v>284</v>
      </c>
      <c r="B1299" t="s">
        <v>133</v>
      </c>
      <c r="C1299" t="s">
        <v>15</v>
      </c>
      <c r="D1299" s="48">
        <v>42369</v>
      </c>
      <c r="E1299" s="3">
        <v>9256000000</v>
      </c>
      <c r="F1299" s="3">
        <v>420100000</v>
      </c>
      <c r="G1299" s="3">
        <f>Project_Data_NYSE[[#This Row],[ Total Revenue ]]-Project_Data_NYSE[[#This Row],[ Cost of Goods Sold ]]</f>
        <v>8835900000</v>
      </c>
      <c r="H1299" s="3">
        <v>2305400000</v>
      </c>
      <c r="I1299" s="3">
        <v>3697300000</v>
      </c>
      <c r="J1299" s="3">
        <v>279000000</v>
      </c>
      <c r="K1299" s="3">
        <f>Project_Data_NYSE[[#This Row],[Gross Profit]]-Project_Data_NYSE[[#This Row],[ Sales, General and Admin. ]]-Project_Data_NYSE[[#This Row],[ Research and Development ]]-Project_Data_NYSE[[#This Row],[ Other Operating Items ]]</f>
        <v>2554200000</v>
      </c>
      <c r="L1299" t="s">
        <v>24</v>
      </c>
      <c r="M1299" t="s">
        <v>65</v>
      </c>
      <c r="N1299" s="31">
        <f>Project_Data_NYSE[[#This Row],[Gross Profit]]/Project_Data_NYSE[[#This Row],[ Total Revenue ]]</f>
        <v>0.95461322385479686</v>
      </c>
      <c r="O1299" s="31">
        <f>Project_Data_NYSE[[#This Row],[Operating Profit]]/Project_Data_NYSE[[#This Row],[ Total Revenue ]]</f>
        <v>0.27595073465859982</v>
      </c>
    </row>
    <row r="1300" spans="1:15" x14ac:dyDescent="0.2">
      <c r="A1300">
        <v>1770</v>
      </c>
      <c r="B1300" t="s">
        <v>572</v>
      </c>
      <c r="C1300" t="s">
        <v>14</v>
      </c>
      <c r="D1300" s="48">
        <v>41639</v>
      </c>
      <c r="E1300" s="3">
        <v>4623400000</v>
      </c>
      <c r="F1300" s="3">
        <v>1266700000</v>
      </c>
      <c r="G1300" s="3">
        <f>Project_Data_NYSE[[#This Row],[ Total Revenue ]]-Project_Data_NYSE[[#This Row],[ Cost of Goods Sold ]]</f>
        <v>3356700000</v>
      </c>
      <c r="H1300" s="3">
        <v>1796300000</v>
      </c>
      <c r="I1300" s="3">
        <v>203000000</v>
      </c>
      <c r="J1300" s="3">
        <v>78500000</v>
      </c>
      <c r="K1300" s="3">
        <f>Project_Data_NYSE[[#This Row],[Gross Profit]]-Project_Data_NYSE[[#This Row],[ Sales, General and Admin. ]]-Project_Data_NYSE[[#This Row],[ Research and Development ]]-Project_Data_NYSE[[#This Row],[ Other Operating Items ]]</f>
        <v>1278900000</v>
      </c>
      <c r="L1300" t="s">
        <v>24</v>
      </c>
      <c r="M1300" t="s">
        <v>29</v>
      </c>
      <c r="N1300" s="31">
        <f>Project_Data_NYSE[[#This Row],[Gross Profit]]/Project_Data_NYSE[[#This Row],[ Total Revenue ]]</f>
        <v>0.72602413808020072</v>
      </c>
      <c r="O1300" s="31">
        <f>Project_Data_NYSE[[#This Row],[Operating Profit]]/Project_Data_NYSE[[#This Row],[ Total Revenue ]]</f>
        <v>0.27661461262274517</v>
      </c>
    </row>
    <row r="1301" spans="1:15" x14ac:dyDescent="0.2">
      <c r="A1301">
        <v>1350</v>
      </c>
      <c r="B1301" t="s">
        <v>460</v>
      </c>
      <c r="C1301" t="s">
        <v>11</v>
      </c>
      <c r="D1301" s="48">
        <v>41639</v>
      </c>
      <c r="E1301" s="3">
        <v>4245895000</v>
      </c>
      <c r="F1301" s="3">
        <v>2522803000</v>
      </c>
      <c r="G1301" s="3">
        <f>Project_Data_NYSE[[#This Row],[ Total Revenue ]]-Project_Data_NYSE[[#This Row],[ Cost of Goods Sold ]]</f>
        <v>1723092000</v>
      </c>
      <c r="H1301" s="3">
        <v>1324815000</v>
      </c>
      <c r="I1301" s="3">
        <v>0</v>
      </c>
      <c r="J1301" s="3">
        <v>1700000</v>
      </c>
      <c r="K1301" s="3">
        <f>Project_Data_NYSE[[#This Row],[Gross Profit]]-Project_Data_NYSE[[#This Row],[ Sales, General and Admin. ]]-Project_Data_NYSE[[#This Row],[ Research and Development ]]-Project_Data_NYSE[[#This Row],[ Other Operating Items ]]</f>
        <v>396577000</v>
      </c>
      <c r="L1301" t="s">
        <v>12</v>
      </c>
      <c r="M1301" t="s">
        <v>461</v>
      </c>
      <c r="N1301" s="31">
        <f>Project_Data_NYSE[[#This Row],[Gross Profit]]/Project_Data_NYSE[[#This Row],[ Total Revenue ]]</f>
        <v>0.40582539134858492</v>
      </c>
      <c r="O1301" s="31">
        <f>Project_Data_NYSE[[#This Row],[Operating Profit]]/Project_Data_NYSE[[#This Row],[ Total Revenue ]]</f>
        <v>9.3402451073330825E-2</v>
      </c>
    </row>
    <row r="1302" spans="1:15" x14ac:dyDescent="0.2">
      <c r="A1302">
        <v>1351</v>
      </c>
      <c r="B1302" t="s">
        <v>460</v>
      </c>
      <c r="C1302" t="s">
        <v>14</v>
      </c>
      <c r="D1302" s="48">
        <v>42004</v>
      </c>
      <c r="E1302" s="3">
        <v>4695014000</v>
      </c>
      <c r="F1302" s="3">
        <v>2772098000</v>
      </c>
      <c r="G1302" s="3">
        <f>Project_Data_NYSE[[#This Row],[ Total Revenue ]]-Project_Data_NYSE[[#This Row],[ Cost of Goods Sold ]]</f>
        <v>1922916000</v>
      </c>
      <c r="H1302" s="3">
        <v>1425734000</v>
      </c>
      <c r="I1302" s="3">
        <v>0</v>
      </c>
      <c r="J1302" s="3">
        <v>557000</v>
      </c>
      <c r="K1302" s="3">
        <f>Project_Data_NYSE[[#This Row],[Gross Profit]]-Project_Data_NYSE[[#This Row],[ Sales, General and Admin. ]]-Project_Data_NYSE[[#This Row],[ Research and Development ]]-Project_Data_NYSE[[#This Row],[ Other Operating Items ]]</f>
        <v>496625000</v>
      </c>
      <c r="L1302" t="s">
        <v>12</v>
      </c>
      <c r="M1302" t="s">
        <v>461</v>
      </c>
      <c r="N1302" s="31">
        <f>Project_Data_NYSE[[#This Row],[Gross Profit]]/Project_Data_NYSE[[#This Row],[ Total Revenue ]]</f>
        <v>0.40956555188120847</v>
      </c>
      <c r="O1302" s="31">
        <f>Project_Data_NYSE[[#This Row],[Operating Profit]]/Project_Data_NYSE[[#This Row],[ Total Revenue ]]</f>
        <v>0.10577710737390772</v>
      </c>
    </row>
    <row r="1303" spans="1:15" x14ac:dyDescent="0.2">
      <c r="A1303">
        <v>1352</v>
      </c>
      <c r="B1303" t="s">
        <v>460</v>
      </c>
      <c r="C1303" t="s">
        <v>15</v>
      </c>
      <c r="D1303" s="48">
        <v>42369</v>
      </c>
      <c r="E1303" s="3">
        <v>5094933000</v>
      </c>
      <c r="F1303" s="3">
        <v>2980462000</v>
      </c>
      <c r="G1303" s="3">
        <f>Project_Data_NYSE[[#This Row],[ Total Revenue ]]-Project_Data_NYSE[[#This Row],[ Cost of Goods Sold ]]</f>
        <v>2114471000</v>
      </c>
      <c r="H1303" s="3">
        <v>1533799000</v>
      </c>
      <c r="I1303" s="3">
        <v>0</v>
      </c>
      <c r="J1303" s="3">
        <v>192000</v>
      </c>
      <c r="K1303" s="3">
        <f>Project_Data_NYSE[[#This Row],[Gross Profit]]-Project_Data_NYSE[[#This Row],[ Sales, General and Admin. ]]-Project_Data_NYSE[[#This Row],[ Research and Development ]]-Project_Data_NYSE[[#This Row],[ Other Operating Items ]]</f>
        <v>580480000</v>
      </c>
      <c r="L1303" t="s">
        <v>12</v>
      </c>
      <c r="M1303" t="s">
        <v>461</v>
      </c>
      <c r="N1303" s="31">
        <f>Project_Data_NYSE[[#This Row],[Gross Profit]]/Project_Data_NYSE[[#This Row],[ Total Revenue ]]</f>
        <v>0.41501448596085561</v>
      </c>
      <c r="O1303" s="31">
        <f>Project_Data_NYSE[[#This Row],[Operating Profit]]/Project_Data_NYSE[[#This Row],[ Total Revenue ]]</f>
        <v>0.11393280343431406</v>
      </c>
    </row>
    <row r="1304" spans="1:15" x14ac:dyDescent="0.2">
      <c r="A1304">
        <v>1353</v>
      </c>
      <c r="B1304" t="s">
        <v>460</v>
      </c>
      <c r="C1304" t="s">
        <v>16</v>
      </c>
      <c r="D1304" s="48">
        <v>42735</v>
      </c>
      <c r="E1304" s="3">
        <v>5250399000</v>
      </c>
      <c r="F1304" s="3">
        <v>3089723000</v>
      </c>
      <c r="G1304" s="3">
        <f>Project_Data_NYSE[[#This Row],[ Total Revenue ]]-Project_Data_NYSE[[#This Row],[ Cost of Goods Sold ]]</f>
        <v>2160676000</v>
      </c>
      <c r="H1304" s="3">
        <v>1606217000</v>
      </c>
      <c r="I1304" s="3">
        <v>0</v>
      </c>
      <c r="J1304" s="3">
        <v>1237000</v>
      </c>
      <c r="K1304" s="3">
        <f>Project_Data_NYSE[[#This Row],[Gross Profit]]-Project_Data_NYSE[[#This Row],[ Sales, General and Admin. ]]-Project_Data_NYSE[[#This Row],[ Research and Development ]]-Project_Data_NYSE[[#This Row],[ Other Operating Items ]]</f>
        <v>553222000</v>
      </c>
      <c r="L1304" t="s">
        <v>12</v>
      </c>
      <c r="M1304" t="s">
        <v>461</v>
      </c>
      <c r="N1304" s="31">
        <f>Project_Data_NYSE[[#This Row],[Gross Profit]]/Project_Data_NYSE[[#This Row],[ Total Revenue ]]</f>
        <v>0.41152605735297448</v>
      </c>
      <c r="O1304" s="31">
        <f>Project_Data_NYSE[[#This Row],[Operating Profit]]/Project_Data_NYSE[[#This Row],[ Total Revenue ]]</f>
        <v>0.10536761110917475</v>
      </c>
    </row>
    <row r="1305" spans="1:15" x14ac:dyDescent="0.2">
      <c r="A1305">
        <v>1354</v>
      </c>
      <c r="B1305" t="s">
        <v>462</v>
      </c>
      <c r="C1305" t="s">
        <v>11</v>
      </c>
      <c r="D1305" s="48">
        <v>41333</v>
      </c>
      <c r="E1305" s="3">
        <v>1328817000</v>
      </c>
      <c r="F1305" s="3">
        <v>200600000</v>
      </c>
      <c r="G1305" s="3">
        <f>Project_Data_NYSE[[#This Row],[ Total Revenue ]]-Project_Data_NYSE[[#This Row],[ Cost of Goods Sold ]]</f>
        <v>1128217000</v>
      </c>
      <c r="H1305" s="3">
        <v>660887000</v>
      </c>
      <c r="I1305" s="3">
        <v>263150000</v>
      </c>
      <c r="J1305" s="3">
        <v>0</v>
      </c>
      <c r="K1305" s="3">
        <f>Project_Data_NYSE[[#This Row],[Gross Profit]]-Project_Data_NYSE[[#This Row],[ Sales, General and Admin. ]]-Project_Data_NYSE[[#This Row],[ Research and Development ]]-Project_Data_NYSE[[#This Row],[ Other Operating Items ]]</f>
        <v>204180000</v>
      </c>
      <c r="L1305" t="s">
        <v>21</v>
      </c>
      <c r="M1305" t="s">
        <v>399</v>
      </c>
      <c r="N1305" s="31">
        <f>Project_Data_NYSE[[#This Row],[Gross Profit]]/Project_Data_NYSE[[#This Row],[ Total Revenue ]]</f>
        <v>0.84903865618817342</v>
      </c>
      <c r="O1305" s="31">
        <f>Project_Data_NYSE[[#This Row],[Operating Profit]]/Project_Data_NYSE[[#This Row],[ Total Revenue ]]</f>
        <v>0.1536554694890267</v>
      </c>
    </row>
    <row r="1306" spans="1:15" x14ac:dyDescent="0.2">
      <c r="A1306">
        <v>1355</v>
      </c>
      <c r="B1306" t="s">
        <v>462</v>
      </c>
      <c r="C1306" t="s">
        <v>14</v>
      </c>
      <c r="D1306" s="48">
        <v>41698</v>
      </c>
      <c r="E1306" s="3">
        <v>1534615000</v>
      </c>
      <c r="F1306" s="3">
        <v>232600000</v>
      </c>
      <c r="G1306" s="3">
        <f>Project_Data_NYSE[[#This Row],[ Total Revenue ]]-Project_Data_NYSE[[#This Row],[ Cost of Goods Sold ]]</f>
        <v>1302015000</v>
      </c>
      <c r="H1306" s="3">
        <v>750292000</v>
      </c>
      <c r="I1306" s="3">
        <v>317263000</v>
      </c>
      <c r="J1306" s="3">
        <v>0</v>
      </c>
      <c r="K1306" s="3">
        <f>Project_Data_NYSE[[#This Row],[Gross Profit]]-Project_Data_NYSE[[#This Row],[ Sales, General and Admin. ]]-Project_Data_NYSE[[#This Row],[ Research and Development ]]-Project_Data_NYSE[[#This Row],[ Other Operating Items ]]</f>
        <v>234460000</v>
      </c>
      <c r="L1306" t="s">
        <v>21</v>
      </c>
      <c r="M1306" t="s">
        <v>399</v>
      </c>
      <c r="N1306" s="31">
        <f>Project_Data_NYSE[[#This Row],[Gross Profit]]/Project_Data_NYSE[[#This Row],[ Total Revenue ]]</f>
        <v>0.84843103970702749</v>
      </c>
      <c r="O1306" s="31">
        <f>Project_Data_NYSE[[#This Row],[Operating Profit]]/Project_Data_NYSE[[#This Row],[ Total Revenue ]]</f>
        <v>0.15278099067192749</v>
      </c>
    </row>
    <row r="1307" spans="1:15" x14ac:dyDescent="0.2">
      <c r="A1307">
        <v>1356</v>
      </c>
      <c r="B1307" t="s">
        <v>462</v>
      </c>
      <c r="C1307" t="s">
        <v>15</v>
      </c>
      <c r="D1307" s="48">
        <v>42063</v>
      </c>
      <c r="E1307" s="3">
        <v>1789489000</v>
      </c>
      <c r="F1307" s="3">
        <v>273199000</v>
      </c>
      <c r="G1307" s="3">
        <f>Project_Data_NYSE[[#This Row],[ Total Revenue ]]-Project_Data_NYSE[[#This Row],[ Cost of Goods Sold ]]</f>
        <v>1516290000</v>
      </c>
      <c r="H1307" s="3">
        <v>898440000</v>
      </c>
      <c r="I1307" s="3">
        <v>367856000</v>
      </c>
      <c r="J1307" s="3">
        <v>0</v>
      </c>
      <c r="K1307" s="3">
        <f>Project_Data_NYSE[[#This Row],[Gross Profit]]-Project_Data_NYSE[[#This Row],[ Sales, General and Admin. ]]-Project_Data_NYSE[[#This Row],[ Research and Development ]]-Project_Data_NYSE[[#This Row],[ Other Operating Items ]]</f>
        <v>249994000</v>
      </c>
      <c r="L1307" t="s">
        <v>21</v>
      </c>
      <c r="M1307" t="s">
        <v>399</v>
      </c>
      <c r="N1307" s="31">
        <f>Project_Data_NYSE[[#This Row],[Gross Profit]]/Project_Data_NYSE[[#This Row],[ Total Revenue ]]</f>
        <v>0.8473312772528917</v>
      </c>
      <c r="O1307" s="31">
        <f>Project_Data_NYSE[[#This Row],[Operating Profit]]/Project_Data_NYSE[[#This Row],[ Total Revenue ]]</f>
        <v>0.13970133373270247</v>
      </c>
    </row>
    <row r="1308" spans="1:15" x14ac:dyDescent="0.2">
      <c r="A1308">
        <v>1357</v>
      </c>
      <c r="B1308" t="s">
        <v>462</v>
      </c>
      <c r="C1308" t="s">
        <v>16</v>
      </c>
      <c r="D1308" s="48">
        <v>42429</v>
      </c>
      <c r="E1308" s="3">
        <v>2052230000</v>
      </c>
      <c r="F1308" s="3">
        <v>309629000</v>
      </c>
      <c r="G1308" s="3">
        <f>Project_Data_NYSE[[#This Row],[ Total Revenue ]]-Project_Data_NYSE[[#This Row],[ Cost of Goods Sold ]]</f>
        <v>1742601000</v>
      </c>
      <c r="H1308" s="3">
        <v>1041231000</v>
      </c>
      <c r="I1308" s="3">
        <v>413322000</v>
      </c>
      <c r="J1308" s="3">
        <v>0</v>
      </c>
      <c r="K1308" s="3">
        <f>Project_Data_NYSE[[#This Row],[Gross Profit]]-Project_Data_NYSE[[#This Row],[ Sales, General and Admin. ]]-Project_Data_NYSE[[#This Row],[ Research and Development ]]-Project_Data_NYSE[[#This Row],[ Other Operating Items ]]</f>
        <v>288048000</v>
      </c>
      <c r="L1308" t="s">
        <v>21</v>
      </c>
      <c r="M1308" t="s">
        <v>399</v>
      </c>
      <c r="N1308" s="31">
        <f>Project_Data_NYSE[[#This Row],[Gross Profit]]/Project_Data_NYSE[[#This Row],[ Total Revenue ]]</f>
        <v>0.84912558533887528</v>
      </c>
      <c r="O1308" s="31">
        <f>Project_Data_NYSE[[#This Row],[Operating Profit]]/Project_Data_NYSE[[#This Row],[ Total Revenue ]]</f>
        <v>0.14035853681117613</v>
      </c>
    </row>
    <row r="1309" spans="1:15" x14ac:dyDescent="0.2">
      <c r="A1309">
        <v>1358</v>
      </c>
      <c r="B1309" t="s">
        <v>463</v>
      </c>
      <c r="C1309" t="s">
        <v>11</v>
      </c>
      <c r="D1309" s="48">
        <v>41363</v>
      </c>
      <c r="E1309" s="3">
        <v>6945000000</v>
      </c>
      <c r="F1309" s="3">
        <v>2789000000</v>
      </c>
      <c r="G1309" s="3">
        <f>Project_Data_NYSE[[#This Row],[ Total Revenue ]]-Project_Data_NYSE[[#This Row],[ Cost of Goods Sold ]]</f>
        <v>4156000000</v>
      </c>
      <c r="H1309" s="3">
        <v>2971000000</v>
      </c>
      <c r="I1309" s="3">
        <v>0</v>
      </c>
      <c r="J1309" s="3">
        <v>27000000</v>
      </c>
      <c r="K1309" s="3">
        <f>Project_Data_NYSE[[#This Row],[Gross Profit]]-Project_Data_NYSE[[#This Row],[ Sales, General and Admin. ]]-Project_Data_NYSE[[#This Row],[ Research and Development ]]-Project_Data_NYSE[[#This Row],[ Other Operating Items ]]</f>
        <v>1158000000</v>
      </c>
      <c r="L1309" t="s">
        <v>18</v>
      </c>
      <c r="M1309" t="s">
        <v>288</v>
      </c>
      <c r="N1309" s="31">
        <f>Project_Data_NYSE[[#This Row],[Gross Profit]]/Project_Data_NYSE[[#This Row],[ Total Revenue ]]</f>
        <v>0.59841612670986322</v>
      </c>
      <c r="O1309" s="31">
        <f>Project_Data_NYSE[[#This Row],[Operating Profit]]/Project_Data_NYSE[[#This Row],[ Total Revenue ]]</f>
        <v>0.16673866090712744</v>
      </c>
    </row>
    <row r="1310" spans="1:15" x14ac:dyDescent="0.2">
      <c r="A1310">
        <v>1359</v>
      </c>
      <c r="B1310" t="s">
        <v>463</v>
      </c>
      <c r="C1310" t="s">
        <v>14</v>
      </c>
      <c r="D1310" s="48">
        <v>41727</v>
      </c>
      <c r="E1310" s="3">
        <v>7450000000</v>
      </c>
      <c r="F1310" s="3">
        <v>3140000000</v>
      </c>
      <c r="G1310" s="3">
        <f>Project_Data_NYSE[[#This Row],[ Total Revenue ]]-Project_Data_NYSE[[#This Row],[ Cost of Goods Sold ]]</f>
        <v>4310000000</v>
      </c>
      <c r="H1310" s="3">
        <v>3142000000</v>
      </c>
      <c r="I1310" s="3">
        <v>0</v>
      </c>
      <c r="J1310" s="3">
        <v>35000000</v>
      </c>
      <c r="K1310" s="3">
        <f>Project_Data_NYSE[[#This Row],[Gross Profit]]-Project_Data_NYSE[[#This Row],[ Sales, General and Admin. ]]-Project_Data_NYSE[[#This Row],[ Research and Development ]]-Project_Data_NYSE[[#This Row],[ Other Operating Items ]]</f>
        <v>1133000000</v>
      </c>
      <c r="L1310" t="s">
        <v>18</v>
      </c>
      <c r="M1310" t="s">
        <v>288</v>
      </c>
      <c r="N1310" s="31">
        <f>Project_Data_NYSE[[#This Row],[Gross Profit]]/Project_Data_NYSE[[#This Row],[ Total Revenue ]]</f>
        <v>0.57852348993288594</v>
      </c>
      <c r="O1310" s="31">
        <f>Project_Data_NYSE[[#This Row],[Operating Profit]]/Project_Data_NYSE[[#This Row],[ Total Revenue ]]</f>
        <v>0.15208053691275167</v>
      </c>
    </row>
    <row r="1311" spans="1:15" x14ac:dyDescent="0.2">
      <c r="A1311">
        <v>1360</v>
      </c>
      <c r="B1311" t="s">
        <v>463</v>
      </c>
      <c r="C1311" t="s">
        <v>15</v>
      </c>
      <c r="D1311" s="48">
        <v>42091</v>
      </c>
      <c r="E1311" s="3">
        <v>7620000000</v>
      </c>
      <c r="F1311" s="3">
        <v>3242000000</v>
      </c>
      <c r="G1311" s="3">
        <f>Project_Data_NYSE[[#This Row],[ Total Revenue ]]-Project_Data_NYSE[[#This Row],[ Cost of Goods Sold ]]</f>
        <v>4378000000</v>
      </c>
      <c r="H1311" s="3">
        <v>3301000000</v>
      </c>
      <c r="I1311" s="3">
        <v>0</v>
      </c>
      <c r="J1311" s="3">
        <v>25000000</v>
      </c>
      <c r="K1311" s="3">
        <f>Project_Data_NYSE[[#This Row],[Gross Profit]]-Project_Data_NYSE[[#This Row],[ Sales, General and Admin. ]]-Project_Data_NYSE[[#This Row],[ Research and Development ]]-Project_Data_NYSE[[#This Row],[ Other Operating Items ]]</f>
        <v>1052000000</v>
      </c>
      <c r="L1311" t="s">
        <v>18</v>
      </c>
      <c r="M1311" t="s">
        <v>288</v>
      </c>
      <c r="N1311" s="31">
        <f>Project_Data_NYSE[[#This Row],[Gross Profit]]/Project_Data_NYSE[[#This Row],[ Total Revenue ]]</f>
        <v>0.57454068241469813</v>
      </c>
      <c r="O1311" s="31">
        <f>Project_Data_NYSE[[#This Row],[Operating Profit]]/Project_Data_NYSE[[#This Row],[ Total Revenue ]]</f>
        <v>0.13805774278215224</v>
      </c>
    </row>
    <row r="1312" spans="1:15" x14ac:dyDescent="0.2">
      <c r="A1312">
        <v>1361</v>
      </c>
      <c r="B1312" t="s">
        <v>463</v>
      </c>
      <c r="C1312" t="s">
        <v>16</v>
      </c>
      <c r="D1312" s="48">
        <v>42462</v>
      </c>
      <c r="E1312" s="3">
        <v>7405000000</v>
      </c>
      <c r="F1312" s="3">
        <v>3218000000</v>
      </c>
      <c r="G1312" s="3">
        <f>Project_Data_NYSE[[#This Row],[ Total Revenue ]]-Project_Data_NYSE[[#This Row],[ Cost of Goods Sold ]]</f>
        <v>4187000000</v>
      </c>
      <c r="H1312" s="3">
        <v>3389000000</v>
      </c>
      <c r="I1312" s="3">
        <v>0</v>
      </c>
      <c r="J1312" s="3">
        <v>24000000</v>
      </c>
      <c r="K1312" s="3">
        <f>Project_Data_NYSE[[#This Row],[Gross Profit]]-Project_Data_NYSE[[#This Row],[ Sales, General and Admin. ]]-Project_Data_NYSE[[#This Row],[ Research and Development ]]-Project_Data_NYSE[[#This Row],[ Other Operating Items ]]</f>
        <v>774000000</v>
      </c>
      <c r="L1312" t="s">
        <v>18</v>
      </c>
      <c r="M1312" t="s">
        <v>288</v>
      </c>
      <c r="N1312" s="31">
        <f>Project_Data_NYSE[[#This Row],[Gross Profit]]/Project_Data_NYSE[[#This Row],[ Total Revenue ]]</f>
        <v>0.56542876434841327</v>
      </c>
      <c r="O1312" s="31">
        <f>Project_Data_NYSE[[#This Row],[Operating Profit]]/Project_Data_NYSE[[#This Row],[ Total Revenue ]]</f>
        <v>0.10452397029034437</v>
      </c>
    </row>
    <row r="1313" spans="1:15" x14ac:dyDescent="0.2">
      <c r="A1313">
        <v>1362</v>
      </c>
      <c r="B1313" t="s">
        <v>464</v>
      </c>
      <c r="C1313" t="s">
        <v>11</v>
      </c>
      <c r="D1313" s="48">
        <v>41547</v>
      </c>
      <c r="E1313" s="3">
        <v>6351900000</v>
      </c>
      <c r="F1313" s="3">
        <v>3778100000</v>
      </c>
      <c r="G1313" s="3">
        <f>Project_Data_NYSE[[#This Row],[ Total Revenue ]]-Project_Data_NYSE[[#This Row],[ Cost of Goods Sold ]]</f>
        <v>2573800000</v>
      </c>
      <c r="H1313" s="3">
        <v>1537700000</v>
      </c>
      <c r="I1313" s="3">
        <v>0</v>
      </c>
      <c r="J1313" s="3">
        <v>0</v>
      </c>
      <c r="K1313" s="3">
        <f>Project_Data_NYSE[[#This Row],[Gross Profit]]-Project_Data_NYSE[[#This Row],[ Sales, General and Admin. ]]-Project_Data_NYSE[[#This Row],[ Research and Development ]]-Project_Data_NYSE[[#This Row],[ Other Operating Items ]]</f>
        <v>1036100000</v>
      </c>
      <c r="L1313" t="s">
        <v>12</v>
      </c>
      <c r="M1313" t="s">
        <v>163</v>
      </c>
      <c r="N1313" s="31">
        <f>Project_Data_NYSE[[#This Row],[Gross Profit]]/Project_Data_NYSE[[#This Row],[ Total Revenue ]]</f>
        <v>0.40520159322407467</v>
      </c>
      <c r="O1313" s="31">
        <f>Project_Data_NYSE[[#This Row],[Operating Profit]]/Project_Data_NYSE[[#This Row],[ Total Revenue ]]</f>
        <v>0.16311654780459389</v>
      </c>
    </row>
    <row r="1314" spans="1:15" x14ac:dyDescent="0.2">
      <c r="A1314">
        <v>1363</v>
      </c>
      <c r="B1314" t="s">
        <v>464</v>
      </c>
      <c r="C1314" t="s">
        <v>14</v>
      </c>
      <c r="D1314" s="48">
        <v>41912</v>
      </c>
      <c r="E1314" s="3">
        <v>6623500000</v>
      </c>
      <c r="F1314" s="3">
        <v>3869600000</v>
      </c>
      <c r="G1314" s="3">
        <f>Project_Data_NYSE[[#This Row],[ Total Revenue ]]-Project_Data_NYSE[[#This Row],[ Cost of Goods Sold ]]</f>
        <v>2753900000</v>
      </c>
      <c r="H1314" s="3">
        <v>1570100000</v>
      </c>
      <c r="I1314" s="3">
        <v>0</v>
      </c>
      <c r="J1314" s="3">
        <v>0</v>
      </c>
      <c r="K1314" s="3">
        <f>Project_Data_NYSE[[#This Row],[Gross Profit]]-Project_Data_NYSE[[#This Row],[ Sales, General and Admin. ]]-Project_Data_NYSE[[#This Row],[ Research and Development ]]-Project_Data_NYSE[[#This Row],[ Other Operating Items ]]</f>
        <v>1183800000</v>
      </c>
      <c r="L1314" t="s">
        <v>12</v>
      </c>
      <c r="M1314" t="s">
        <v>163</v>
      </c>
      <c r="N1314" s="31">
        <f>Project_Data_NYSE[[#This Row],[Gross Profit]]/Project_Data_NYSE[[#This Row],[ Total Revenue ]]</f>
        <v>0.41577715709217183</v>
      </c>
      <c r="O1314" s="31">
        <f>Project_Data_NYSE[[#This Row],[Operating Profit]]/Project_Data_NYSE[[#This Row],[ Total Revenue ]]</f>
        <v>0.1787272590020382</v>
      </c>
    </row>
    <row r="1315" spans="1:15" x14ac:dyDescent="0.2">
      <c r="A1315">
        <v>1364</v>
      </c>
      <c r="B1315" t="s">
        <v>464</v>
      </c>
      <c r="C1315" t="s">
        <v>15</v>
      </c>
      <c r="D1315" s="48">
        <v>42277</v>
      </c>
      <c r="E1315" s="3">
        <v>6307900000</v>
      </c>
      <c r="F1315" s="3">
        <v>3604800000</v>
      </c>
      <c r="G1315" s="3">
        <f>Project_Data_NYSE[[#This Row],[ Total Revenue ]]-Project_Data_NYSE[[#This Row],[ Cost of Goods Sold ]]</f>
        <v>2703100000</v>
      </c>
      <c r="H1315" s="3">
        <v>1506400000</v>
      </c>
      <c r="I1315" s="3">
        <v>0</v>
      </c>
      <c r="J1315" s="3">
        <v>0</v>
      </c>
      <c r="K1315" s="3">
        <f>Project_Data_NYSE[[#This Row],[Gross Profit]]-Project_Data_NYSE[[#This Row],[ Sales, General and Admin. ]]-Project_Data_NYSE[[#This Row],[ Research and Development ]]-Project_Data_NYSE[[#This Row],[ Other Operating Items ]]</f>
        <v>1196700000</v>
      </c>
      <c r="L1315" t="s">
        <v>12</v>
      </c>
      <c r="M1315" t="s">
        <v>163</v>
      </c>
      <c r="N1315" s="31">
        <f>Project_Data_NYSE[[#This Row],[Gross Profit]]/Project_Data_NYSE[[#This Row],[ Total Revenue ]]</f>
        <v>0.42852613389559124</v>
      </c>
      <c r="O1315" s="31">
        <f>Project_Data_NYSE[[#This Row],[Operating Profit]]/Project_Data_NYSE[[#This Row],[ Total Revenue ]]</f>
        <v>0.18971448501085938</v>
      </c>
    </row>
    <row r="1316" spans="1:15" x14ac:dyDescent="0.2">
      <c r="A1316">
        <v>1365</v>
      </c>
      <c r="B1316" t="s">
        <v>464</v>
      </c>
      <c r="C1316" t="s">
        <v>16</v>
      </c>
      <c r="D1316" s="48">
        <v>42643</v>
      </c>
      <c r="E1316" s="3">
        <v>5879500000</v>
      </c>
      <c r="F1316" s="3">
        <v>3404000000</v>
      </c>
      <c r="G1316" s="3">
        <f>Project_Data_NYSE[[#This Row],[ Total Revenue ]]-Project_Data_NYSE[[#This Row],[ Cost of Goods Sold ]]</f>
        <v>2475500000</v>
      </c>
      <c r="H1316" s="3">
        <v>1467400000</v>
      </c>
      <c r="I1316" s="3">
        <v>0</v>
      </c>
      <c r="J1316" s="3">
        <v>0</v>
      </c>
      <c r="K1316" s="3">
        <f>Project_Data_NYSE[[#This Row],[Gross Profit]]-Project_Data_NYSE[[#This Row],[ Sales, General and Admin. ]]-Project_Data_NYSE[[#This Row],[ Research and Development ]]-Project_Data_NYSE[[#This Row],[ Other Operating Items ]]</f>
        <v>1008100000</v>
      </c>
      <c r="L1316" t="s">
        <v>12</v>
      </c>
      <c r="M1316" t="s">
        <v>163</v>
      </c>
      <c r="N1316" s="31">
        <f>Project_Data_NYSE[[#This Row],[Gross Profit]]/Project_Data_NYSE[[#This Row],[ Total Revenue ]]</f>
        <v>0.42103920401394679</v>
      </c>
      <c r="O1316" s="31">
        <f>Project_Data_NYSE[[#This Row],[Operating Profit]]/Project_Data_NYSE[[#This Row],[ Total Revenue ]]</f>
        <v>0.1714601581767157</v>
      </c>
    </row>
    <row r="1317" spans="1:15" x14ac:dyDescent="0.2">
      <c r="A1317">
        <v>1366</v>
      </c>
      <c r="B1317" t="s">
        <v>465</v>
      </c>
      <c r="C1317" t="s">
        <v>11</v>
      </c>
      <c r="D1317" s="48">
        <v>41274</v>
      </c>
      <c r="E1317" s="3">
        <v>2993489000</v>
      </c>
      <c r="F1317" s="3">
        <v>1321772000</v>
      </c>
      <c r="G1317" s="3">
        <f>Project_Data_NYSE[[#This Row],[ Total Revenue ]]-Project_Data_NYSE[[#This Row],[ Cost of Goods Sold ]]</f>
        <v>1671717000</v>
      </c>
      <c r="H1317" s="3">
        <v>914130000</v>
      </c>
      <c r="I1317" s="3">
        <v>0</v>
      </c>
      <c r="J1317" s="3">
        <v>0</v>
      </c>
      <c r="K1317" s="3">
        <f>Project_Data_NYSE[[#This Row],[Gross Profit]]-Project_Data_NYSE[[#This Row],[ Sales, General and Admin. ]]-Project_Data_NYSE[[#This Row],[ Research and Development ]]-Project_Data_NYSE[[#This Row],[ Other Operating Items ]]</f>
        <v>757587000</v>
      </c>
      <c r="L1317" t="s">
        <v>12</v>
      </c>
      <c r="M1317" t="s">
        <v>163</v>
      </c>
      <c r="N1317" s="31">
        <f>Project_Data_NYSE[[#This Row],[Gross Profit]]/Project_Data_NYSE[[#This Row],[ Total Revenue ]]</f>
        <v>0.55845102487431886</v>
      </c>
      <c r="O1317" s="31">
        <f>Project_Data_NYSE[[#This Row],[Operating Profit]]/Project_Data_NYSE[[#This Row],[ Total Revenue ]]</f>
        <v>0.25307826419271962</v>
      </c>
    </row>
    <row r="1318" spans="1:15" x14ac:dyDescent="0.2">
      <c r="A1318">
        <v>1367</v>
      </c>
      <c r="B1318" t="s">
        <v>465</v>
      </c>
      <c r="C1318" t="s">
        <v>14</v>
      </c>
      <c r="D1318" s="48">
        <v>41639</v>
      </c>
      <c r="E1318" s="3">
        <v>3238128000</v>
      </c>
      <c r="F1318" s="3">
        <v>1355200000</v>
      </c>
      <c r="G1318" s="3">
        <f>Project_Data_NYSE[[#This Row],[ Total Revenue ]]-Project_Data_NYSE[[#This Row],[ Cost of Goods Sold ]]</f>
        <v>1882928000</v>
      </c>
      <c r="H1318" s="3">
        <v>1040567000</v>
      </c>
      <c r="I1318" s="3">
        <v>0</v>
      </c>
      <c r="J1318" s="3">
        <v>0</v>
      </c>
      <c r="K1318" s="3">
        <f>Project_Data_NYSE[[#This Row],[Gross Profit]]-Project_Data_NYSE[[#This Row],[ Sales, General and Admin. ]]-Project_Data_NYSE[[#This Row],[ Research and Development ]]-Project_Data_NYSE[[#This Row],[ Other Operating Items ]]</f>
        <v>842361000</v>
      </c>
      <c r="L1318" t="s">
        <v>12</v>
      </c>
      <c r="M1318" t="s">
        <v>163</v>
      </c>
      <c r="N1318" s="31">
        <f>Project_Data_NYSE[[#This Row],[Gross Profit]]/Project_Data_NYSE[[#This Row],[ Total Revenue ]]</f>
        <v>0.5814865873121754</v>
      </c>
      <c r="O1318" s="31">
        <f>Project_Data_NYSE[[#This Row],[Operating Profit]]/Project_Data_NYSE[[#This Row],[ Total Revenue ]]</f>
        <v>0.26013826507167104</v>
      </c>
    </row>
    <row r="1319" spans="1:15" x14ac:dyDescent="0.2">
      <c r="A1319">
        <v>1368</v>
      </c>
      <c r="B1319" t="s">
        <v>465</v>
      </c>
      <c r="C1319" t="s">
        <v>15</v>
      </c>
      <c r="D1319" s="48">
        <v>42004</v>
      </c>
      <c r="E1319" s="3">
        <v>3549494000</v>
      </c>
      <c r="F1319" s="3">
        <v>1447595000</v>
      </c>
      <c r="G1319" s="3">
        <f>Project_Data_NYSE[[#This Row],[ Total Revenue ]]-Project_Data_NYSE[[#This Row],[ Cost of Goods Sold ]]</f>
        <v>2101899000</v>
      </c>
      <c r="H1319" s="3">
        <v>1102426000</v>
      </c>
      <c r="I1319" s="3">
        <v>0</v>
      </c>
      <c r="J1319" s="3">
        <v>0</v>
      </c>
      <c r="K1319" s="3">
        <f>Project_Data_NYSE[[#This Row],[Gross Profit]]-Project_Data_NYSE[[#This Row],[ Sales, General and Admin. ]]-Project_Data_NYSE[[#This Row],[ Research and Development ]]-Project_Data_NYSE[[#This Row],[ Other Operating Items ]]</f>
        <v>999473000</v>
      </c>
      <c r="L1319" t="s">
        <v>12</v>
      </c>
      <c r="M1319" t="s">
        <v>163</v>
      </c>
      <c r="N1319" s="31">
        <f>Project_Data_NYSE[[#This Row],[Gross Profit]]/Project_Data_NYSE[[#This Row],[ Total Revenue ]]</f>
        <v>0.59216863023292898</v>
      </c>
      <c r="O1319" s="31">
        <f>Project_Data_NYSE[[#This Row],[Operating Profit]]/Project_Data_NYSE[[#This Row],[ Total Revenue ]]</f>
        <v>0.28158182546582694</v>
      </c>
    </row>
    <row r="1320" spans="1:15" x14ac:dyDescent="0.2">
      <c r="A1320">
        <v>1369</v>
      </c>
      <c r="B1320" t="s">
        <v>465</v>
      </c>
      <c r="C1320" t="s">
        <v>16</v>
      </c>
      <c r="D1320" s="48">
        <v>42369</v>
      </c>
      <c r="E1320" s="3">
        <v>3582395000</v>
      </c>
      <c r="F1320" s="3">
        <v>1417749000</v>
      </c>
      <c r="G1320" s="3">
        <f>Project_Data_NYSE[[#This Row],[ Total Revenue ]]-Project_Data_NYSE[[#This Row],[ Cost of Goods Sold ]]</f>
        <v>2164646000</v>
      </c>
      <c r="H1320" s="3">
        <v>1136728000</v>
      </c>
      <c r="I1320" s="3">
        <v>0</v>
      </c>
      <c r="J1320" s="3">
        <v>0</v>
      </c>
      <c r="K1320" s="3">
        <f>Project_Data_NYSE[[#This Row],[Gross Profit]]-Project_Data_NYSE[[#This Row],[ Sales, General and Admin. ]]-Project_Data_NYSE[[#This Row],[ Research and Development ]]-Project_Data_NYSE[[#This Row],[ Other Operating Items ]]</f>
        <v>1027918000</v>
      </c>
      <c r="L1320" t="s">
        <v>12</v>
      </c>
      <c r="M1320" t="s">
        <v>163</v>
      </c>
      <c r="N1320" s="31">
        <f>Project_Data_NYSE[[#This Row],[Gross Profit]]/Project_Data_NYSE[[#This Row],[ Total Revenue ]]</f>
        <v>0.60424548381739029</v>
      </c>
      <c r="O1320" s="31">
        <f>Project_Data_NYSE[[#This Row],[Operating Profit]]/Project_Data_NYSE[[#This Row],[ Total Revenue ]]</f>
        <v>0.28693597439701651</v>
      </c>
    </row>
    <row r="1321" spans="1:15" x14ac:dyDescent="0.2">
      <c r="A1321">
        <v>1370</v>
      </c>
      <c r="B1321" t="s">
        <v>466</v>
      </c>
      <c r="C1321" t="s">
        <v>11</v>
      </c>
      <c r="D1321" s="48">
        <v>41307</v>
      </c>
      <c r="E1321" s="3">
        <v>9721065000</v>
      </c>
      <c r="F1321" s="3">
        <v>7011428000</v>
      </c>
      <c r="G1321" s="3">
        <f>Project_Data_NYSE[[#This Row],[ Total Revenue ]]-Project_Data_NYSE[[#This Row],[ Cost of Goods Sold ]]</f>
        <v>2709637000</v>
      </c>
      <c r="H1321" s="3">
        <v>1437886000</v>
      </c>
      <c r="I1321" s="3">
        <v>0</v>
      </c>
      <c r="J1321" s="3">
        <v>0</v>
      </c>
      <c r="K1321" s="3">
        <f>Project_Data_NYSE[[#This Row],[Gross Profit]]-Project_Data_NYSE[[#This Row],[ Sales, General and Admin. ]]-Project_Data_NYSE[[#This Row],[ Research and Development ]]-Project_Data_NYSE[[#This Row],[ Other Operating Items ]]</f>
        <v>1271751000</v>
      </c>
      <c r="L1321" t="s">
        <v>18</v>
      </c>
      <c r="M1321" t="s">
        <v>256</v>
      </c>
      <c r="N1321" s="31">
        <f>Project_Data_NYSE[[#This Row],[Gross Profit]]/Project_Data_NYSE[[#This Row],[ Total Revenue ]]</f>
        <v>0.27873869786900923</v>
      </c>
      <c r="O1321" s="31">
        <f>Project_Data_NYSE[[#This Row],[Operating Profit]]/Project_Data_NYSE[[#This Row],[ Total Revenue ]]</f>
        <v>0.13082424610883683</v>
      </c>
    </row>
    <row r="1322" spans="1:15" x14ac:dyDescent="0.2">
      <c r="A1322">
        <v>1371</v>
      </c>
      <c r="B1322" t="s">
        <v>466</v>
      </c>
      <c r="C1322" t="s">
        <v>14</v>
      </c>
      <c r="D1322" s="48">
        <v>41671</v>
      </c>
      <c r="E1322" s="3">
        <v>10230353000</v>
      </c>
      <c r="F1322" s="3">
        <v>7360924000</v>
      </c>
      <c r="G1322" s="3">
        <f>Project_Data_NYSE[[#This Row],[ Total Revenue ]]-Project_Data_NYSE[[#This Row],[ Cost of Goods Sold ]]</f>
        <v>2869429000</v>
      </c>
      <c r="H1322" s="3">
        <v>1526366000</v>
      </c>
      <c r="I1322" s="3">
        <v>0</v>
      </c>
      <c r="J1322" s="3">
        <v>0</v>
      </c>
      <c r="K1322" s="3">
        <f>Project_Data_NYSE[[#This Row],[Gross Profit]]-Project_Data_NYSE[[#This Row],[ Sales, General and Admin. ]]-Project_Data_NYSE[[#This Row],[ Research and Development ]]-Project_Data_NYSE[[#This Row],[ Other Operating Items ]]</f>
        <v>1343063000</v>
      </c>
      <c r="L1322" t="s">
        <v>18</v>
      </c>
      <c r="M1322" t="s">
        <v>256</v>
      </c>
      <c r="N1322" s="31">
        <f>Project_Data_NYSE[[#This Row],[Gross Profit]]/Project_Data_NYSE[[#This Row],[ Total Revenue ]]</f>
        <v>0.28048191494467495</v>
      </c>
      <c r="O1322" s="31">
        <f>Project_Data_NYSE[[#This Row],[Operating Profit]]/Project_Data_NYSE[[#This Row],[ Total Revenue ]]</f>
        <v>0.13128217569814063</v>
      </c>
    </row>
    <row r="1323" spans="1:15" x14ac:dyDescent="0.2">
      <c r="A1323">
        <v>1372</v>
      </c>
      <c r="B1323" t="s">
        <v>466</v>
      </c>
      <c r="C1323" t="s">
        <v>15</v>
      </c>
      <c r="D1323" s="48">
        <v>42035</v>
      </c>
      <c r="E1323" s="3">
        <v>11041677000</v>
      </c>
      <c r="F1323" s="3">
        <v>7937956000</v>
      </c>
      <c r="G1323" s="3">
        <f>Project_Data_NYSE[[#This Row],[ Total Revenue ]]-Project_Data_NYSE[[#This Row],[ Cost of Goods Sold ]]</f>
        <v>3103721000</v>
      </c>
      <c r="H1323" s="3">
        <v>1615371000</v>
      </c>
      <c r="I1323" s="3">
        <v>0</v>
      </c>
      <c r="J1323" s="3">
        <v>0</v>
      </c>
      <c r="K1323" s="3">
        <f>Project_Data_NYSE[[#This Row],[Gross Profit]]-Project_Data_NYSE[[#This Row],[ Sales, General and Admin. ]]-Project_Data_NYSE[[#This Row],[ Research and Development ]]-Project_Data_NYSE[[#This Row],[ Other Operating Items ]]</f>
        <v>1488350000</v>
      </c>
      <c r="L1323" t="s">
        <v>18</v>
      </c>
      <c r="M1323" t="s">
        <v>256</v>
      </c>
      <c r="N1323" s="31">
        <f>Project_Data_NYSE[[#This Row],[Gross Profit]]/Project_Data_NYSE[[#This Row],[ Total Revenue ]]</f>
        <v>0.28109145014837872</v>
      </c>
      <c r="O1323" s="31">
        <f>Project_Data_NYSE[[#This Row],[Operating Profit]]/Project_Data_NYSE[[#This Row],[ Total Revenue ]]</f>
        <v>0.13479383611746656</v>
      </c>
    </row>
    <row r="1324" spans="1:15" x14ac:dyDescent="0.2">
      <c r="A1324">
        <v>1373</v>
      </c>
      <c r="B1324" t="s">
        <v>466</v>
      </c>
      <c r="C1324" t="s">
        <v>16</v>
      </c>
      <c r="D1324" s="48">
        <v>42399</v>
      </c>
      <c r="E1324" s="3">
        <v>11939999000</v>
      </c>
      <c r="F1324" s="3">
        <v>8576873000</v>
      </c>
      <c r="G1324" s="3">
        <f>Project_Data_NYSE[[#This Row],[ Total Revenue ]]-Project_Data_NYSE[[#This Row],[ Cost of Goods Sold ]]</f>
        <v>3363126000</v>
      </c>
      <c r="H1324" s="3">
        <v>1738755000</v>
      </c>
      <c r="I1324" s="3">
        <v>0</v>
      </c>
      <c r="J1324" s="3">
        <v>0</v>
      </c>
      <c r="K1324" s="3">
        <f>Project_Data_NYSE[[#This Row],[Gross Profit]]-Project_Data_NYSE[[#This Row],[ Sales, General and Admin. ]]-Project_Data_NYSE[[#This Row],[ Research and Development ]]-Project_Data_NYSE[[#This Row],[ Other Operating Items ]]</f>
        <v>1624371000</v>
      </c>
      <c r="L1324" t="s">
        <v>18</v>
      </c>
      <c r="M1324" t="s">
        <v>256</v>
      </c>
      <c r="N1324" s="31">
        <f>Project_Data_NYSE[[#This Row],[Gross Profit]]/Project_Data_NYSE[[#This Row],[ Total Revenue ]]</f>
        <v>0.28166886781146294</v>
      </c>
      <c r="O1324" s="31">
        <f>Project_Data_NYSE[[#This Row],[Operating Profit]]/Project_Data_NYSE[[#This Row],[ Total Revenue ]]</f>
        <v>0.1360444837558194</v>
      </c>
    </row>
    <row r="1325" spans="1:15" x14ac:dyDescent="0.2">
      <c r="A1325">
        <v>1374</v>
      </c>
      <c r="B1325" t="s">
        <v>467</v>
      </c>
      <c r="C1325" t="s">
        <v>11</v>
      </c>
      <c r="D1325" s="48">
        <v>41274</v>
      </c>
      <c r="E1325" s="3">
        <v>1367135000</v>
      </c>
      <c r="F1325" s="3">
        <v>328784000</v>
      </c>
      <c r="G1325" s="3">
        <f>Project_Data_NYSE[[#This Row],[ Total Revenue ]]-Project_Data_NYSE[[#This Row],[ Cost of Goods Sold ]]</f>
        <v>1038351000</v>
      </c>
      <c r="H1325" s="3">
        <v>248136000</v>
      </c>
      <c r="I1325" s="3">
        <v>0</v>
      </c>
      <c r="J1325" s="3">
        <v>445228000</v>
      </c>
      <c r="K1325" s="3">
        <f>Project_Data_NYSE[[#This Row],[Gross Profit]]-Project_Data_NYSE[[#This Row],[ Sales, General and Admin. ]]-Project_Data_NYSE[[#This Row],[ Research and Development ]]-Project_Data_NYSE[[#This Row],[ Other Operating Items ]]</f>
        <v>344987000</v>
      </c>
      <c r="L1325" t="s">
        <v>82</v>
      </c>
      <c r="M1325" t="s">
        <v>83</v>
      </c>
      <c r="N1325" s="31">
        <f>Project_Data_NYSE[[#This Row],[Gross Profit]]/Project_Data_NYSE[[#This Row],[ Total Revenue ]]</f>
        <v>0.75950875370757098</v>
      </c>
      <c r="O1325" s="31">
        <f>Project_Data_NYSE[[#This Row],[Operating Profit]]/Project_Data_NYSE[[#This Row],[ Total Revenue ]]</f>
        <v>0.25234303854410867</v>
      </c>
    </row>
    <row r="1326" spans="1:15" x14ac:dyDescent="0.2">
      <c r="A1326">
        <v>1375</v>
      </c>
      <c r="B1326" t="s">
        <v>467</v>
      </c>
      <c r="C1326" t="s">
        <v>14</v>
      </c>
      <c r="D1326" s="48">
        <v>41639</v>
      </c>
      <c r="E1326" s="3">
        <v>1832253000</v>
      </c>
      <c r="F1326" s="3">
        <v>516119000</v>
      </c>
      <c r="G1326" s="3">
        <f>Project_Data_NYSE[[#This Row],[ Total Revenue ]]-Project_Data_NYSE[[#This Row],[ Cost of Goods Sold ]]</f>
        <v>1316134000</v>
      </c>
      <c r="H1326" s="3">
        <v>391707000</v>
      </c>
      <c r="I1326" s="3">
        <v>0</v>
      </c>
      <c r="J1326" s="3">
        <v>492397000</v>
      </c>
      <c r="K1326" s="3">
        <f>Project_Data_NYSE[[#This Row],[Gross Profit]]-Project_Data_NYSE[[#This Row],[ Sales, General and Admin. ]]-Project_Data_NYSE[[#This Row],[ Research and Development ]]-Project_Data_NYSE[[#This Row],[ Other Operating Items ]]</f>
        <v>432030000</v>
      </c>
      <c r="L1326" t="s">
        <v>82</v>
      </c>
      <c r="M1326" t="s">
        <v>83</v>
      </c>
      <c r="N1326" s="31">
        <f>Project_Data_NYSE[[#This Row],[Gross Profit]]/Project_Data_NYSE[[#This Row],[ Total Revenue ]]</f>
        <v>0.71831455590467042</v>
      </c>
      <c r="O1326" s="31">
        <f>Project_Data_NYSE[[#This Row],[Operating Profit]]/Project_Data_NYSE[[#This Row],[ Total Revenue ]]</f>
        <v>0.23579167287487043</v>
      </c>
    </row>
    <row r="1327" spans="1:15" x14ac:dyDescent="0.2">
      <c r="A1327">
        <v>1376</v>
      </c>
      <c r="B1327" t="s">
        <v>467</v>
      </c>
      <c r="C1327" t="s">
        <v>15</v>
      </c>
      <c r="D1327" s="48">
        <v>42004</v>
      </c>
      <c r="E1327" s="3">
        <v>2042537000</v>
      </c>
      <c r="F1327" s="3">
        <v>605752000</v>
      </c>
      <c r="G1327" s="3">
        <f>Project_Data_NYSE[[#This Row],[ Total Revenue ]]-Project_Data_NYSE[[#This Row],[ Cost of Goods Sold ]]</f>
        <v>1436785000</v>
      </c>
      <c r="H1327" s="3">
        <v>191802000</v>
      </c>
      <c r="I1327" s="3">
        <v>0</v>
      </c>
      <c r="J1327" s="3">
        <v>551032000</v>
      </c>
      <c r="K1327" s="3">
        <f>Project_Data_NYSE[[#This Row],[Gross Profit]]-Project_Data_NYSE[[#This Row],[ Sales, General and Admin. ]]-Project_Data_NYSE[[#This Row],[ Research and Development ]]-Project_Data_NYSE[[#This Row],[ Other Operating Items ]]</f>
        <v>693951000</v>
      </c>
      <c r="L1327" t="s">
        <v>82</v>
      </c>
      <c r="M1327" t="s">
        <v>83</v>
      </c>
      <c r="N1327" s="31">
        <f>Project_Data_NYSE[[#This Row],[Gross Profit]]/Project_Data_NYSE[[#This Row],[ Total Revenue ]]</f>
        <v>0.70343156574397425</v>
      </c>
      <c r="O1327" s="31">
        <f>Project_Data_NYSE[[#This Row],[Operating Profit]]/Project_Data_NYSE[[#This Row],[ Total Revenue ]]</f>
        <v>0.33974953697289206</v>
      </c>
    </row>
    <row r="1328" spans="1:15" x14ac:dyDescent="0.2">
      <c r="A1328">
        <v>1377</v>
      </c>
      <c r="B1328" t="s">
        <v>467</v>
      </c>
      <c r="C1328" t="s">
        <v>16</v>
      </c>
      <c r="D1328" s="48">
        <v>42369</v>
      </c>
      <c r="E1328" s="3">
        <v>1181704000</v>
      </c>
      <c r="F1328" s="3">
        <v>648968000</v>
      </c>
      <c r="G1328" s="3">
        <f>Project_Data_NYSE[[#This Row],[ Total Revenue ]]-Project_Data_NYSE[[#This Row],[ Cost of Goods Sold ]]</f>
        <v>532736000</v>
      </c>
      <c r="H1328" s="3">
        <v>165318000</v>
      </c>
      <c r="I1328" s="3">
        <v>0</v>
      </c>
      <c r="J1328" s="3">
        <v>581155000</v>
      </c>
      <c r="K1328" s="3">
        <f>Project_Data_NYSE[[#This Row],[Gross Profit]]-Project_Data_NYSE[[#This Row],[ Sales, General and Admin. ]]-Project_Data_NYSE[[#This Row],[ Research and Development ]]-Project_Data_NYSE[[#This Row],[ Other Operating Items ]]</f>
        <v>-213737000</v>
      </c>
      <c r="L1328" t="s">
        <v>82</v>
      </c>
      <c r="M1328" t="s">
        <v>83</v>
      </c>
      <c r="N1328" s="31">
        <f>Project_Data_NYSE[[#This Row],[Gross Profit]]/Project_Data_NYSE[[#This Row],[ Total Revenue ]]</f>
        <v>0.45082017154888193</v>
      </c>
      <c r="O1328" s="31">
        <f>Project_Data_NYSE[[#This Row],[Operating Profit]]/Project_Data_NYSE[[#This Row],[ Total Revenue ]]</f>
        <v>-0.18087185961966787</v>
      </c>
    </row>
    <row r="1329" spans="1:15" x14ac:dyDescent="0.2">
      <c r="A1329">
        <v>1378</v>
      </c>
      <c r="B1329" t="s">
        <v>468</v>
      </c>
      <c r="C1329" t="s">
        <v>11</v>
      </c>
      <c r="D1329" s="48">
        <v>41639</v>
      </c>
      <c r="E1329" s="3">
        <v>8417200000</v>
      </c>
      <c r="F1329" s="3">
        <v>5234700000</v>
      </c>
      <c r="G1329" s="3">
        <f>Project_Data_NYSE[[#This Row],[ Total Revenue ]]-Project_Data_NYSE[[#This Row],[ Cost of Goods Sold ]]</f>
        <v>3182500000</v>
      </c>
      <c r="H1329" s="3">
        <v>1088100000</v>
      </c>
      <c r="I1329" s="3">
        <v>0</v>
      </c>
      <c r="J1329" s="3">
        <v>877400000</v>
      </c>
      <c r="K1329" s="3">
        <f>Project_Data_NYSE[[#This Row],[Gross Profit]]-Project_Data_NYSE[[#This Row],[ Sales, General and Admin. ]]-Project_Data_NYSE[[#This Row],[ Research and Development ]]-Project_Data_NYSE[[#This Row],[ Other Operating Items ]]</f>
        <v>1217000000</v>
      </c>
      <c r="L1329" t="s">
        <v>12</v>
      </c>
      <c r="M1329" t="s">
        <v>163</v>
      </c>
      <c r="N1329" s="31">
        <f>Project_Data_NYSE[[#This Row],[Gross Profit]]/Project_Data_NYSE[[#This Row],[ Total Revenue ]]</f>
        <v>0.37809485339542842</v>
      </c>
      <c r="O1329" s="31">
        <f>Project_Data_NYSE[[#This Row],[Operating Profit]]/Project_Data_NYSE[[#This Row],[ Total Revenue ]]</f>
        <v>0.14458489759064772</v>
      </c>
    </row>
    <row r="1330" spans="1:15" x14ac:dyDescent="0.2">
      <c r="A1330">
        <v>1379</v>
      </c>
      <c r="B1330" t="s">
        <v>468</v>
      </c>
      <c r="C1330" t="s">
        <v>14</v>
      </c>
      <c r="D1330" s="48">
        <v>42004</v>
      </c>
      <c r="E1330" s="3">
        <v>8803300000</v>
      </c>
      <c r="F1330" s="3">
        <v>5643100000</v>
      </c>
      <c r="G1330" s="3">
        <f>Project_Data_NYSE[[#This Row],[ Total Revenue ]]-Project_Data_NYSE[[#This Row],[ Cost of Goods Sold ]]</f>
        <v>3160200000</v>
      </c>
      <c r="H1330" s="3">
        <v>998400000</v>
      </c>
      <c r="I1330" s="3">
        <v>0</v>
      </c>
      <c r="J1330" s="3">
        <v>906900000</v>
      </c>
      <c r="K1330" s="3">
        <f>Project_Data_NYSE[[#This Row],[Gross Profit]]-Project_Data_NYSE[[#This Row],[ Sales, General and Admin. ]]-Project_Data_NYSE[[#This Row],[ Research and Development ]]-Project_Data_NYSE[[#This Row],[ Other Operating Items ]]</f>
        <v>1254900000</v>
      </c>
      <c r="L1330" t="s">
        <v>12</v>
      </c>
      <c r="M1330" t="s">
        <v>163</v>
      </c>
      <c r="N1330" s="31">
        <f>Project_Data_NYSE[[#This Row],[Gross Profit]]/Project_Data_NYSE[[#This Row],[ Total Revenue ]]</f>
        <v>0.35897901923142456</v>
      </c>
      <c r="O1330" s="31">
        <f>Project_Data_NYSE[[#This Row],[Operating Profit]]/Project_Data_NYSE[[#This Row],[ Total Revenue ]]</f>
        <v>0.14254881692092738</v>
      </c>
    </row>
    <row r="1331" spans="1:15" x14ac:dyDescent="0.2">
      <c r="A1331">
        <v>1380</v>
      </c>
      <c r="B1331" t="s">
        <v>468</v>
      </c>
      <c r="C1331" t="s">
        <v>15</v>
      </c>
      <c r="D1331" s="48">
        <v>42369</v>
      </c>
      <c r="E1331" s="3">
        <v>9115000000</v>
      </c>
      <c r="F1331" s="3">
        <v>5518600000</v>
      </c>
      <c r="G1331" s="3">
        <f>Project_Data_NYSE[[#This Row],[ Total Revenue ]]-Project_Data_NYSE[[#This Row],[ Cost of Goods Sold ]]</f>
        <v>3596400000</v>
      </c>
      <c r="H1331" s="3">
        <v>1067000000</v>
      </c>
      <c r="I1331" s="3">
        <v>0</v>
      </c>
      <c r="J1331" s="3">
        <v>970600000</v>
      </c>
      <c r="K1331" s="3">
        <f>Project_Data_NYSE[[#This Row],[Gross Profit]]-Project_Data_NYSE[[#This Row],[ Sales, General and Admin. ]]-Project_Data_NYSE[[#This Row],[ Research and Development ]]-Project_Data_NYSE[[#This Row],[ Other Operating Items ]]</f>
        <v>1558800000</v>
      </c>
      <c r="L1331" t="s">
        <v>12</v>
      </c>
      <c r="M1331" t="s">
        <v>163</v>
      </c>
      <c r="N1331" s="31">
        <f>Project_Data_NYSE[[#This Row],[Gross Profit]]/Project_Data_NYSE[[#This Row],[ Total Revenue ]]</f>
        <v>0.39455842018650578</v>
      </c>
      <c r="O1331" s="31">
        <f>Project_Data_NYSE[[#This Row],[Operating Profit]]/Project_Data_NYSE[[#This Row],[ Total Revenue ]]</f>
        <v>0.17101481075150851</v>
      </c>
    </row>
    <row r="1332" spans="1:15" x14ac:dyDescent="0.2">
      <c r="A1332">
        <v>1381</v>
      </c>
      <c r="B1332" t="s">
        <v>468</v>
      </c>
      <c r="C1332" t="s">
        <v>16</v>
      </c>
      <c r="D1332" s="48">
        <v>42735</v>
      </c>
      <c r="E1332" s="3">
        <v>9387700000</v>
      </c>
      <c r="F1332" s="3">
        <v>5764000000</v>
      </c>
      <c r="G1332" s="3">
        <f>Project_Data_NYSE[[#This Row],[ Total Revenue ]]-Project_Data_NYSE[[#This Row],[ Cost of Goods Sold ]]</f>
        <v>3623700000</v>
      </c>
      <c r="H1332" s="3">
        <v>1054500000</v>
      </c>
      <c r="I1332" s="3">
        <v>0</v>
      </c>
      <c r="J1332" s="3">
        <v>991100000</v>
      </c>
      <c r="K1332" s="3">
        <f>Project_Data_NYSE[[#This Row],[Gross Profit]]-Project_Data_NYSE[[#This Row],[ Sales, General and Admin. ]]-Project_Data_NYSE[[#This Row],[ Research and Development ]]-Project_Data_NYSE[[#This Row],[ Other Operating Items ]]</f>
        <v>1578100000</v>
      </c>
      <c r="L1332" t="s">
        <v>12</v>
      </c>
      <c r="M1332" t="s">
        <v>163</v>
      </c>
      <c r="N1332" s="31">
        <f>Project_Data_NYSE[[#This Row],[Gross Profit]]/Project_Data_NYSE[[#This Row],[ Total Revenue ]]</f>
        <v>0.38600509176901693</v>
      </c>
      <c r="O1332" s="31">
        <f>Project_Data_NYSE[[#This Row],[Operating Profit]]/Project_Data_NYSE[[#This Row],[ Total Revenue ]]</f>
        <v>0.16810294321292754</v>
      </c>
    </row>
    <row r="1333" spans="1:15" x14ac:dyDescent="0.2">
      <c r="A1333">
        <v>1382</v>
      </c>
      <c r="B1333" t="s">
        <v>469</v>
      </c>
      <c r="C1333" t="s">
        <v>11</v>
      </c>
      <c r="D1333" s="48">
        <v>41546</v>
      </c>
      <c r="E1333" s="3">
        <v>14866800000</v>
      </c>
      <c r="F1333" s="3">
        <v>6382300000</v>
      </c>
      <c r="G1333" s="3">
        <f>Project_Data_NYSE[[#This Row],[ Total Revenue ]]-Project_Data_NYSE[[#This Row],[ Cost of Goods Sold ]]</f>
        <v>8484500000</v>
      </c>
      <c r="H1333" s="3">
        <v>5655800000</v>
      </c>
      <c r="I1333" s="3">
        <v>0</v>
      </c>
      <c r="J1333" s="3">
        <v>621400000</v>
      </c>
      <c r="K1333" s="3">
        <f>Project_Data_NYSE[[#This Row],[Gross Profit]]-Project_Data_NYSE[[#This Row],[ Sales, General and Admin. ]]-Project_Data_NYSE[[#This Row],[ Research and Development ]]-Project_Data_NYSE[[#This Row],[ Other Operating Items ]]</f>
        <v>2207300000</v>
      </c>
      <c r="L1333" t="s">
        <v>18</v>
      </c>
      <c r="M1333" t="s">
        <v>154</v>
      </c>
      <c r="N1333" s="31">
        <f>Project_Data_NYSE[[#This Row],[Gross Profit]]/Project_Data_NYSE[[#This Row],[ Total Revenue ]]</f>
        <v>0.57070115963085533</v>
      </c>
      <c r="O1333" s="31">
        <f>Project_Data_NYSE[[#This Row],[Operating Profit]]/Project_Data_NYSE[[#This Row],[ Total Revenue ]]</f>
        <v>0.14847176258508893</v>
      </c>
    </row>
    <row r="1334" spans="1:15" x14ac:dyDescent="0.2">
      <c r="A1334">
        <v>1383</v>
      </c>
      <c r="B1334" t="s">
        <v>469</v>
      </c>
      <c r="C1334" t="s">
        <v>14</v>
      </c>
      <c r="D1334" s="48">
        <v>41910</v>
      </c>
      <c r="E1334" s="3">
        <v>16447800000</v>
      </c>
      <c r="F1334" s="3">
        <v>6858800000</v>
      </c>
      <c r="G1334" s="3">
        <f>Project_Data_NYSE[[#This Row],[ Total Revenue ]]-Project_Data_NYSE[[#This Row],[ Cost of Goods Sold ]]</f>
        <v>9589000000</v>
      </c>
      <c r="H1334" s="3">
        <v>6086800000</v>
      </c>
      <c r="I1334" s="3">
        <v>0</v>
      </c>
      <c r="J1334" s="3">
        <v>709600000</v>
      </c>
      <c r="K1334" s="3">
        <f>Project_Data_NYSE[[#This Row],[Gross Profit]]-Project_Data_NYSE[[#This Row],[ Sales, General and Admin. ]]-Project_Data_NYSE[[#This Row],[ Research and Development ]]-Project_Data_NYSE[[#This Row],[ Other Operating Items ]]</f>
        <v>2792600000</v>
      </c>
      <c r="L1334" t="s">
        <v>18</v>
      </c>
      <c r="M1334" t="s">
        <v>154</v>
      </c>
      <c r="N1334" s="31">
        <f>Project_Data_NYSE[[#This Row],[Gross Profit]]/Project_Data_NYSE[[#This Row],[ Total Revenue ]]</f>
        <v>0.58299590218752662</v>
      </c>
      <c r="O1334" s="31">
        <f>Project_Data_NYSE[[#This Row],[Operating Profit]]/Project_Data_NYSE[[#This Row],[ Total Revenue ]]</f>
        <v>0.1697856248252046</v>
      </c>
    </row>
    <row r="1335" spans="1:15" x14ac:dyDescent="0.2">
      <c r="A1335">
        <v>1384</v>
      </c>
      <c r="B1335" t="s">
        <v>469</v>
      </c>
      <c r="C1335" t="s">
        <v>15</v>
      </c>
      <c r="D1335" s="48">
        <v>42274</v>
      </c>
      <c r="E1335" s="3">
        <v>19162700000</v>
      </c>
      <c r="F1335" s="3">
        <v>7787500000</v>
      </c>
      <c r="G1335" s="3">
        <f>Project_Data_NYSE[[#This Row],[ Total Revenue ]]-Project_Data_NYSE[[#This Row],[ Cost of Goods Sold ]]</f>
        <v>11375200000</v>
      </c>
      <c r="H1335" s="3">
        <v>7130200000</v>
      </c>
      <c r="I1335" s="3">
        <v>0</v>
      </c>
      <c r="J1335" s="3">
        <v>893900000</v>
      </c>
      <c r="K1335" s="3">
        <f>Project_Data_NYSE[[#This Row],[Gross Profit]]-Project_Data_NYSE[[#This Row],[ Sales, General and Admin. ]]-Project_Data_NYSE[[#This Row],[ Research and Development ]]-Project_Data_NYSE[[#This Row],[ Other Operating Items ]]</f>
        <v>3351100000</v>
      </c>
      <c r="L1335" t="s">
        <v>18</v>
      </c>
      <c r="M1335" t="s">
        <v>154</v>
      </c>
      <c r="N1335" s="31">
        <f>Project_Data_NYSE[[#This Row],[Gross Profit]]/Project_Data_NYSE[[#This Row],[ Total Revenue ]]</f>
        <v>0.59361154743329492</v>
      </c>
      <c r="O1335" s="31">
        <f>Project_Data_NYSE[[#This Row],[Operating Profit]]/Project_Data_NYSE[[#This Row],[ Total Revenue ]]</f>
        <v>0.17487619176838337</v>
      </c>
    </row>
    <row r="1336" spans="1:15" x14ac:dyDescent="0.2">
      <c r="A1336">
        <v>1385</v>
      </c>
      <c r="B1336" t="s">
        <v>469</v>
      </c>
      <c r="C1336" t="s">
        <v>16</v>
      </c>
      <c r="D1336" s="48">
        <v>42645</v>
      </c>
      <c r="E1336" s="3">
        <v>21315900000</v>
      </c>
      <c r="F1336" s="3">
        <v>8511100000</v>
      </c>
      <c r="G1336" s="3">
        <f>Project_Data_NYSE[[#This Row],[ Total Revenue ]]-Project_Data_NYSE[[#This Row],[ Cost of Goods Sold ]]</f>
        <v>12804800000</v>
      </c>
      <c r="H1336" s="3">
        <v>7970300000</v>
      </c>
      <c r="I1336" s="3">
        <v>0</v>
      </c>
      <c r="J1336" s="3">
        <v>980800000</v>
      </c>
      <c r="K1336" s="3">
        <f>Project_Data_NYSE[[#This Row],[Gross Profit]]-Project_Data_NYSE[[#This Row],[ Sales, General and Admin. ]]-Project_Data_NYSE[[#This Row],[ Research and Development ]]-Project_Data_NYSE[[#This Row],[ Other Operating Items ]]</f>
        <v>3853700000</v>
      </c>
      <c r="L1336" t="s">
        <v>18</v>
      </c>
      <c r="M1336" t="s">
        <v>154</v>
      </c>
      <c r="N1336" s="31">
        <f>Project_Data_NYSE[[#This Row],[Gross Profit]]/Project_Data_NYSE[[#This Row],[ Total Revenue ]]</f>
        <v>0.60071589752250665</v>
      </c>
      <c r="O1336" s="31">
        <f>Project_Data_NYSE[[#This Row],[Operating Profit]]/Project_Data_NYSE[[#This Row],[ Total Revenue ]]</f>
        <v>0.18078992676828096</v>
      </c>
    </row>
    <row r="1337" spans="1:15" x14ac:dyDescent="0.2">
      <c r="A1337">
        <v>1386</v>
      </c>
      <c r="B1337" t="s">
        <v>470</v>
      </c>
      <c r="C1337" t="s">
        <v>11</v>
      </c>
      <c r="D1337" s="48">
        <v>41274</v>
      </c>
      <c r="E1337" s="3">
        <v>4176000000</v>
      </c>
      <c r="F1337" s="3">
        <v>2754000000</v>
      </c>
      <c r="G1337" s="3">
        <f>Project_Data_NYSE[[#This Row],[ Total Revenue ]]-Project_Data_NYSE[[#This Row],[ Cost of Goods Sold ]]</f>
        <v>1422000000</v>
      </c>
      <c r="H1337" s="3">
        <v>207000000</v>
      </c>
      <c r="I1337" s="3">
        <v>0</v>
      </c>
      <c r="J1337" s="3">
        <v>356000000</v>
      </c>
      <c r="K1337" s="3">
        <f>Project_Data_NYSE[[#This Row],[Gross Profit]]-Project_Data_NYSE[[#This Row],[ Sales, General and Admin. ]]-Project_Data_NYSE[[#This Row],[ Research and Development ]]-Project_Data_NYSE[[#This Row],[ Other Operating Items ]]</f>
        <v>859000000</v>
      </c>
      <c r="L1337" t="s">
        <v>41</v>
      </c>
      <c r="M1337" t="s">
        <v>42</v>
      </c>
      <c r="N1337" s="31">
        <f>Project_Data_NYSE[[#This Row],[Gross Profit]]/Project_Data_NYSE[[#This Row],[ Total Revenue ]]</f>
        <v>0.34051724137931033</v>
      </c>
      <c r="O1337" s="31">
        <f>Project_Data_NYSE[[#This Row],[Operating Profit]]/Project_Data_NYSE[[#This Row],[ Total Revenue ]]</f>
        <v>0.20569923371647508</v>
      </c>
    </row>
    <row r="1338" spans="1:15" x14ac:dyDescent="0.2">
      <c r="A1338">
        <v>1387</v>
      </c>
      <c r="B1338" t="s">
        <v>470</v>
      </c>
      <c r="C1338" t="s">
        <v>14</v>
      </c>
      <c r="D1338" s="48">
        <v>41639</v>
      </c>
      <c r="E1338" s="3">
        <v>4495000000</v>
      </c>
      <c r="F1338" s="3">
        <v>2987000000</v>
      </c>
      <c r="G1338" s="3">
        <f>Project_Data_NYSE[[#This Row],[ Total Revenue ]]-Project_Data_NYSE[[#This Row],[ Cost of Goods Sold ]]</f>
        <v>1508000000</v>
      </c>
      <c r="H1338" s="3">
        <v>220000000</v>
      </c>
      <c r="I1338" s="3">
        <v>0</v>
      </c>
      <c r="J1338" s="3">
        <v>378000000</v>
      </c>
      <c r="K1338" s="3">
        <f>Project_Data_NYSE[[#This Row],[Gross Profit]]-Project_Data_NYSE[[#This Row],[ Sales, General and Admin. ]]-Project_Data_NYSE[[#This Row],[ Research and Development ]]-Project_Data_NYSE[[#This Row],[ Other Operating Items ]]</f>
        <v>910000000</v>
      </c>
      <c r="L1338" t="s">
        <v>41</v>
      </c>
      <c r="M1338" t="s">
        <v>42</v>
      </c>
      <c r="N1338" s="31">
        <f>Project_Data_NYSE[[#This Row],[Gross Profit]]/Project_Data_NYSE[[#This Row],[ Total Revenue ]]</f>
        <v>0.33548387096774196</v>
      </c>
      <c r="O1338" s="31">
        <f>Project_Data_NYSE[[#This Row],[Operating Profit]]/Project_Data_NYSE[[#This Row],[ Total Revenue ]]</f>
        <v>0.20244716351501668</v>
      </c>
    </row>
    <row r="1339" spans="1:15" x14ac:dyDescent="0.2">
      <c r="A1339">
        <v>1388</v>
      </c>
      <c r="B1339" t="s">
        <v>470</v>
      </c>
      <c r="C1339" t="s">
        <v>15</v>
      </c>
      <c r="D1339" s="48">
        <v>42004</v>
      </c>
      <c r="E1339" s="3">
        <v>4951000000</v>
      </c>
      <c r="F1339" s="3">
        <v>3331000000</v>
      </c>
      <c r="G1339" s="3">
        <f>Project_Data_NYSE[[#This Row],[ Total Revenue ]]-Project_Data_NYSE[[#This Row],[ Cost of Goods Sold ]]</f>
        <v>1620000000</v>
      </c>
      <c r="H1339" s="3">
        <v>229000000</v>
      </c>
      <c r="I1339" s="3">
        <v>0</v>
      </c>
      <c r="J1339" s="3">
        <v>384000000</v>
      </c>
      <c r="K1339" s="3">
        <f>Project_Data_NYSE[[#This Row],[Gross Profit]]-Project_Data_NYSE[[#This Row],[ Sales, General and Admin. ]]-Project_Data_NYSE[[#This Row],[ Research and Development ]]-Project_Data_NYSE[[#This Row],[ Other Operating Items ]]</f>
        <v>1007000000</v>
      </c>
      <c r="L1339" t="s">
        <v>41</v>
      </c>
      <c r="M1339" t="s">
        <v>42</v>
      </c>
      <c r="N1339" s="31">
        <f>Project_Data_NYSE[[#This Row],[Gross Profit]]/Project_Data_NYSE[[#This Row],[ Total Revenue ]]</f>
        <v>0.32720662492425773</v>
      </c>
      <c r="O1339" s="31">
        <f>Project_Data_NYSE[[#This Row],[Operating Profit]]/Project_Data_NYSE[[#This Row],[ Total Revenue ]]</f>
        <v>0.20339325388810342</v>
      </c>
    </row>
    <row r="1340" spans="1:15" x14ac:dyDescent="0.2">
      <c r="A1340">
        <v>1389</v>
      </c>
      <c r="B1340" t="s">
        <v>470</v>
      </c>
      <c r="C1340" t="s">
        <v>16</v>
      </c>
      <c r="D1340" s="48">
        <v>42369</v>
      </c>
      <c r="E1340" s="3">
        <v>4380000000</v>
      </c>
      <c r="F1340" s="3">
        <v>2714000000</v>
      </c>
      <c r="G1340" s="3">
        <f>Project_Data_NYSE[[#This Row],[ Total Revenue ]]-Project_Data_NYSE[[#This Row],[ Cost of Goods Sold ]]</f>
        <v>1666000000</v>
      </c>
      <c r="H1340" s="3">
        <v>234000000</v>
      </c>
      <c r="I1340" s="3">
        <v>0</v>
      </c>
      <c r="J1340" s="3">
        <v>358000000</v>
      </c>
      <c r="K1340" s="3">
        <f>Project_Data_NYSE[[#This Row],[Gross Profit]]-Project_Data_NYSE[[#This Row],[ Sales, General and Admin. ]]-Project_Data_NYSE[[#This Row],[ Research and Development ]]-Project_Data_NYSE[[#This Row],[ Other Operating Items ]]</f>
        <v>1074000000</v>
      </c>
      <c r="L1340" t="s">
        <v>41</v>
      </c>
      <c r="M1340" t="s">
        <v>42</v>
      </c>
      <c r="N1340" s="31">
        <f>Project_Data_NYSE[[#This Row],[Gross Profit]]/Project_Data_NYSE[[#This Row],[ Total Revenue ]]</f>
        <v>0.38036529680365294</v>
      </c>
      <c r="O1340" s="31">
        <f>Project_Data_NYSE[[#This Row],[Operating Profit]]/Project_Data_NYSE[[#This Row],[ Total Revenue ]]</f>
        <v>0.24520547945205479</v>
      </c>
    </row>
    <row r="1341" spans="1:15" x14ac:dyDescent="0.2">
      <c r="A1341">
        <v>1394</v>
      </c>
      <c r="B1341" t="s">
        <v>471</v>
      </c>
      <c r="C1341" t="s">
        <v>11</v>
      </c>
      <c r="D1341" s="48">
        <v>41274</v>
      </c>
      <c r="E1341" s="3">
        <v>5075000000</v>
      </c>
      <c r="F1341" s="3">
        <v>2417000000</v>
      </c>
      <c r="G1341" s="3">
        <f>Project_Data_NYSE[[#This Row],[ Total Revenue ]]-Project_Data_NYSE[[#This Row],[ Cost of Goods Sold ]]</f>
        <v>2658000000</v>
      </c>
      <c r="H1341" s="3">
        <v>337000000</v>
      </c>
      <c r="I1341" s="3">
        <v>0</v>
      </c>
      <c r="J1341" s="3">
        <v>746000000</v>
      </c>
      <c r="K1341" s="3">
        <f>Project_Data_NYSE[[#This Row],[Gross Profit]]-Project_Data_NYSE[[#This Row],[ Sales, General and Admin. ]]-Project_Data_NYSE[[#This Row],[ Research and Development ]]-Project_Data_NYSE[[#This Row],[ Other Operating Items ]]</f>
        <v>1575000000</v>
      </c>
      <c r="L1341" t="s">
        <v>82</v>
      </c>
      <c r="M1341" t="s">
        <v>340</v>
      </c>
      <c r="N1341" s="31">
        <f>Project_Data_NYSE[[#This Row],[Gross Profit]]/Project_Data_NYSE[[#This Row],[ Total Revenue ]]</f>
        <v>0.52374384236453198</v>
      </c>
      <c r="O1341" s="31">
        <f>Project_Data_NYSE[[#This Row],[Operating Profit]]/Project_Data_NYSE[[#This Row],[ Total Revenue ]]</f>
        <v>0.31034482758620691</v>
      </c>
    </row>
    <row r="1342" spans="1:15" x14ac:dyDescent="0.2">
      <c r="A1342">
        <v>1395</v>
      </c>
      <c r="B1342" t="s">
        <v>471</v>
      </c>
      <c r="C1342" t="s">
        <v>14</v>
      </c>
      <c r="D1342" s="48">
        <v>41639</v>
      </c>
      <c r="E1342" s="3">
        <v>5518000000</v>
      </c>
      <c r="F1342" s="3">
        <v>2707000000</v>
      </c>
      <c r="G1342" s="3">
        <f>Project_Data_NYSE[[#This Row],[ Total Revenue ]]-Project_Data_NYSE[[#This Row],[ Cost of Goods Sold ]]</f>
        <v>2811000000</v>
      </c>
      <c r="H1342" s="3">
        <v>373000000</v>
      </c>
      <c r="I1342" s="3">
        <v>0</v>
      </c>
      <c r="J1342" s="3">
        <v>772000000</v>
      </c>
      <c r="K1342" s="3">
        <f>Project_Data_NYSE[[#This Row],[Gross Profit]]-Project_Data_NYSE[[#This Row],[ Sales, General and Admin. ]]-Project_Data_NYSE[[#This Row],[ Research and Development ]]-Project_Data_NYSE[[#This Row],[ Other Operating Items ]]</f>
        <v>1666000000</v>
      </c>
      <c r="L1342" t="s">
        <v>82</v>
      </c>
      <c r="M1342" t="s">
        <v>340</v>
      </c>
      <c r="N1342" s="31">
        <f>Project_Data_NYSE[[#This Row],[Gross Profit]]/Project_Data_NYSE[[#This Row],[ Total Revenue ]]</f>
        <v>0.50942370424066696</v>
      </c>
      <c r="O1342" s="31">
        <f>Project_Data_NYSE[[#This Row],[Operating Profit]]/Project_Data_NYSE[[#This Row],[ Total Revenue ]]</f>
        <v>0.30192098586444366</v>
      </c>
    </row>
    <row r="1343" spans="1:15" x14ac:dyDescent="0.2">
      <c r="A1343">
        <v>1396</v>
      </c>
      <c r="B1343" t="s">
        <v>471</v>
      </c>
      <c r="C1343" t="s">
        <v>15</v>
      </c>
      <c r="D1343" s="48">
        <v>42004</v>
      </c>
      <c r="E1343" s="3">
        <v>5903000000</v>
      </c>
      <c r="F1343" s="3">
        <v>2790000000</v>
      </c>
      <c r="G1343" s="3">
        <f>Project_Data_NYSE[[#This Row],[ Total Revenue ]]-Project_Data_NYSE[[#This Row],[ Cost of Goods Sold ]]</f>
        <v>3113000000</v>
      </c>
      <c r="H1343" s="3">
        <v>393000000</v>
      </c>
      <c r="I1343" s="3">
        <v>0</v>
      </c>
      <c r="J1343" s="3">
        <v>796000000</v>
      </c>
      <c r="K1343" s="3">
        <f>Project_Data_NYSE[[#This Row],[Gross Profit]]-Project_Data_NYSE[[#This Row],[ Sales, General and Admin. ]]-Project_Data_NYSE[[#This Row],[ Research and Development ]]-Project_Data_NYSE[[#This Row],[ Other Operating Items ]]</f>
        <v>1924000000</v>
      </c>
      <c r="L1343" t="s">
        <v>82</v>
      </c>
      <c r="M1343" t="s">
        <v>340</v>
      </c>
      <c r="N1343" s="31">
        <f>Project_Data_NYSE[[#This Row],[Gross Profit]]/Project_Data_NYSE[[#This Row],[ Total Revenue ]]</f>
        <v>0.52735897001524645</v>
      </c>
      <c r="O1343" s="31">
        <f>Project_Data_NYSE[[#This Row],[Operating Profit]]/Project_Data_NYSE[[#This Row],[ Total Revenue ]]</f>
        <v>0.32593596476367948</v>
      </c>
    </row>
    <row r="1344" spans="1:15" x14ac:dyDescent="0.2">
      <c r="A1344">
        <v>1397</v>
      </c>
      <c r="B1344" t="s">
        <v>471</v>
      </c>
      <c r="C1344" t="s">
        <v>16</v>
      </c>
      <c r="D1344" s="48">
        <v>42369</v>
      </c>
      <c r="E1344" s="3">
        <v>5234000000</v>
      </c>
      <c r="F1344" s="3">
        <v>2335000000</v>
      </c>
      <c r="G1344" s="3">
        <f>Project_Data_NYSE[[#This Row],[ Total Revenue ]]-Project_Data_NYSE[[#This Row],[ Cost of Goods Sold ]]</f>
        <v>2899000000</v>
      </c>
      <c r="H1344" s="3">
        <v>353000000</v>
      </c>
      <c r="I1344" s="3">
        <v>0</v>
      </c>
      <c r="J1344" s="3">
        <v>764000000</v>
      </c>
      <c r="K1344" s="3">
        <f>Project_Data_NYSE[[#This Row],[Gross Profit]]-Project_Data_NYSE[[#This Row],[ Sales, General and Admin. ]]-Project_Data_NYSE[[#This Row],[ Research and Development ]]-Project_Data_NYSE[[#This Row],[ Other Operating Items ]]</f>
        <v>1782000000</v>
      </c>
      <c r="L1344" t="s">
        <v>82</v>
      </c>
      <c r="M1344" t="s">
        <v>340</v>
      </c>
      <c r="N1344" s="31">
        <f>Project_Data_NYSE[[#This Row],[Gross Profit]]/Project_Data_NYSE[[#This Row],[ Total Revenue ]]</f>
        <v>0.55387848681696594</v>
      </c>
      <c r="O1344" s="31">
        <f>Project_Data_NYSE[[#This Row],[Operating Profit]]/Project_Data_NYSE[[#This Row],[ Total Revenue ]]</f>
        <v>0.34046618265189149</v>
      </c>
    </row>
    <row r="1345" spans="1:15" x14ac:dyDescent="0.2">
      <c r="A1345">
        <v>1398</v>
      </c>
      <c r="B1345" t="s">
        <v>472</v>
      </c>
      <c r="C1345" t="s">
        <v>11</v>
      </c>
      <c r="D1345" s="48">
        <v>41639</v>
      </c>
      <c r="E1345" s="3">
        <v>7690800000</v>
      </c>
      <c r="F1345" s="3">
        <v>5100900000</v>
      </c>
      <c r="G1345" s="3">
        <f>Project_Data_NYSE[[#This Row],[ Total Revenue ]]-Project_Data_NYSE[[#This Row],[ Cost of Goods Sold ]]</f>
        <v>2589900000</v>
      </c>
      <c r="H1345" s="3">
        <v>1788300000</v>
      </c>
      <c r="I1345" s="3">
        <v>0</v>
      </c>
      <c r="J1345" s="3">
        <v>123200000</v>
      </c>
      <c r="K1345" s="3">
        <f>Project_Data_NYSE[[#This Row],[Gross Profit]]-Project_Data_NYSE[[#This Row],[ Sales, General and Admin. ]]-Project_Data_NYSE[[#This Row],[ Research and Development ]]-Project_Data_NYSE[[#This Row],[ Other Operating Items ]]</f>
        <v>678400000</v>
      </c>
      <c r="L1345" t="s">
        <v>58</v>
      </c>
      <c r="M1345" t="s">
        <v>95</v>
      </c>
      <c r="N1345" s="31">
        <f>Project_Data_NYSE[[#This Row],[Gross Profit]]/Project_Data_NYSE[[#This Row],[ Total Revenue ]]</f>
        <v>0.33675300358870336</v>
      </c>
      <c r="O1345" s="31">
        <f>Project_Data_NYSE[[#This Row],[Operating Profit]]/Project_Data_NYSE[[#This Row],[ Total Revenue ]]</f>
        <v>8.8209289020648049E-2</v>
      </c>
    </row>
    <row r="1346" spans="1:15" x14ac:dyDescent="0.2">
      <c r="A1346">
        <v>1399</v>
      </c>
      <c r="B1346" t="s">
        <v>472</v>
      </c>
      <c r="C1346" t="s">
        <v>14</v>
      </c>
      <c r="D1346" s="48">
        <v>42004</v>
      </c>
      <c r="E1346" s="3">
        <v>7750500000</v>
      </c>
      <c r="F1346" s="3">
        <v>5062900000</v>
      </c>
      <c r="G1346" s="3">
        <f>Project_Data_NYSE[[#This Row],[ Total Revenue ]]-Project_Data_NYSE[[#This Row],[ Cost of Goods Sold ]]</f>
        <v>2687600000</v>
      </c>
      <c r="H1346" s="3">
        <v>1849400000</v>
      </c>
      <c r="I1346" s="3">
        <v>0</v>
      </c>
      <c r="J1346" s="3">
        <v>118900000</v>
      </c>
      <c r="K1346" s="3">
        <f>Project_Data_NYSE[[#This Row],[Gross Profit]]-Project_Data_NYSE[[#This Row],[ Sales, General and Admin. ]]-Project_Data_NYSE[[#This Row],[ Research and Development ]]-Project_Data_NYSE[[#This Row],[ Other Operating Items ]]</f>
        <v>719300000</v>
      </c>
      <c r="L1346" t="s">
        <v>58</v>
      </c>
      <c r="M1346" t="s">
        <v>95</v>
      </c>
      <c r="N1346" s="31">
        <f>Project_Data_NYSE[[#This Row],[Gross Profit]]/Project_Data_NYSE[[#This Row],[ Total Revenue ]]</f>
        <v>0.34676472485646087</v>
      </c>
      <c r="O1346" s="31">
        <f>Project_Data_NYSE[[#This Row],[Operating Profit]]/Project_Data_NYSE[[#This Row],[ Total Revenue ]]</f>
        <v>9.2806915682859176E-2</v>
      </c>
    </row>
    <row r="1347" spans="1:15" x14ac:dyDescent="0.2">
      <c r="A1347">
        <v>1400</v>
      </c>
      <c r="B1347" t="s">
        <v>472</v>
      </c>
      <c r="C1347" t="s">
        <v>15</v>
      </c>
      <c r="D1347" s="48">
        <v>42369</v>
      </c>
      <c r="E1347" s="3">
        <v>7031500000</v>
      </c>
      <c r="F1347" s="3">
        <v>4444900000</v>
      </c>
      <c r="G1347" s="3">
        <f>Project_Data_NYSE[[#This Row],[ Total Revenue ]]-Project_Data_NYSE[[#This Row],[ Cost of Goods Sold ]]</f>
        <v>2586600000</v>
      </c>
      <c r="H1347" s="3">
        <v>1656200000</v>
      </c>
      <c r="I1347" s="3">
        <v>0</v>
      </c>
      <c r="J1347" s="3">
        <v>88700000</v>
      </c>
      <c r="K1347" s="3">
        <f>Project_Data_NYSE[[#This Row],[Gross Profit]]-Project_Data_NYSE[[#This Row],[ Sales, General and Admin. ]]-Project_Data_NYSE[[#This Row],[ Research and Development ]]-Project_Data_NYSE[[#This Row],[ Other Operating Items ]]</f>
        <v>841700000</v>
      </c>
      <c r="L1347" t="s">
        <v>58</v>
      </c>
      <c r="M1347" t="s">
        <v>95</v>
      </c>
      <c r="N1347" s="31">
        <f>Project_Data_NYSE[[#This Row],[Gross Profit]]/Project_Data_NYSE[[#This Row],[ Total Revenue ]]</f>
        <v>0.36785892057171299</v>
      </c>
      <c r="O1347" s="31">
        <f>Project_Data_NYSE[[#This Row],[Operating Profit]]/Project_Data_NYSE[[#This Row],[ Total Revenue ]]</f>
        <v>0.11970418829552727</v>
      </c>
    </row>
    <row r="1348" spans="1:15" x14ac:dyDescent="0.2">
      <c r="A1348">
        <v>1401</v>
      </c>
      <c r="B1348" t="s">
        <v>472</v>
      </c>
      <c r="C1348" t="s">
        <v>16</v>
      </c>
      <c r="D1348" s="48">
        <v>42735</v>
      </c>
      <c r="E1348" s="3">
        <v>6778300000</v>
      </c>
      <c r="F1348" s="3">
        <v>4246700000</v>
      </c>
      <c r="G1348" s="3">
        <f>Project_Data_NYSE[[#This Row],[ Total Revenue ]]-Project_Data_NYSE[[#This Row],[ Cost of Goods Sold ]]</f>
        <v>2531600000</v>
      </c>
      <c r="H1348" s="3">
        <v>1604400000</v>
      </c>
      <c r="I1348" s="3">
        <v>0</v>
      </c>
      <c r="J1348" s="3">
        <v>94900000</v>
      </c>
      <c r="K1348" s="3">
        <f>Project_Data_NYSE[[#This Row],[Gross Profit]]-Project_Data_NYSE[[#This Row],[ Sales, General and Admin. ]]-Project_Data_NYSE[[#This Row],[ Research and Development ]]-Project_Data_NYSE[[#This Row],[ Other Operating Items ]]</f>
        <v>832300000</v>
      </c>
      <c r="L1348" t="s">
        <v>58</v>
      </c>
      <c r="M1348" t="s">
        <v>95</v>
      </c>
      <c r="N1348" s="31">
        <f>Project_Data_NYSE[[#This Row],[Gross Profit]]/Project_Data_NYSE[[#This Row],[ Total Revenue ]]</f>
        <v>0.37348597730994498</v>
      </c>
      <c r="O1348" s="31">
        <f>Project_Data_NYSE[[#This Row],[Operating Profit]]/Project_Data_NYSE[[#This Row],[ Total Revenue ]]</f>
        <v>0.12278889987164923</v>
      </c>
    </row>
    <row r="1349" spans="1:15" x14ac:dyDescent="0.2">
      <c r="A1349">
        <v>1402</v>
      </c>
      <c r="B1349" t="s">
        <v>473</v>
      </c>
      <c r="C1349" t="s">
        <v>11</v>
      </c>
      <c r="D1349" s="48">
        <v>41274</v>
      </c>
      <c r="E1349" s="3">
        <v>9534462000</v>
      </c>
      <c r="F1349" s="3">
        <v>5328236000</v>
      </c>
      <c r="G1349" s="3">
        <f>Project_Data_NYSE[[#This Row],[ Total Revenue ]]-Project_Data_NYSE[[#This Row],[ Cost of Goods Sold ]]</f>
        <v>4206226000</v>
      </c>
      <c r="H1349" s="3">
        <v>3264896000</v>
      </c>
      <c r="I1349" s="3">
        <v>0</v>
      </c>
      <c r="J1349" s="3">
        <v>0</v>
      </c>
      <c r="K1349" s="3">
        <f>Project_Data_NYSE[[#This Row],[Gross Profit]]-Project_Data_NYSE[[#This Row],[ Sales, General and Admin. ]]-Project_Data_NYSE[[#This Row],[ Research and Development ]]-Project_Data_NYSE[[#This Row],[ Other Operating Items ]]</f>
        <v>941330000</v>
      </c>
      <c r="L1349" t="s">
        <v>58</v>
      </c>
      <c r="M1349" t="s">
        <v>59</v>
      </c>
      <c r="N1349" s="31">
        <f>Project_Data_NYSE[[#This Row],[Gross Profit]]/Project_Data_NYSE[[#This Row],[ Total Revenue ]]</f>
        <v>0.44116028780648558</v>
      </c>
      <c r="O1349" s="31">
        <f>Project_Data_NYSE[[#This Row],[Operating Profit]]/Project_Data_NYSE[[#This Row],[ Total Revenue ]]</f>
        <v>9.8729220379713087E-2</v>
      </c>
    </row>
    <row r="1350" spans="1:15" x14ac:dyDescent="0.2">
      <c r="A1350">
        <v>1403</v>
      </c>
      <c r="B1350" t="s">
        <v>473</v>
      </c>
      <c r="C1350" t="s">
        <v>14</v>
      </c>
      <c r="D1350" s="48">
        <v>41639</v>
      </c>
      <c r="E1350" s="3">
        <v>10185532000</v>
      </c>
      <c r="F1350" s="3">
        <v>5568966000</v>
      </c>
      <c r="G1350" s="3">
        <f>Project_Data_NYSE[[#This Row],[ Total Revenue ]]-Project_Data_NYSE[[#This Row],[ Cost of Goods Sold ]]</f>
        <v>4616566000</v>
      </c>
      <c r="H1350" s="3">
        <v>3470200000</v>
      </c>
      <c r="I1350" s="3">
        <v>0</v>
      </c>
      <c r="J1350" s="3">
        <v>0</v>
      </c>
      <c r="K1350" s="3">
        <f>Project_Data_NYSE[[#This Row],[Gross Profit]]-Project_Data_NYSE[[#This Row],[ Sales, General and Admin. ]]-Project_Data_NYSE[[#This Row],[ Research and Development ]]-Project_Data_NYSE[[#This Row],[ Other Operating Items ]]</f>
        <v>1146366000</v>
      </c>
      <c r="L1350" t="s">
        <v>58</v>
      </c>
      <c r="M1350" t="s">
        <v>59</v>
      </c>
      <c r="N1350" s="31">
        <f>Project_Data_NYSE[[#This Row],[Gross Profit]]/Project_Data_NYSE[[#This Row],[ Total Revenue ]]</f>
        <v>0.45324741015000491</v>
      </c>
      <c r="O1350" s="31">
        <f>Project_Data_NYSE[[#This Row],[Operating Profit]]/Project_Data_NYSE[[#This Row],[ Total Revenue ]]</f>
        <v>0.11254846580424076</v>
      </c>
    </row>
    <row r="1351" spans="1:15" x14ac:dyDescent="0.2">
      <c r="A1351">
        <v>1404</v>
      </c>
      <c r="B1351" t="s">
        <v>473</v>
      </c>
      <c r="C1351" t="s">
        <v>15</v>
      </c>
      <c r="D1351" s="48">
        <v>42004</v>
      </c>
      <c r="E1351" s="3">
        <v>11129533000</v>
      </c>
      <c r="F1351" s="3">
        <v>5965049000</v>
      </c>
      <c r="G1351" s="3">
        <f>Project_Data_NYSE[[#This Row],[ Total Revenue ]]-Project_Data_NYSE[[#This Row],[ Cost of Goods Sold ]]</f>
        <v>5164484000</v>
      </c>
      <c r="H1351" s="3">
        <v>3860448000</v>
      </c>
      <c r="I1351" s="3">
        <v>0</v>
      </c>
      <c r="J1351" s="3">
        <v>0</v>
      </c>
      <c r="K1351" s="3">
        <f>Project_Data_NYSE[[#This Row],[Gross Profit]]-Project_Data_NYSE[[#This Row],[ Sales, General and Admin. ]]-Project_Data_NYSE[[#This Row],[ Research and Development ]]-Project_Data_NYSE[[#This Row],[ Other Operating Items ]]</f>
        <v>1304036000</v>
      </c>
      <c r="L1351" t="s">
        <v>58</v>
      </c>
      <c r="M1351" t="s">
        <v>59</v>
      </c>
      <c r="N1351" s="31">
        <f>Project_Data_NYSE[[#This Row],[Gross Profit]]/Project_Data_NYSE[[#This Row],[ Total Revenue ]]</f>
        <v>0.46403420520878996</v>
      </c>
      <c r="O1351" s="31">
        <f>Project_Data_NYSE[[#This Row],[Operating Profit]]/Project_Data_NYSE[[#This Row],[ Total Revenue ]]</f>
        <v>0.11716897735062198</v>
      </c>
    </row>
    <row r="1352" spans="1:15" x14ac:dyDescent="0.2">
      <c r="A1352">
        <v>1405</v>
      </c>
      <c r="B1352" t="s">
        <v>473</v>
      </c>
      <c r="C1352" t="s">
        <v>16</v>
      </c>
      <c r="D1352" s="48">
        <v>42369</v>
      </c>
      <c r="E1352" s="3">
        <v>11339304000</v>
      </c>
      <c r="F1352" s="3">
        <v>5780078000</v>
      </c>
      <c r="G1352" s="3">
        <f>Project_Data_NYSE[[#This Row],[ Total Revenue ]]-Project_Data_NYSE[[#This Row],[ Cost of Goods Sold ]]</f>
        <v>5559226000</v>
      </c>
      <c r="H1352" s="3">
        <v>3943786000</v>
      </c>
      <c r="I1352" s="3">
        <v>0</v>
      </c>
      <c r="J1352" s="3">
        <v>0</v>
      </c>
      <c r="K1352" s="3">
        <f>Project_Data_NYSE[[#This Row],[Gross Profit]]-Project_Data_NYSE[[#This Row],[ Sales, General and Admin. ]]-Project_Data_NYSE[[#This Row],[ Research and Development ]]-Project_Data_NYSE[[#This Row],[ Other Operating Items ]]</f>
        <v>1615440000</v>
      </c>
      <c r="L1352" t="s">
        <v>58</v>
      </c>
      <c r="M1352" t="s">
        <v>59</v>
      </c>
      <c r="N1352" s="31">
        <f>Project_Data_NYSE[[#This Row],[Gross Profit]]/Project_Data_NYSE[[#This Row],[ Total Revenue ]]</f>
        <v>0.49026165979852027</v>
      </c>
      <c r="O1352" s="31">
        <f>Project_Data_NYSE[[#This Row],[Operating Profit]]/Project_Data_NYSE[[#This Row],[ Total Revenue ]]</f>
        <v>0.14246377026314844</v>
      </c>
    </row>
    <row r="1353" spans="1:15" x14ac:dyDescent="0.2">
      <c r="A1353">
        <v>1406</v>
      </c>
      <c r="B1353" t="s">
        <v>474</v>
      </c>
      <c r="C1353" t="s">
        <v>11</v>
      </c>
      <c r="D1353" s="48">
        <v>41307</v>
      </c>
      <c r="E1353" s="3">
        <v>3983400000</v>
      </c>
      <c r="F1353" s="3">
        <v>2446000000</v>
      </c>
      <c r="G1353" s="3">
        <f>Project_Data_NYSE[[#This Row],[ Total Revenue ]]-Project_Data_NYSE[[#This Row],[ Cost of Goods Sold ]]</f>
        <v>1537400000</v>
      </c>
      <c r="H1353" s="3">
        <v>976900000</v>
      </c>
      <c r="I1353" s="3">
        <v>0</v>
      </c>
      <c r="J1353" s="3">
        <v>0</v>
      </c>
      <c r="K1353" s="3">
        <f>Project_Data_NYSE[[#This Row],[Gross Profit]]-Project_Data_NYSE[[#This Row],[ Sales, General and Admin. ]]-Project_Data_NYSE[[#This Row],[ Research and Development ]]-Project_Data_NYSE[[#This Row],[ Other Operating Items ]]</f>
        <v>560500000</v>
      </c>
      <c r="L1353" t="s">
        <v>18</v>
      </c>
      <c r="M1353" t="s">
        <v>78</v>
      </c>
      <c r="N1353" s="31">
        <f>Project_Data_NYSE[[#This Row],[Gross Profit]]/Project_Data_NYSE[[#This Row],[ Total Revenue ]]</f>
        <v>0.38595169955314557</v>
      </c>
      <c r="O1353" s="31">
        <f>Project_Data_NYSE[[#This Row],[Operating Profit]]/Project_Data_NYSE[[#This Row],[ Total Revenue ]]</f>
        <v>0.14070894210975549</v>
      </c>
    </row>
    <row r="1354" spans="1:15" x14ac:dyDescent="0.2">
      <c r="A1354">
        <v>1407</v>
      </c>
      <c r="B1354" t="s">
        <v>474</v>
      </c>
      <c r="C1354" t="s">
        <v>14</v>
      </c>
      <c r="D1354" s="48">
        <v>41671</v>
      </c>
      <c r="E1354" s="3">
        <v>4209200000</v>
      </c>
      <c r="F1354" s="3">
        <v>2628700000</v>
      </c>
      <c r="G1354" s="3">
        <f>Project_Data_NYSE[[#This Row],[ Total Revenue ]]-Project_Data_NYSE[[#This Row],[ Cost of Goods Sold ]]</f>
        <v>1580500000</v>
      </c>
      <c r="H1354" s="3">
        <v>1010000000</v>
      </c>
      <c r="I1354" s="3">
        <v>0</v>
      </c>
      <c r="J1354" s="3">
        <v>0</v>
      </c>
      <c r="K1354" s="3">
        <f>Project_Data_NYSE[[#This Row],[Gross Profit]]-Project_Data_NYSE[[#This Row],[ Sales, General and Admin. ]]-Project_Data_NYSE[[#This Row],[ Research and Development ]]-Project_Data_NYSE[[#This Row],[ Other Operating Items ]]</f>
        <v>570500000</v>
      </c>
      <c r="L1354" t="s">
        <v>18</v>
      </c>
      <c r="M1354" t="s">
        <v>78</v>
      </c>
      <c r="N1354" s="31">
        <f>Project_Data_NYSE[[#This Row],[Gross Profit]]/Project_Data_NYSE[[#This Row],[ Total Revenue ]]</f>
        <v>0.37548702841395037</v>
      </c>
      <c r="O1354" s="31">
        <f>Project_Data_NYSE[[#This Row],[Operating Profit]]/Project_Data_NYSE[[#This Row],[ Total Revenue ]]</f>
        <v>0.13553644397985365</v>
      </c>
    </row>
    <row r="1355" spans="1:15" x14ac:dyDescent="0.2">
      <c r="A1355">
        <v>1408</v>
      </c>
      <c r="B1355" t="s">
        <v>474</v>
      </c>
      <c r="C1355" t="s">
        <v>15</v>
      </c>
      <c r="D1355" s="48">
        <v>42037</v>
      </c>
      <c r="E1355" s="3">
        <v>5736300000</v>
      </c>
      <c r="F1355" s="3">
        <v>3662100000</v>
      </c>
      <c r="G1355" s="3">
        <f>Project_Data_NYSE[[#This Row],[ Total Revenue ]]-Project_Data_NYSE[[#This Row],[ Cost of Goods Sold ]]</f>
        <v>2074200000</v>
      </c>
      <c r="H1355" s="3">
        <v>1497600000</v>
      </c>
      <c r="I1355" s="3">
        <v>0</v>
      </c>
      <c r="J1355" s="3">
        <v>0</v>
      </c>
      <c r="K1355" s="3">
        <f>Project_Data_NYSE[[#This Row],[Gross Profit]]-Project_Data_NYSE[[#This Row],[ Sales, General and Admin. ]]-Project_Data_NYSE[[#This Row],[ Research and Development ]]-Project_Data_NYSE[[#This Row],[ Other Operating Items ]]</f>
        <v>576600000</v>
      </c>
      <c r="L1355" t="s">
        <v>18</v>
      </c>
      <c r="M1355" t="s">
        <v>78</v>
      </c>
      <c r="N1355" s="31">
        <f>Project_Data_NYSE[[#This Row],[Gross Profit]]/Project_Data_NYSE[[#This Row],[ Total Revenue ]]</f>
        <v>0.36159196694733536</v>
      </c>
      <c r="O1355" s="31">
        <f>Project_Data_NYSE[[#This Row],[Operating Profit]]/Project_Data_NYSE[[#This Row],[ Total Revenue ]]</f>
        <v>0.10051775534752366</v>
      </c>
    </row>
    <row r="1356" spans="1:15" x14ac:dyDescent="0.2">
      <c r="A1356">
        <v>1409</v>
      </c>
      <c r="B1356" t="s">
        <v>474</v>
      </c>
      <c r="C1356" t="s">
        <v>16</v>
      </c>
      <c r="D1356" s="48">
        <v>42399</v>
      </c>
      <c r="E1356" s="3">
        <v>6550200000</v>
      </c>
      <c r="F1356" s="3">
        <v>4109800000</v>
      </c>
      <c r="G1356" s="3">
        <f>Project_Data_NYSE[[#This Row],[ Total Revenue ]]-Project_Data_NYSE[[#This Row],[ Cost of Goods Sold ]]</f>
        <v>2440400000</v>
      </c>
      <c r="H1356" s="3">
        <v>1736700000</v>
      </c>
      <c r="I1356" s="3">
        <v>0</v>
      </c>
      <c r="J1356" s="3">
        <v>0</v>
      </c>
      <c r="K1356" s="3">
        <f>Project_Data_NYSE[[#This Row],[Gross Profit]]-Project_Data_NYSE[[#This Row],[ Sales, General and Admin. ]]-Project_Data_NYSE[[#This Row],[ Research and Development ]]-Project_Data_NYSE[[#This Row],[ Other Operating Items ]]</f>
        <v>703700000</v>
      </c>
      <c r="L1356" t="s">
        <v>18</v>
      </c>
      <c r="M1356" t="s">
        <v>78</v>
      </c>
      <c r="N1356" s="31">
        <f>Project_Data_NYSE[[#This Row],[Gross Profit]]/Project_Data_NYSE[[#This Row],[ Total Revenue ]]</f>
        <v>0.37256877652590759</v>
      </c>
      <c r="O1356" s="31">
        <f>Project_Data_NYSE[[#This Row],[Operating Profit]]/Project_Data_NYSE[[#This Row],[ Total Revenue ]]</f>
        <v>0.10743183414246893</v>
      </c>
    </row>
    <row r="1357" spans="1:15" x14ac:dyDescent="0.2">
      <c r="A1357">
        <v>1410</v>
      </c>
      <c r="B1357" t="s">
        <v>475</v>
      </c>
      <c r="C1357" t="s">
        <v>11</v>
      </c>
      <c r="D1357" s="48">
        <v>41394</v>
      </c>
      <c r="E1357" s="3">
        <v>5897700000</v>
      </c>
      <c r="F1357" s="3">
        <v>3870100000</v>
      </c>
      <c r="G1357" s="3">
        <f>Project_Data_NYSE[[#This Row],[ Total Revenue ]]-Project_Data_NYSE[[#This Row],[ Cost of Goods Sold ]]</f>
        <v>2027600000</v>
      </c>
      <c r="H1357" s="3">
        <v>1020400000</v>
      </c>
      <c r="I1357" s="3">
        <v>0</v>
      </c>
      <c r="J1357" s="3">
        <v>96800000</v>
      </c>
      <c r="K1357" s="3">
        <f>Project_Data_NYSE[[#This Row],[Gross Profit]]-Project_Data_NYSE[[#This Row],[ Sales, General and Admin. ]]-Project_Data_NYSE[[#This Row],[ Research and Development ]]-Project_Data_NYSE[[#This Row],[ Other Operating Items ]]</f>
        <v>910400000</v>
      </c>
      <c r="L1357" t="s">
        <v>35</v>
      </c>
      <c r="M1357" t="s">
        <v>123</v>
      </c>
      <c r="N1357" s="31">
        <f>Project_Data_NYSE[[#This Row],[Gross Profit]]/Project_Data_NYSE[[#This Row],[ Total Revenue ]]</f>
        <v>0.34379503874391715</v>
      </c>
      <c r="O1357" s="31">
        <f>Project_Data_NYSE[[#This Row],[Operating Profit]]/Project_Data_NYSE[[#This Row],[ Total Revenue ]]</f>
        <v>0.15436526103396239</v>
      </c>
    </row>
    <row r="1358" spans="1:15" x14ac:dyDescent="0.2">
      <c r="A1358">
        <v>1411</v>
      </c>
      <c r="B1358" t="s">
        <v>475</v>
      </c>
      <c r="C1358" t="s">
        <v>14</v>
      </c>
      <c r="D1358" s="48">
        <v>41759</v>
      </c>
      <c r="E1358" s="3">
        <v>5610600000</v>
      </c>
      <c r="F1358" s="3">
        <v>3579600000</v>
      </c>
      <c r="G1358" s="3">
        <f>Project_Data_NYSE[[#This Row],[ Total Revenue ]]-Project_Data_NYSE[[#This Row],[ Cost of Goods Sold ]]</f>
        <v>2031000000</v>
      </c>
      <c r="H1358" s="3">
        <v>1013100000</v>
      </c>
      <c r="I1358" s="3">
        <v>0</v>
      </c>
      <c r="J1358" s="3">
        <v>98900000</v>
      </c>
      <c r="K1358" s="3">
        <f>Project_Data_NYSE[[#This Row],[Gross Profit]]-Project_Data_NYSE[[#This Row],[ Sales, General and Admin. ]]-Project_Data_NYSE[[#This Row],[ Research and Development ]]-Project_Data_NYSE[[#This Row],[ Other Operating Items ]]</f>
        <v>919000000</v>
      </c>
      <c r="L1358" t="s">
        <v>35</v>
      </c>
      <c r="M1358" t="s">
        <v>123</v>
      </c>
      <c r="N1358" s="31">
        <f>Project_Data_NYSE[[#This Row],[Gross Profit]]/Project_Data_NYSE[[#This Row],[ Total Revenue ]]</f>
        <v>0.36199336969308094</v>
      </c>
      <c r="O1358" s="31">
        <f>Project_Data_NYSE[[#This Row],[Operating Profit]]/Project_Data_NYSE[[#This Row],[ Total Revenue ]]</f>
        <v>0.16379709834955264</v>
      </c>
    </row>
    <row r="1359" spans="1:15" x14ac:dyDescent="0.2">
      <c r="A1359">
        <v>1412</v>
      </c>
      <c r="B1359" t="s">
        <v>475</v>
      </c>
      <c r="C1359" t="s">
        <v>15</v>
      </c>
      <c r="D1359" s="48">
        <v>42124</v>
      </c>
      <c r="E1359" s="3">
        <v>5692700000</v>
      </c>
      <c r="F1359" s="3">
        <v>3724000000</v>
      </c>
      <c r="G1359" s="3">
        <f>Project_Data_NYSE[[#This Row],[ Total Revenue ]]-Project_Data_NYSE[[#This Row],[ Cost of Goods Sold ]]</f>
        <v>1968700000</v>
      </c>
      <c r="H1359" s="3">
        <v>1085800000</v>
      </c>
      <c r="I1359" s="3">
        <v>0</v>
      </c>
      <c r="J1359" s="3">
        <v>110900000</v>
      </c>
      <c r="K1359" s="3">
        <f>Project_Data_NYSE[[#This Row],[Gross Profit]]-Project_Data_NYSE[[#This Row],[ Sales, General and Admin. ]]-Project_Data_NYSE[[#This Row],[ Research and Development ]]-Project_Data_NYSE[[#This Row],[ Other Operating Items ]]</f>
        <v>772000000</v>
      </c>
      <c r="L1359" t="s">
        <v>35</v>
      </c>
      <c r="M1359" t="s">
        <v>123</v>
      </c>
      <c r="N1359" s="31">
        <f>Project_Data_NYSE[[#This Row],[Gross Profit]]/Project_Data_NYSE[[#This Row],[ Total Revenue ]]</f>
        <v>0.34582886855095124</v>
      </c>
      <c r="O1359" s="31">
        <f>Project_Data_NYSE[[#This Row],[Operating Profit]]/Project_Data_NYSE[[#This Row],[ Total Revenue ]]</f>
        <v>0.13561227537021098</v>
      </c>
    </row>
    <row r="1360" spans="1:15" x14ac:dyDescent="0.2">
      <c r="A1360">
        <v>1413</v>
      </c>
      <c r="B1360" t="s">
        <v>475</v>
      </c>
      <c r="C1360" t="s">
        <v>16</v>
      </c>
      <c r="D1360" s="48">
        <v>42490</v>
      </c>
      <c r="E1360" s="3">
        <v>7811200000</v>
      </c>
      <c r="F1360" s="3">
        <v>4843400000</v>
      </c>
      <c r="G1360" s="3">
        <f>Project_Data_NYSE[[#This Row],[ Total Revenue ]]-Project_Data_NYSE[[#This Row],[ Cost of Goods Sold ]]</f>
        <v>2967800000</v>
      </c>
      <c r="H1360" s="3">
        <v>1614100000</v>
      </c>
      <c r="I1360" s="3">
        <v>0</v>
      </c>
      <c r="J1360" s="3">
        <v>208400000</v>
      </c>
      <c r="K1360" s="3">
        <f>Project_Data_NYSE[[#This Row],[Gross Profit]]-Project_Data_NYSE[[#This Row],[ Sales, General and Admin. ]]-Project_Data_NYSE[[#This Row],[ Research and Development ]]-Project_Data_NYSE[[#This Row],[ Other Operating Items ]]</f>
        <v>1145300000</v>
      </c>
      <c r="L1360" t="s">
        <v>35</v>
      </c>
      <c r="M1360" t="s">
        <v>123</v>
      </c>
      <c r="N1360" s="31">
        <f>Project_Data_NYSE[[#This Row],[Gross Profit]]/Project_Data_NYSE[[#This Row],[ Total Revenue ]]</f>
        <v>0.37994162228594835</v>
      </c>
      <c r="O1360" s="31">
        <f>Project_Data_NYSE[[#This Row],[Operating Profit]]/Project_Data_NYSE[[#This Row],[ Total Revenue ]]</f>
        <v>0.14662279803359279</v>
      </c>
    </row>
    <row r="1361" spans="1:15" x14ac:dyDescent="0.2">
      <c r="A1361">
        <v>1414</v>
      </c>
      <c r="B1361" t="s">
        <v>476</v>
      </c>
      <c r="C1361" t="s">
        <v>11</v>
      </c>
      <c r="D1361" s="48">
        <v>41274</v>
      </c>
      <c r="E1361" s="3">
        <v>1290052000</v>
      </c>
      <c r="F1361" s="3">
        <v>470243000</v>
      </c>
      <c r="G1361" s="3">
        <f>Project_Data_NYSE[[#This Row],[ Total Revenue ]]-Project_Data_NYSE[[#This Row],[ Cost of Goods Sold ]]</f>
        <v>819809000</v>
      </c>
      <c r="H1361" s="3">
        <v>120310000</v>
      </c>
      <c r="I1361" s="3">
        <v>0</v>
      </c>
      <c r="J1361" s="3">
        <v>330418000</v>
      </c>
      <c r="K1361" s="3">
        <f>Project_Data_NYSE[[#This Row],[Gross Profit]]-Project_Data_NYSE[[#This Row],[ Sales, General and Admin. ]]-Project_Data_NYSE[[#This Row],[ Research and Development ]]-Project_Data_NYSE[[#This Row],[ Other Operating Items ]]</f>
        <v>369081000</v>
      </c>
      <c r="L1361" t="s">
        <v>51</v>
      </c>
      <c r="M1361" t="s">
        <v>477</v>
      </c>
      <c r="N1361" s="31">
        <f>Project_Data_NYSE[[#This Row],[Gross Profit]]/Project_Data_NYSE[[#This Row],[ Total Revenue ]]</f>
        <v>0.63548523625404252</v>
      </c>
      <c r="O1361" s="31">
        <f>Project_Data_NYSE[[#This Row],[Operating Profit]]/Project_Data_NYSE[[#This Row],[ Total Revenue ]]</f>
        <v>0.28609776970230655</v>
      </c>
    </row>
    <row r="1362" spans="1:15" x14ac:dyDescent="0.2">
      <c r="A1362">
        <v>1415</v>
      </c>
      <c r="B1362" t="s">
        <v>476</v>
      </c>
      <c r="C1362" t="s">
        <v>14</v>
      </c>
      <c r="D1362" s="48">
        <v>41639</v>
      </c>
      <c r="E1362" s="3">
        <v>1371065000</v>
      </c>
      <c r="F1362" s="3">
        <v>479665000</v>
      </c>
      <c r="G1362" s="3">
        <f>Project_Data_NYSE[[#This Row],[ Total Revenue ]]-Project_Data_NYSE[[#This Row],[ Cost of Goods Sold ]]</f>
        <v>891400000</v>
      </c>
      <c r="H1362" s="3">
        <v>122128000</v>
      </c>
      <c r="I1362" s="3">
        <v>0</v>
      </c>
      <c r="J1362" s="3">
        <v>340316000</v>
      </c>
      <c r="K1362" s="3">
        <f>Project_Data_NYSE[[#This Row],[Gross Profit]]-Project_Data_NYSE[[#This Row],[ Sales, General and Admin. ]]-Project_Data_NYSE[[#This Row],[ Research and Development ]]-Project_Data_NYSE[[#This Row],[ Other Operating Items ]]</f>
        <v>428956000</v>
      </c>
      <c r="L1362" t="s">
        <v>51</v>
      </c>
      <c r="M1362" t="s">
        <v>477</v>
      </c>
      <c r="N1362" s="31">
        <f>Project_Data_NYSE[[#This Row],[Gross Profit]]/Project_Data_NYSE[[#This Row],[ Total Revenue ]]</f>
        <v>0.6501515245447882</v>
      </c>
      <c r="O1362" s="31">
        <f>Project_Data_NYSE[[#This Row],[Operating Profit]]/Project_Data_NYSE[[#This Row],[ Total Revenue ]]</f>
        <v>0.31286335804648213</v>
      </c>
    </row>
    <row r="1363" spans="1:15" x14ac:dyDescent="0.2">
      <c r="A1363">
        <v>1416</v>
      </c>
      <c r="B1363" t="s">
        <v>476</v>
      </c>
      <c r="C1363" t="s">
        <v>15</v>
      </c>
      <c r="D1363" s="48">
        <v>42004</v>
      </c>
      <c r="E1363" s="3">
        <v>1519978000</v>
      </c>
      <c r="F1363" s="3">
        <v>500126000</v>
      </c>
      <c r="G1363" s="3">
        <f>Project_Data_NYSE[[#This Row],[ Total Revenue ]]-Project_Data_NYSE[[#This Row],[ Cost of Goods Sold ]]</f>
        <v>1019852000</v>
      </c>
      <c r="H1363" s="3">
        <v>133502000</v>
      </c>
      <c r="I1363" s="3">
        <v>0</v>
      </c>
      <c r="J1363" s="3">
        <v>393987000</v>
      </c>
      <c r="K1363" s="3">
        <f>Project_Data_NYSE[[#This Row],[Gross Profit]]-Project_Data_NYSE[[#This Row],[ Sales, General and Admin. ]]-Project_Data_NYSE[[#This Row],[ Research and Development ]]-Project_Data_NYSE[[#This Row],[ Other Operating Items ]]</f>
        <v>492363000</v>
      </c>
      <c r="L1363" t="s">
        <v>51</v>
      </c>
      <c r="M1363" t="s">
        <v>477</v>
      </c>
      <c r="N1363" s="31">
        <f>Project_Data_NYSE[[#This Row],[Gross Profit]]/Project_Data_NYSE[[#This Row],[ Total Revenue ]]</f>
        <v>0.67096497449305192</v>
      </c>
      <c r="O1363" s="31">
        <f>Project_Data_NYSE[[#This Row],[Operating Profit]]/Project_Data_NYSE[[#This Row],[ Total Revenue ]]</f>
        <v>0.32392771474323973</v>
      </c>
    </row>
    <row r="1364" spans="1:15" x14ac:dyDescent="0.2">
      <c r="A1364">
        <v>1417</v>
      </c>
      <c r="B1364" t="s">
        <v>476</v>
      </c>
      <c r="C1364" t="s">
        <v>16</v>
      </c>
      <c r="D1364" s="48">
        <v>42369</v>
      </c>
      <c r="E1364" s="3">
        <v>1662829000</v>
      </c>
      <c r="F1364" s="3">
        <v>534326000</v>
      </c>
      <c r="G1364" s="3">
        <f>Project_Data_NYSE[[#This Row],[ Total Revenue ]]-Project_Data_NYSE[[#This Row],[ Cost of Goods Sold ]]</f>
        <v>1128503000</v>
      </c>
      <c r="H1364" s="3">
        <v>139137000</v>
      </c>
      <c r="I1364" s="3">
        <v>0</v>
      </c>
      <c r="J1364" s="3">
        <v>588235000</v>
      </c>
      <c r="K1364" s="3">
        <f>Project_Data_NYSE[[#This Row],[Gross Profit]]-Project_Data_NYSE[[#This Row],[ Sales, General and Admin. ]]-Project_Data_NYSE[[#This Row],[ Research and Development ]]-Project_Data_NYSE[[#This Row],[ Other Operating Items ]]</f>
        <v>401131000</v>
      </c>
      <c r="L1364" t="s">
        <v>51</v>
      </c>
      <c r="M1364" t="s">
        <v>477</v>
      </c>
      <c r="N1364" s="31">
        <f>Project_Data_NYSE[[#This Row],[Gross Profit]]/Project_Data_NYSE[[#This Row],[ Total Revenue ]]</f>
        <v>0.67866449286126229</v>
      </c>
      <c r="O1364" s="31">
        <f>Project_Data_NYSE[[#This Row],[Operating Profit]]/Project_Data_NYSE[[#This Row],[ Total Revenue ]]</f>
        <v>0.24123406555935697</v>
      </c>
    </row>
    <row r="1365" spans="1:15" x14ac:dyDescent="0.2">
      <c r="A1365">
        <v>1418</v>
      </c>
      <c r="B1365" t="s">
        <v>478</v>
      </c>
      <c r="C1365" t="s">
        <v>11</v>
      </c>
      <c r="D1365" s="48">
        <v>41639</v>
      </c>
      <c r="E1365" s="3">
        <v>3237500000</v>
      </c>
      <c r="F1365" s="3">
        <v>1638900000</v>
      </c>
      <c r="G1365" s="3">
        <f>Project_Data_NYSE[[#This Row],[ Total Revenue ]]-Project_Data_NYSE[[#This Row],[ Cost of Goods Sold ]]</f>
        <v>1598600000</v>
      </c>
      <c r="H1365" s="3">
        <v>1012400000</v>
      </c>
      <c r="I1365" s="3">
        <v>0</v>
      </c>
      <c r="J1365" s="3">
        <v>0</v>
      </c>
      <c r="K1365" s="3">
        <f>Project_Data_NYSE[[#This Row],[Gross Profit]]-Project_Data_NYSE[[#This Row],[ Sales, General and Admin. ]]-Project_Data_NYSE[[#This Row],[ Research and Development ]]-Project_Data_NYSE[[#This Row],[ Other Operating Items ]]</f>
        <v>586200000</v>
      </c>
      <c r="L1365" t="s">
        <v>18</v>
      </c>
      <c r="M1365" t="s">
        <v>479</v>
      </c>
      <c r="N1365" s="31">
        <f>Project_Data_NYSE[[#This Row],[Gross Profit]]/Project_Data_NYSE[[#This Row],[ Total Revenue ]]</f>
        <v>0.49377606177606176</v>
      </c>
      <c r="O1365" s="31">
        <f>Project_Data_NYSE[[#This Row],[Operating Profit]]/Project_Data_NYSE[[#This Row],[ Total Revenue ]]</f>
        <v>0.18106563706563705</v>
      </c>
    </row>
    <row r="1366" spans="1:15" x14ac:dyDescent="0.2">
      <c r="A1366">
        <v>1419</v>
      </c>
      <c r="B1366" t="s">
        <v>478</v>
      </c>
      <c r="C1366" t="s">
        <v>14</v>
      </c>
      <c r="D1366" s="48">
        <v>42007</v>
      </c>
      <c r="E1366" s="3">
        <v>3492600000</v>
      </c>
      <c r="F1366" s="3">
        <v>1759200000</v>
      </c>
      <c r="G1366" s="3">
        <f>Project_Data_NYSE[[#This Row],[ Total Revenue ]]-Project_Data_NYSE[[#This Row],[ Cost of Goods Sold ]]</f>
        <v>1733400000</v>
      </c>
      <c r="H1366" s="3">
        <v>1048700000</v>
      </c>
      <c r="I1366" s="3">
        <v>0</v>
      </c>
      <c r="J1366" s="3">
        <v>0</v>
      </c>
      <c r="K1366" s="3">
        <f>Project_Data_NYSE[[#This Row],[Gross Profit]]-Project_Data_NYSE[[#This Row],[ Sales, General and Admin. ]]-Project_Data_NYSE[[#This Row],[ Research and Development ]]-Project_Data_NYSE[[#This Row],[ Other Operating Items ]]</f>
        <v>684700000</v>
      </c>
      <c r="L1366" t="s">
        <v>18</v>
      </c>
      <c r="M1366" t="s">
        <v>479</v>
      </c>
      <c r="N1366" s="31">
        <f>Project_Data_NYSE[[#This Row],[Gross Profit]]/Project_Data_NYSE[[#This Row],[ Total Revenue ]]</f>
        <v>0.49630647655042087</v>
      </c>
      <c r="O1366" s="31">
        <f>Project_Data_NYSE[[#This Row],[Operating Profit]]/Project_Data_NYSE[[#This Row],[ Total Revenue ]]</f>
        <v>0.19604306247494704</v>
      </c>
    </row>
    <row r="1367" spans="1:15" x14ac:dyDescent="0.2">
      <c r="A1367">
        <v>1420</v>
      </c>
      <c r="B1367" t="s">
        <v>478</v>
      </c>
      <c r="C1367" t="s">
        <v>15</v>
      </c>
      <c r="D1367" s="48">
        <v>42371</v>
      </c>
      <c r="E1367" s="3">
        <v>3593100000</v>
      </c>
      <c r="F1367" s="3">
        <v>1774600000</v>
      </c>
      <c r="G1367" s="3">
        <f>Project_Data_NYSE[[#This Row],[ Total Revenue ]]-Project_Data_NYSE[[#This Row],[ Cost of Goods Sold ]]</f>
        <v>1818500000</v>
      </c>
      <c r="H1367" s="3">
        <v>1053700000</v>
      </c>
      <c r="I1367" s="3">
        <v>0</v>
      </c>
      <c r="J1367" s="3">
        <v>0</v>
      </c>
      <c r="K1367" s="3">
        <f>Project_Data_NYSE[[#This Row],[Gross Profit]]-Project_Data_NYSE[[#This Row],[ Sales, General and Admin. ]]-Project_Data_NYSE[[#This Row],[ Research and Development ]]-Project_Data_NYSE[[#This Row],[ Other Operating Items ]]</f>
        <v>764800000</v>
      </c>
      <c r="L1367" t="s">
        <v>18</v>
      </c>
      <c r="M1367" t="s">
        <v>479</v>
      </c>
      <c r="N1367" s="31">
        <f>Project_Data_NYSE[[#This Row],[Gross Profit]]/Project_Data_NYSE[[#This Row],[ Total Revenue ]]</f>
        <v>0.50610893100665166</v>
      </c>
      <c r="O1367" s="31">
        <f>Project_Data_NYSE[[#This Row],[Operating Profit]]/Project_Data_NYSE[[#This Row],[ Total Revenue ]]</f>
        <v>0.21285241156661378</v>
      </c>
    </row>
    <row r="1368" spans="1:15" x14ac:dyDescent="0.2">
      <c r="A1368">
        <v>1421</v>
      </c>
      <c r="B1368" t="s">
        <v>478</v>
      </c>
      <c r="C1368" t="s">
        <v>16</v>
      </c>
      <c r="D1368" s="48">
        <v>42735</v>
      </c>
      <c r="E1368" s="3">
        <v>3711800000</v>
      </c>
      <c r="F1368" s="3">
        <v>1803500000</v>
      </c>
      <c r="G1368" s="3">
        <f>Project_Data_NYSE[[#This Row],[ Total Revenue ]]-Project_Data_NYSE[[#This Row],[ Cost of Goods Sold ]]</f>
        <v>1908300000</v>
      </c>
      <c r="H1368" s="3">
        <v>1054100000</v>
      </c>
      <c r="I1368" s="3">
        <v>0</v>
      </c>
      <c r="J1368" s="3">
        <v>0</v>
      </c>
      <c r="K1368" s="3">
        <f>Project_Data_NYSE[[#This Row],[Gross Profit]]-Project_Data_NYSE[[#This Row],[ Sales, General and Admin. ]]-Project_Data_NYSE[[#This Row],[ Research and Development ]]-Project_Data_NYSE[[#This Row],[ Other Operating Items ]]</f>
        <v>854200000</v>
      </c>
      <c r="L1368" t="s">
        <v>18</v>
      </c>
      <c r="M1368" t="s">
        <v>479</v>
      </c>
      <c r="N1368" s="31">
        <f>Project_Data_NYSE[[#This Row],[Gross Profit]]/Project_Data_NYSE[[#This Row],[ Total Revenue ]]</f>
        <v>0.51411713993210839</v>
      </c>
      <c r="O1368" s="31">
        <f>Project_Data_NYSE[[#This Row],[Operating Profit]]/Project_Data_NYSE[[#This Row],[ Total Revenue ]]</f>
        <v>0.23013093377875962</v>
      </c>
    </row>
    <row r="1369" spans="1:15" x14ac:dyDescent="0.2">
      <c r="A1369">
        <v>1422</v>
      </c>
      <c r="B1369" t="s">
        <v>480</v>
      </c>
      <c r="C1369" t="s">
        <v>11</v>
      </c>
      <c r="D1369" s="48">
        <v>41274</v>
      </c>
      <c r="E1369" s="3">
        <v>2307182000</v>
      </c>
      <c r="F1369" s="3">
        <v>610836000</v>
      </c>
      <c r="G1369" s="3">
        <f>Project_Data_NYSE[[#This Row],[ Total Revenue ]]-Project_Data_NYSE[[#This Row],[ Cost of Goods Sold ]]</f>
        <v>1696346000</v>
      </c>
      <c r="H1369" s="3">
        <v>655473000</v>
      </c>
      <c r="I1369" s="3">
        <v>0</v>
      </c>
      <c r="J1369" s="3">
        <v>107591000</v>
      </c>
      <c r="K1369" s="3">
        <f>Project_Data_NYSE[[#This Row],[Gross Profit]]-Project_Data_NYSE[[#This Row],[ Sales, General and Admin. ]]-Project_Data_NYSE[[#This Row],[ Research and Development ]]-Project_Data_NYSE[[#This Row],[ Other Operating Items ]]</f>
        <v>933282000</v>
      </c>
      <c r="L1369" t="s">
        <v>18</v>
      </c>
      <c r="M1369" t="s">
        <v>203</v>
      </c>
      <c r="N1369" s="31">
        <f>Project_Data_NYSE[[#This Row],[Gross Profit]]/Project_Data_NYSE[[#This Row],[ Total Revenue ]]</f>
        <v>0.73524585403318854</v>
      </c>
      <c r="O1369" s="31">
        <f>Project_Data_NYSE[[#This Row],[Operating Profit]]/Project_Data_NYSE[[#This Row],[ Total Revenue ]]</f>
        <v>0.40451165100975994</v>
      </c>
    </row>
    <row r="1370" spans="1:15" x14ac:dyDescent="0.2">
      <c r="A1370">
        <v>1423</v>
      </c>
      <c r="B1370" t="s">
        <v>480</v>
      </c>
      <c r="C1370" t="s">
        <v>14</v>
      </c>
      <c r="D1370" s="48">
        <v>41639</v>
      </c>
      <c r="E1370" s="3">
        <v>2530809000</v>
      </c>
      <c r="F1370" s="3">
        <v>699294000</v>
      </c>
      <c r="G1370" s="3">
        <f>Project_Data_NYSE[[#This Row],[ Total Revenue ]]-Project_Data_NYSE[[#This Row],[ Cost of Goods Sold ]]</f>
        <v>1831515000</v>
      </c>
      <c r="H1370" s="3">
        <v>729055000</v>
      </c>
      <c r="I1370" s="3">
        <v>0</v>
      </c>
      <c r="J1370" s="3">
        <v>117580000</v>
      </c>
      <c r="K1370" s="3">
        <f>Project_Data_NYSE[[#This Row],[Gross Profit]]-Project_Data_NYSE[[#This Row],[ Sales, General and Admin. ]]-Project_Data_NYSE[[#This Row],[ Research and Development ]]-Project_Data_NYSE[[#This Row],[ Other Operating Items ]]</f>
        <v>984880000</v>
      </c>
      <c r="L1370" t="s">
        <v>18</v>
      </c>
      <c r="M1370" t="s">
        <v>203</v>
      </c>
      <c r="N1370" s="31">
        <f>Project_Data_NYSE[[#This Row],[Gross Profit]]/Project_Data_NYSE[[#This Row],[ Total Revenue ]]</f>
        <v>0.72368756393706524</v>
      </c>
      <c r="O1370" s="31">
        <f>Project_Data_NYSE[[#This Row],[Operating Profit]]/Project_Data_NYSE[[#This Row],[ Total Revenue ]]</f>
        <v>0.38915619471876384</v>
      </c>
    </row>
    <row r="1371" spans="1:15" x14ac:dyDescent="0.2">
      <c r="A1371">
        <v>1424</v>
      </c>
      <c r="B1371" t="s">
        <v>480</v>
      </c>
      <c r="C1371" t="s">
        <v>15</v>
      </c>
      <c r="D1371" s="48">
        <v>42004</v>
      </c>
      <c r="E1371" s="3">
        <v>2665456000</v>
      </c>
      <c r="F1371" s="3">
        <v>778896000</v>
      </c>
      <c r="G1371" s="3">
        <f>Project_Data_NYSE[[#This Row],[ Total Revenue ]]-Project_Data_NYSE[[#This Row],[ Cost of Goods Sold ]]</f>
        <v>1886560000</v>
      </c>
      <c r="H1371" s="3">
        <v>764799000</v>
      </c>
      <c r="I1371" s="3">
        <v>0</v>
      </c>
      <c r="J1371" s="3">
        <v>128582000</v>
      </c>
      <c r="K1371" s="3">
        <f>Project_Data_NYSE[[#This Row],[Gross Profit]]-Project_Data_NYSE[[#This Row],[ Sales, General and Admin. ]]-Project_Data_NYSE[[#This Row],[ Research and Development ]]-Project_Data_NYSE[[#This Row],[ Other Operating Items ]]</f>
        <v>993179000</v>
      </c>
      <c r="L1371" t="s">
        <v>18</v>
      </c>
      <c r="M1371" t="s">
        <v>203</v>
      </c>
      <c r="N1371" s="31">
        <f>Project_Data_NYSE[[#This Row],[Gross Profit]]/Project_Data_NYSE[[#This Row],[ Total Revenue ]]</f>
        <v>0.70778133272505717</v>
      </c>
      <c r="O1371" s="31">
        <f>Project_Data_NYSE[[#This Row],[Operating Profit]]/Project_Data_NYSE[[#This Row],[ Total Revenue ]]</f>
        <v>0.37261129052589875</v>
      </c>
    </row>
    <row r="1372" spans="1:15" x14ac:dyDescent="0.2">
      <c r="A1372">
        <v>1425</v>
      </c>
      <c r="B1372" t="s">
        <v>480</v>
      </c>
      <c r="C1372" t="s">
        <v>16</v>
      </c>
      <c r="D1372" s="48">
        <v>42369</v>
      </c>
      <c r="E1372" s="3">
        <v>3018227000</v>
      </c>
      <c r="F1372" s="3">
        <v>987357000</v>
      </c>
      <c r="G1372" s="3">
        <f>Project_Data_NYSE[[#This Row],[ Total Revenue ]]-Project_Data_NYSE[[#This Row],[ Cost of Goods Sold ]]</f>
        <v>2030870000</v>
      </c>
      <c r="H1372" s="3">
        <v>785179000</v>
      </c>
      <c r="I1372" s="3">
        <v>0</v>
      </c>
      <c r="J1372" s="3">
        <v>137596000</v>
      </c>
      <c r="K1372" s="3">
        <f>Project_Data_NYSE[[#This Row],[Gross Profit]]-Project_Data_NYSE[[#This Row],[ Sales, General and Admin. ]]-Project_Data_NYSE[[#This Row],[ Research and Development ]]-Project_Data_NYSE[[#This Row],[ Other Operating Items ]]</f>
        <v>1108095000</v>
      </c>
      <c r="L1372" t="s">
        <v>18</v>
      </c>
      <c r="M1372" t="s">
        <v>203</v>
      </c>
      <c r="N1372" s="31">
        <f>Project_Data_NYSE[[#This Row],[Gross Profit]]/Project_Data_NYSE[[#This Row],[ Total Revenue ]]</f>
        <v>0.67286854169683064</v>
      </c>
      <c r="O1372" s="31">
        <f>Project_Data_NYSE[[#This Row],[Operating Profit]]/Project_Data_NYSE[[#This Row],[ Total Revenue ]]</f>
        <v>0.3671344136806145</v>
      </c>
    </row>
    <row r="1373" spans="1:15" x14ac:dyDescent="0.2">
      <c r="A1373">
        <v>1426</v>
      </c>
      <c r="B1373" t="s">
        <v>481</v>
      </c>
      <c r="C1373" t="s">
        <v>11</v>
      </c>
      <c r="D1373" s="48">
        <v>41274</v>
      </c>
      <c r="E1373" s="3">
        <v>16537000000</v>
      </c>
      <c r="F1373" s="3">
        <v>9373000000</v>
      </c>
      <c r="G1373" s="3">
        <f>Project_Data_NYSE[[#This Row],[ Total Revenue ]]-Project_Data_NYSE[[#This Row],[ Cost of Goods Sold ]]</f>
        <v>7164000000</v>
      </c>
      <c r="H1373" s="3">
        <v>914000000</v>
      </c>
      <c r="I1373" s="3">
        <v>0</v>
      </c>
      <c r="J1373" s="3">
        <v>1787000000</v>
      </c>
      <c r="K1373" s="3">
        <f>Project_Data_NYSE[[#This Row],[Gross Profit]]-Project_Data_NYSE[[#This Row],[ Sales, General and Admin. ]]-Project_Data_NYSE[[#This Row],[ Research and Development ]]-Project_Data_NYSE[[#This Row],[ Other Operating Items ]]</f>
        <v>4463000000</v>
      </c>
      <c r="L1373" t="s">
        <v>41</v>
      </c>
      <c r="M1373" t="s">
        <v>44</v>
      </c>
      <c r="N1373" s="31">
        <f>Project_Data_NYSE[[#This Row],[Gross Profit]]/Project_Data_NYSE[[#This Row],[ Total Revenue ]]</f>
        <v>0.43321037673096691</v>
      </c>
      <c r="O1373" s="31">
        <f>Project_Data_NYSE[[#This Row],[Operating Profit]]/Project_Data_NYSE[[#This Row],[ Total Revenue ]]</f>
        <v>0.26987966378424139</v>
      </c>
    </row>
    <row r="1374" spans="1:15" x14ac:dyDescent="0.2">
      <c r="A1374">
        <v>1427</v>
      </c>
      <c r="B1374" t="s">
        <v>481</v>
      </c>
      <c r="C1374" t="s">
        <v>14</v>
      </c>
      <c r="D1374" s="48">
        <v>41639</v>
      </c>
      <c r="E1374" s="3">
        <v>17087000000</v>
      </c>
      <c r="F1374" s="3">
        <v>9817000000</v>
      </c>
      <c r="G1374" s="3">
        <f>Project_Data_NYSE[[#This Row],[ Total Revenue ]]-Project_Data_NYSE[[#This Row],[ Cost of Goods Sold ]]</f>
        <v>7270000000</v>
      </c>
      <c r="H1374" s="3">
        <v>934000000</v>
      </c>
      <c r="I1374" s="3">
        <v>0</v>
      </c>
      <c r="J1374" s="3">
        <v>1901000000</v>
      </c>
      <c r="K1374" s="3">
        <f>Project_Data_NYSE[[#This Row],[Gross Profit]]-Project_Data_NYSE[[#This Row],[ Sales, General and Admin. ]]-Project_Data_NYSE[[#This Row],[ Research and Development ]]-Project_Data_NYSE[[#This Row],[ Other Operating Items ]]</f>
        <v>4435000000</v>
      </c>
      <c r="L1374" t="s">
        <v>41</v>
      </c>
      <c r="M1374" t="s">
        <v>44</v>
      </c>
      <c r="N1374" s="31">
        <f>Project_Data_NYSE[[#This Row],[Gross Profit]]/Project_Data_NYSE[[#This Row],[ Total Revenue ]]</f>
        <v>0.42546965529349801</v>
      </c>
      <c r="O1374" s="31">
        <f>Project_Data_NYSE[[#This Row],[Operating Profit]]/Project_Data_NYSE[[#This Row],[ Total Revenue ]]</f>
        <v>0.25955404693626732</v>
      </c>
    </row>
    <row r="1375" spans="1:15" x14ac:dyDescent="0.2">
      <c r="A1375">
        <v>1428</v>
      </c>
      <c r="B1375" t="s">
        <v>481</v>
      </c>
      <c r="C1375" t="s">
        <v>15</v>
      </c>
      <c r="D1375" s="48">
        <v>42004</v>
      </c>
      <c r="E1375" s="3">
        <v>18467000000</v>
      </c>
      <c r="F1375" s="3">
        <v>11031000000</v>
      </c>
      <c r="G1375" s="3">
        <f>Project_Data_NYSE[[#This Row],[ Total Revenue ]]-Project_Data_NYSE[[#This Row],[ Cost of Goods Sold ]]</f>
        <v>7436000000</v>
      </c>
      <c r="H1375" s="3">
        <v>981000000</v>
      </c>
      <c r="I1375" s="3">
        <v>0</v>
      </c>
      <c r="J1375" s="3">
        <v>1945000000</v>
      </c>
      <c r="K1375" s="3">
        <f>Project_Data_NYSE[[#This Row],[Gross Profit]]-Project_Data_NYSE[[#This Row],[ Sales, General and Admin. ]]-Project_Data_NYSE[[#This Row],[ Research and Development ]]-Project_Data_NYSE[[#This Row],[ Other Operating Items ]]</f>
        <v>4510000000</v>
      </c>
      <c r="L1375" t="s">
        <v>41</v>
      </c>
      <c r="M1375" t="s">
        <v>44</v>
      </c>
      <c r="N1375" s="31">
        <f>Project_Data_NYSE[[#This Row],[Gross Profit]]/Project_Data_NYSE[[#This Row],[ Total Revenue ]]</f>
        <v>0.40266421183733148</v>
      </c>
      <c r="O1375" s="31">
        <f>Project_Data_NYSE[[#This Row],[Operating Profit]]/Project_Data_NYSE[[#This Row],[ Total Revenue ]]</f>
        <v>0.24421941842205014</v>
      </c>
    </row>
    <row r="1376" spans="1:15" x14ac:dyDescent="0.2">
      <c r="A1376">
        <v>1429</v>
      </c>
      <c r="B1376" t="s">
        <v>481</v>
      </c>
      <c r="C1376" t="s">
        <v>16</v>
      </c>
      <c r="D1376" s="48">
        <v>42369</v>
      </c>
      <c r="E1376" s="3">
        <v>17489000000</v>
      </c>
      <c r="F1376" s="3">
        <v>9811000000</v>
      </c>
      <c r="G1376" s="3">
        <f>Project_Data_NYSE[[#This Row],[ Total Revenue ]]-Project_Data_NYSE[[#This Row],[ Cost of Goods Sold ]]</f>
        <v>7678000000</v>
      </c>
      <c r="H1376" s="3">
        <v>997000000</v>
      </c>
      <c r="I1376" s="3">
        <v>0</v>
      </c>
      <c r="J1376" s="3">
        <v>2034000000</v>
      </c>
      <c r="K1376" s="3">
        <f>Project_Data_NYSE[[#This Row],[Gross Profit]]-Project_Data_NYSE[[#This Row],[ Sales, General and Admin. ]]-Project_Data_NYSE[[#This Row],[ Research and Development ]]-Project_Data_NYSE[[#This Row],[ Other Operating Items ]]</f>
        <v>4647000000</v>
      </c>
      <c r="L1376" t="s">
        <v>41</v>
      </c>
      <c r="M1376" t="s">
        <v>44</v>
      </c>
      <c r="N1376" s="31">
        <f>Project_Data_NYSE[[#This Row],[Gross Profit]]/Project_Data_NYSE[[#This Row],[ Total Revenue ]]</f>
        <v>0.43901881182457547</v>
      </c>
      <c r="O1376" s="31">
        <f>Project_Data_NYSE[[#This Row],[Operating Profit]]/Project_Data_NYSE[[#This Row],[ Total Revenue ]]</f>
        <v>0.26570987477843216</v>
      </c>
    </row>
    <row r="1377" spans="1:15" x14ac:dyDescent="0.2">
      <c r="A1377">
        <v>1430</v>
      </c>
      <c r="B1377" t="s">
        <v>482</v>
      </c>
      <c r="C1377" t="s">
        <v>11</v>
      </c>
      <c r="D1377" s="48">
        <v>41274</v>
      </c>
      <c r="E1377" s="3">
        <v>4256157000</v>
      </c>
      <c r="F1377" s="3">
        <v>800380000</v>
      </c>
      <c r="G1377" s="3">
        <f>Project_Data_NYSE[[#This Row],[ Total Revenue ]]-Project_Data_NYSE[[#This Row],[ Cost of Goods Sold ]]</f>
        <v>3455777000</v>
      </c>
      <c r="H1377" s="3">
        <v>376687000</v>
      </c>
      <c r="I1377" s="3">
        <v>0</v>
      </c>
      <c r="J1377" s="3">
        <v>1068382000</v>
      </c>
      <c r="K1377" s="3">
        <f>Project_Data_NYSE[[#This Row],[Gross Profit]]-Project_Data_NYSE[[#This Row],[ Sales, General and Admin. ]]-Project_Data_NYSE[[#This Row],[ Research and Development ]]-Project_Data_NYSE[[#This Row],[ Other Operating Items ]]</f>
        <v>2010708000</v>
      </c>
      <c r="L1377" t="s">
        <v>51</v>
      </c>
      <c r="M1377" t="s">
        <v>52</v>
      </c>
      <c r="N1377" s="31">
        <f>Project_Data_NYSE[[#This Row],[Gross Profit]]/Project_Data_NYSE[[#This Row],[ Total Revenue ]]</f>
        <v>0.81194772655238046</v>
      </c>
      <c r="O1377" s="31">
        <f>Project_Data_NYSE[[#This Row],[Operating Profit]]/Project_Data_NYSE[[#This Row],[ Total Revenue ]]</f>
        <v>0.47242336220209924</v>
      </c>
    </row>
    <row r="1378" spans="1:15" x14ac:dyDescent="0.2">
      <c r="A1378">
        <v>1431</v>
      </c>
      <c r="B1378" t="s">
        <v>482</v>
      </c>
      <c r="C1378" t="s">
        <v>14</v>
      </c>
      <c r="D1378" s="48">
        <v>41639</v>
      </c>
      <c r="E1378" s="3">
        <v>4543849000</v>
      </c>
      <c r="F1378" s="3">
        <v>837946000</v>
      </c>
      <c r="G1378" s="3">
        <f>Project_Data_NYSE[[#This Row],[ Total Revenue ]]-Project_Data_NYSE[[#This Row],[ Cost of Goods Sold ]]</f>
        <v>3705903000</v>
      </c>
      <c r="H1378" s="3">
        <v>402369000</v>
      </c>
      <c r="I1378" s="3">
        <v>0</v>
      </c>
      <c r="J1378" s="3">
        <v>1107700000</v>
      </c>
      <c r="K1378" s="3">
        <f>Project_Data_NYSE[[#This Row],[Gross Profit]]-Project_Data_NYSE[[#This Row],[ Sales, General and Admin. ]]-Project_Data_NYSE[[#This Row],[ Research and Development ]]-Project_Data_NYSE[[#This Row],[ Other Operating Items ]]</f>
        <v>2195834000</v>
      </c>
      <c r="L1378" t="s">
        <v>51</v>
      </c>
      <c r="M1378" t="s">
        <v>52</v>
      </c>
      <c r="N1378" s="31">
        <f>Project_Data_NYSE[[#This Row],[Gross Profit]]/Project_Data_NYSE[[#This Row],[ Total Revenue ]]</f>
        <v>0.81558674154884991</v>
      </c>
      <c r="O1378" s="31">
        <f>Project_Data_NYSE[[#This Row],[Operating Profit]]/Project_Data_NYSE[[#This Row],[ Total Revenue ]]</f>
        <v>0.48325417503970752</v>
      </c>
    </row>
    <row r="1379" spans="1:15" x14ac:dyDescent="0.2">
      <c r="A1379">
        <v>1432</v>
      </c>
      <c r="B1379" t="s">
        <v>482</v>
      </c>
      <c r="C1379" t="s">
        <v>15</v>
      </c>
      <c r="D1379" s="48">
        <v>42004</v>
      </c>
      <c r="E1379" s="3">
        <v>4870818000</v>
      </c>
      <c r="F1379" s="3">
        <v>882803000</v>
      </c>
      <c r="G1379" s="3">
        <f>Project_Data_NYSE[[#This Row],[ Total Revenue ]]-Project_Data_NYSE[[#This Row],[ Cost of Goods Sold ]]</f>
        <v>3988015000</v>
      </c>
      <c r="H1379" s="3">
        <v>446845000</v>
      </c>
      <c r="I1379" s="3">
        <v>0</v>
      </c>
      <c r="J1379" s="3">
        <v>1143827000</v>
      </c>
      <c r="K1379" s="3">
        <f>Project_Data_NYSE[[#This Row],[Gross Profit]]-Project_Data_NYSE[[#This Row],[ Sales, General and Admin. ]]-Project_Data_NYSE[[#This Row],[ Research and Development ]]-Project_Data_NYSE[[#This Row],[ Other Operating Items ]]</f>
        <v>2397343000</v>
      </c>
      <c r="L1379" t="s">
        <v>51</v>
      </c>
      <c r="M1379" t="s">
        <v>52</v>
      </c>
      <c r="N1379" s="31">
        <f>Project_Data_NYSE[[#This Row],[Gross Profit]]/Project_Data_NYSE[[#This Row],[ Total Revenue ]]</f>
        <v>0.8187567262829365</v>
      </c>
      <c r="O1379" s="31">
        <f>Project_Data_NYSE[[#This Row],[Operating Profit]]/Project_Data_NYSE[[#This Row],[ Total Revenue ]]</f>
        <v>0.49218488557774076</v>
      </c>
    </row>
    <row r="1380" spans="1:15" x14ac:dyDescent="0.2">
      <c r="A1380">
        <v>1433</v>
      </c>
      <c r="B1380" t="s">
        <v>482</v>
      </c>
      <c r="C1380" t="s">
        <v>16</v>
      </c>
      <c r="D1380" s="48">
        <v>42369</v>
      </c>
      <c r="E1380" s="3">
        <v>5266103000</v>
      </c>
      <c r="F1380" s="3">
        <v>960192000</v>
      </c>
      <c r="G1380" s="3">
        <f>Project_Data_NYSE[[#This Row],[ Total Revenue ]]-Project_Data_NYSE[[#This Row],[ Cost of Goods Sold ]]</f>
        <v>4305911000</v>
      </c>
      <c r="H1380" s="3">
        <v>452835000</v>
      </c>
      <c r="I1380" s="3">
        <v>0</v>
      </c>
      <c r="J1380" s="3">
        <v>1177568000</v>
      </c>
      <c r="K1380" s="3">
        <f>Project_Data_NYSE[[#This Row],[Gross Profit]]-Project_Data_NYSE[[#This Row],[ Sales, General and Admin. ]]-Project_Data_NYSE[[#This Row],[ Research and Development ]]-Project_Data_NYSE[[#This Row],[ Other Operating Items ]]</f>
        <v>2675508000</v>
      </c>
      <c r="L1380" t="s">
        <v>51</v>
      </c>
      <c r="M1380" t="s">
        <v>52</v>
      </c>
      <c r="N1380" s="31">
        <f>Project_Data_NYSE[[#This Row],[Gross Profit]]/Project_Data_NYSE[[#This Row],[ Total Revenue ]]</f>
        <v>0.81766554888880827</v>
      </c>
      <c r="O1380" s="31">
        <f>Project_Data_NYSE[[#This Row],[Operating Profit]]/Project_Data_NYSE[[#This Row],[ Total Revenue ]]</f>
        <v>0.50806222362152809</v>
      </c>
    </row>
    <row r="1381" spans="1:15" x14ac:dyDescent="0.2">
      <c r="A1381">
        <v>1438</v>
      </c>
      <c r="B1381" t="s">
        <v>483</v>
      </c>
      <c r="C1381" t="s">
        <v>11</v>
      </c>
      <c r="D1381" s="48">
        <v>41307</v>
      </c>
      <c r="E1381" s="3">
        <v>24380510000</v>
      </c>
      <c r="F1381" s="3">
        <v>17889249000</v>
      </c>
      <c r="G1381" s="3">
        <f>Project_Data_NYSE[[#This Row],[ Total Revenue ]]-Project_Data_NYSE[[#This Row],[ Cost of Goods Sold ]]</f>
        <v>6491261000</v>
      </c>
      <c r="H1381" s="3">
        <v>4884284000</v>
      </c>
      <c r="I1381" s="3">
        <v>0</v>
      </c>
      <c r="J1381" s="3">
        <v>78900000</v>
      </c>
      <c r="K1381" s="3">
        <f>Project_Data_NYSE[[#This Row],[Gross Profit]]-Project_Data_NYSE[[#This Row],[ Sales, General and Admin. ]]-Project_Data_NYSE[[#This Row],[ Research and Development ]]-Project_Data_NYSE[[#This Row],[ Other Operating Items ]]</f>
        <v>1528077000</v>
      </c>
      <c r="L1381" t="s">
        <v>18</v>
      </c>
      <c r="M1381" t="s">
        <v>78</v>
      </c>
      <c r="N1381" s="31">
        <f>Project_Data_NYSE[[#This Row],[Gross Profit]]/Project_Data_NYSE[[#This Row],[ Total Revenue ]]</f>
        <v>0.26624795789751732</v>
      </c>
      <c r="O1381" s="31">
        <f>Project_Data_NYSE[[#This Row],[Operating Profit]]/Project_Data_NYSE[[#This Row],[ Total Revenue ]]</f>
        <v>6.2676170432858044E-2</v>
      </c>
    </row>
    <row r="1382" spans="1:15" x14ac:dyDescent="0.2">
      <c r="A1382">
        <v>1439</v>
      </c>
      <c r="B1382" t="s">
        <v>483</v>
      </c>
      <c r="C1382" t="s">
        <v>14</v>
      </c>
      <c r="D1382" s="48">
        <v>41671</v>
      </c>
      <c r="E1382" s="3">
        <v>23114000000</v>
      </c>
      <c r="F1382" s="3">
        <v>17082000000</v>
      </c>
      <c r="G1382" s="3">
        <f>Project_Data_NYSE[[#This Row],[ Total Revenue ]]-Project_Data_NYSE[[#This Row],[ Cost of Goods Sold ]]</f>
        <v>6032000000</v>
      </c>
      <c r="H1382" s="3">
        <v>4735000000</v>
      </c>
      <c r="I1382" s="3">
        <v>0</v>
      </c>
      <c r="J1382" s="3">
        <v>55000000</v>
      </c>
      <c r="K1382" s="3">
        <f>Project_Data_NYSE[[#This Row],[Gross Profit]]-Project_Data_NYSE[[#This Row],[ Sales, General and Admin. ]]-Project_Data_NYSE[[#This Row],[ Research and Development ]]-Project_Data_NYSE[[#This Row],[ Other Operating Items ]]</f>
        <v>1242000000</v>
      </c>
      <c r="L1382" t="s">
        <v>18</v>
      </c>
      <c r="M1382" t="s">
        <v>78</v>
      </c>
      <c r="N1382" s="31">
        <f>Project_Data_NYSE[[#This Row],[Gross Profit]]/Project_Data_NYSE[[#This Row],[ Total Revenue ]]</f>
        <v>0.2609673790776153</v>
      </c>
      <c r="O1382" s="31">
        <f>Project_Data_NYSE[[#This Row],[Operating Profit]]/Project_Data_NYSE[[#This Row],[ Total Revenue ]]</f>
        <v>5.3733667906896251E-2</v>
      </c>
    </row>
    <row r="1383" spans="1:15" x14ac:dyDescent="0.2">
      <c r="A1383">
        <v>1440</v>
      </c>
      <c r="B1383" t="s">
        <v>483</v>
      </c>
      <c r="C1383" t="s">
        <v>15</v>
      </c>
      <c r="D1383" s="48">
        <v>42035</v>
      </c>
      <c r="E1383" s="3">
        <v>22492000000</v>
      </c>
      <c r="F1383" s="3">
        <v>16691000000</v>
      </c>
      <c r="G1383" s="3">
        <f>Project_Data_NYSE[[#This Row],[ Total Revenue ]]-Project_Data_NYSE[[#This Row],[ Cost of Goods Sold ]]</f>
        <v>5801000000</v>
      </c>
      <c r="H1383" s="3">
        <v>4816000000</v>
      </c>
      <c r="I1383" s="3">
        <v>0</v>
      </c>
      <c r="J1383" s="3">
        <v>62000000</v>
      </c>
      <c r="K1383" s="3">
        <f>Project_Data_NYSE[[#This Row],[Gross Profit]]-Project_Data_NYSE[[#This Row],[ Sales, General and Admin. ]]-Project_Data_NYSE[[#This Row],[ Research and Development ]]-Project_Data_NYSE[[#This Row],[ Other Operating Items ]]</f>
        <v>923000000</v>
      </c>
      <c r="L1383" t="s">
        <v>18</v>
      </c>
      <c r="M1383" t="s">
        <v>78</v>
      </c>
      <c r="N1383" s="31">
        <f>Project_Data_NYSE[[#This Row],[Gross Profit]]/Project_Data_NYSE[[#This Row],[ Total Revenue ]]</f>
        <v>0.25791392495109372</v>
      </c>
      <c r="O1383" s="31">
        <f>Project_Data_NYSE[[#This Row],[Operating Profit]]/Project_Data_NYSE[[#This Row],[ Total Revenue ]]</f>
        <v>4.1036813089098345E-2</v>
      </c>
    </row>
    <row r="1384" spans="1:15" x14ac:dyDescent="0.2">
      <c r="A1384">
        <v>1441</v>
      </c>
      <c r="B1384" t="s">
        <v>483</v>
      </c>
      <c r="C1384" t="s">
        <v>16</v>
      </c>
      <c r="D1384" s="48">
        <v>42399</v>
      </c>
      <c r="E1384" s="3">
        <v>21059000000</v>
      </c>
      <c r="F1384" s="3">
        <v>15545000000</v>
      </c>
      <c r="G1384" s="3">
        <f>Project_Data_NYSE[[#This Row],[ Total Revenue ]]-Project_Data_NYSE[[#This Row],[ Cost of Goods Sold ]]</f>
        <v>5514000000</v>
      </c>
      <c r="H1384" s="3">
        <v>4600000000</v>
      </c>
      <c r="I1384" s="3">
        <v>0</v>
      </c>
      <c r="J1384" s="3">
        <v>67000000</v>
      </c>
      <c r="K1384" s="3">
        <f>Project_Data_NYSE[[#This Row],[Gross Profit]]-Project_Data_NYSE[[#This Row],[ Sales, General and Admin. ]]-Project_Data_NYSE[[#This Row],[ Research and Development ]]-Project_Data_NYSE[[#This Row],[ Other Operating Items ]]</f>
        <v>847000000</v>
      </c>
      <c r="L1384" t="s">
        <v>18</v>
      </c>
      <c r="M1384" t="s">
        <v>78</v>
      </c>
      <c r="N1384" s="31">
        <f>Project_Data_NYSE[[#This Row],[Gross Profit]]/Project_Data_NYSE[[#This Row],[ Total Revenue ]]</f>
        <v>0.26183579467211171</v>
      </c>
      <c r="O1384" s="31">
        <f>Project_Data_NYSE[[#This Row],[Operating Profit]]/Project_Data_NYSE[[#This Row],[ Total Revenue ]]</f>
        <v>4.0220333349161877E-2</v>
      </c>
    </row>
    <row r="1385" spans="1:15" x14ac:dyDescent="0.2">
      <c r="A1385">
        <v>1442</v>
      </c>
      <c r="B1385" t="s">
        <v>484</v>
      </c>
      <c r="C1385" t="s">
        <v>11</v>
      </c>
      <c r="D1385" s="48">
        <v>41274</v>
      </c>
      <c r="E1385" s="3">
        <v>1913149000</v>
      </c>
      <c r="F1385" s="3">
        <v>1055844000</v>
      </c>
      <c r="G1385" s="3">
        <f>Project_Data_NYSE[[#This Row],[ Total Revenue ]]-Project_Data_NYSE[[#This Row],[ Cost of Goods Sold ]]</f>
        <v>857305000</v>
      </c>
      <c r="H1385" s="3">
        <v>356817000</v>
      </c>
      <c r="I1385" s="3">
        <v>0</v>
      </c>
      <c r="J1385" s="3">
        <v>31652000</v>
      </c>
      <c r="K1385" s="3">
        <f>Project_Data_NYSE[[#This Row],[Gross Profit]]-Project_Data_NYSE[[#This Row],[ Sales, General and Admin. ]]-Project_Data_NYSE[[#This Row],[ Research and Development ]]-Project_Data_NYSE[[#This Row],[ Other Operating Items ]]</f>
        <v>468836000</v>
      </c>
      <c r="L1385" t="s">
        <v>12</v>
      </c>
      <c r="M1385" t="s">
        <v>163</v>
      </c>
      <c r="N1385" s="31">
        <f>Project_Data_NYSE[[#This Row],[Gross Profit]]/Project_Data_NYSE[[#This Row],[ Total Revenue ]]</f>
        <v>0.44811198709562089</v>
      </c>
      <c r="O1385" s="31">
        <f>Project_Data_NYSE[[#This Row],[Operating Profit]]/Project_Data_NYSE[[#This Row],[ Total Revenue ]]</f>
        <v>0.24505984635802019</v>
      </c>
    </row>
    <row r="1386" spans="1:15" x14ac:dyDescent="0.2">
      <c r="A1386">
        <v>1443</v>
      </c>
      <c r="B1386" t="s">
        <v>484</v>
      </c>
      <c r="C1386" t="s">
        <v>14</v>
      </c>
      <c r="D1386" s="48">
        <v>41639</v>
      </c>
      <c r="E1386" s="3">
        <v>2142807000</v>
      </c>
      <c r="F1386" s="3">
        <v>1178173000</v>
      </c>
      <c r="G1386" s="3">
        <f>Project_Data_NYSE[[#This Row],[ Total Revenue ]]-Project_Data_NYSE[[#This Row],[ Cost of Goods Sold ]]</f>
        <v>964634000</v>
      </c>
      <c r="H1386" s="3">
        <v>390610000</v>
      </c>
      <c r="I1386" s="3">
        <v>0</v>
      </c>
      <c r="J1386" s="3">
        <v>38405000</v>
      </c>
      <c r="K1386" s="3">
        <f>Project_Data_NYSE[[#This Row],[Gross Profit]]-Project_Data_NYSE[[#This Row],[ Sales, General and Admin. ]]-Project_Data_NYSE[[#This Row],[ Research and Development ]]-Project_Data_NYSE[[#This Row],[ Other Operating Items ]]</f>
        <v>535619000</v>
      </c>
      <c r="L1386" t="s">
        <v>12</v>
      </c>
      <c r="M1386" t="s">
        <v>163</v>
      </c>
      <c r="N1386" s="31">
        <f>Project_Data_NYSE[[#This Row],[Gross Profit]]/Project_Data_NYSE[[#This Row],[ Total Revenue ]]</f>
        <v>0.45017306738311008</v>
      </c>
      <c r="O1386" s="31">
        <f>Project_Data_NYSE[[#This Row],[Operating Profit]]/Project_Data_NYSE[[#This Row],[ Total Revenue ]]</f>
        <v>0.24996138242968219</v>
      </c>
    </row>
    <row r="1387" spans="1:15" x14ac:dyDescent="0.2">
      <c r="A1387">
        <v>1444</v>
      </c>
      <c r="B1387" t="s">
        <v>484</v>
      </c>
      <c r="C1387" t="s">
        <v>15</v>
      </c>
      <c r="D1387" s="48">
        <v>42004</v>
      </c>
      <c r="E1387" s="3">
        <v>2555601000</v>
      </c>
      <c r="F1387" s="3">
        <v>1461190000</v>
      </c>
      <c r="G1387" s="3">
        <f>Project_Data_NYSE[[#This Row],[ Total Revenue ]]-Project_Data_NYSE[[#This Row],[ Cost of Goods Sold ]]</f>
        <v>1094411000</v>
      </c>
      <c r="H1387" s="3">
        <v>489937000</v>
      </c>
      <c r="I1387" s="3">
        <v>0</v>
      </c>
      <c r="J1387" s="3">
        <v>48138000</v>
      </c>
      <c r="K1387" s="3">
        <f>Project_Data_NYSE[[#This Row],[Gross Profit]]-Project_Data_NYSE[[#This Row],[ Sales, General and Admin. ]]-Project_Data_NYSE[[#This Row],[ Research and Development ]]-Project_Data_NYSE[[#This Row],[ Other Operating Items ]]</f>
        <v>556336000</v>
      </c>
      <c r="L1387" t="s">
        <v>12</v>
      </c>
      <c r="M1387" t="s">
        <v>163</v>
      </c>
      <c r="N1387" s="31">
        <f>Project_Data_NYSE[[#This Row],[Gross Profit]]/Project_Data_NYSE[[#This Row],[ Total Revenue ]]</f>
        <v>0.42824016738137133</v>
      </c>
      <c r="O1387" s="31">
        <f>Project_Data_NYSE[[#This Row],[Operating Profit]]/Project_Data_NYSE[[#This Row],[ Total Revenue ]]</f>
        <v>0.21769282450585986</v>
      </c>
    </row>
    <row r="1388" spans="1:15" x14ac:dyDescent="0.2">
      <c r="A1388">
        <v>1445</v>
      </c>
      <c r="B1388" t="s">
        <v>484</v>
      </c>
      <c r="C1388" t="s">
        <v>16</v>
      </c>
      <c r="D1388" s="48">
        <v>42369</v>
      </c>
      <c r="E1388" s="3">
        <v>2985908000</v>
      </c>
      <c r="F1388" s="3">
        <v>1719723000</v>
      </c>
      <c r="G1388" s="3">
        <f>Project_Data_NYSE[[#This Row],[ Total Revenue ]]-Project_Data_NYSE[[#This Row],[ Cost of Goods Sold ]]</f>
        <v>1266185000</v>
      </c>
      <c r="H1388" s="3">
        <v>712803000</v>
      </c>
      <c r="I1388" s="3">
        <v>0</v>
      </c>
      <c r="J1388" s="3">
        <v>65770000</v>
      </c>
      <c r="K1388" s="3">
        <f>Project_Data_NYSE[[#This Row],[Gross Profit]]-Project_Data_NYSE[[#This Row],[ Sales, General and Admin. ]]-Project_Data_NYSE[[#This Row],[ Research and Development ]]-Project_Data_NYSE[[#This Row],[ Other Operating Items ]]</f>
        <v>487612000</v>
      </c>
      <c r="L1388" t="s">
        <v>12</v>
      </c>
      <c r="M1388" t="s">
        <v>163</v>
      </c>
      <c r="N1388" s="31">
        <f>Project_Data_NYSE[[#This Row],[Gross Profit]]/Project_Data_NYSE[[#This Row],[ Total Revenue ]]</f>
        <v>0.42405358771938051</v>
      </c>
      <c r="O1388" s="31">
        <f>Project_Data_NYSE[[#This Row],[Operating Profit]]/Project_Data_NYSE[[#This Row],[ Total Revenue ]]</f>
        <v>0.16330442866960401</v>
      </c>
    </row>
    <row r="1389" spans="1:15" x14ac:dyDescent="0.2">
      <c r="A1389">
        <v>1446</v>
      </c>
      <c r="B1389" t="s">
        <v>485</v>
      </c>
      <c r="C1389" t="s">
        <v>11</v>
      </c>
      <c r="D1389" s="48">
        <v>41274</v>
      </c>
      <c r="E1389" s="3">
        <v>9647000000</v>
      </c>
      <c r="F1389" s="3">
        <v>6646000000</v>
      </c>
      <c r="G1389" s="3">
        <f>Project_Data_NYSE[[#This Row],[ Total Revenue ]]-Project_Data_NYSE[[#This Row],[ Cost of Goods Sold ]]</f>
        <v>3001000000</v>
      </c>
      <c r="H1389" s="3">
        <v>359000000</v>
      </c>
      <c r="I1389" s="3">
        <v>0</v>
      </c>
      <c r="J1389" s="3">
        <v>1090000000</v>
      </c>
      <c r="K1389" s="3">
        <f>Project_Data_NYSE[[#This Row],[Gross Profit]]-Project_Data_NYSE[[#This Row],[ Sales, General and Admin. ]]-Project_Data_NYSE[[#This Row],[ Research and Development ]]-Project_Data_NYSE[[#This Row],[ Other Operating Items ]]</f>
        <v>1552000000</v>
      </c>
      <c r="L1389" t="s">
        <v>41</v>
      </c>
      <c r="M1389" t="s">
        <v>42</v>
      </c>
      <c r="N1389" s="31">
        <f>Project_Data_NYSE[[#This Row],[Gross Profit]]/Project_Data_NYSE[[#This Row],[ Total Revenue ]]</f>
        <v>0.31108116512905565</v>
      </c>
      <c r="O1389" s="31">
        <f>Project_Data_NYSE[[#This Row],[Operating Profit]]/Project_Data_NYSE[[#This Row],[ Total Revenue ]]</f>
        <v>0.1608790297501814</v>
      </c>
    </row>
    <row r="1390" spans="1:15" x14ac:dyDescent="0.2">
      <c r="A1390">
        <v>1447</v>
      </c>
      <c r="B1390" t="s">
        <v>485</v>
      </c>
      <c r="C1390" t="s">
        <v>14</v>
      </c>
      <c r="D1390" s="48">
        <v>41639</v>
      </c>
      <c r="E1390" s="3">
        <v>10557000000</v>
      </c>
      <c r="F1390" s="3">
        <v>7186000000</v>
      </c>
      <c r="G1390" s="3">
        <f>Project_Data_NYSE[[#This Row],[ Total Revenue ]]-Project_Data_NYSE[[#This Row],[ Cost of Goods Sold ]]</f>
        <v>3371000000</v>
      </c>
      <c r="H1390" s="3">
        <v>574000000</v>
      </c>
      <c r="I1390" s="3">
        <v>0</v>
      </c>
      <c r="J1390" s="3">
        <v>1113000000</v>
      </c>
      <c r="K1390" s="3">
        <f>Project_Data_NYSE[[#This Row],[Gross Profit]]-Project_Data_NYSE[[#This Row],[ Sales, General and Admin. ]]-Project_Data_NYSE[[#This Row],[ Research and Development ]]-Project_Data_NYSE[[#This Row],[ Other Operating Items ]]</f>
        <v>1684000000</v>
      </c>
      <c r="L1390" t="s">
        <v>41</v>
      </c>
      <c r="M1390" t="s">
        <v>42</v>
      </c>
      <c r="N1390" s="31">
        <f>Project_Data_NYSE[[#This Row],[Gross Profit]]/Project_Data_NYSE[[#This Row],[ Total Revenue ]]</f>
        <v>0.31931419910959552</v>
      </c>
      <c r="O1390" s="31">
        <f>Project_Data_NYSE[[#This Row],[Operating Profit]]/Project_Data_NYSE[[#This Row],[ Total Revenue ]]</f>
        <v>0.15951501373496257</v>
      </c>
    </row>
    <row r="1391" spans="1:15" x14ac:dyDescent="0.2">
      <c r="A1391">
        <v>1448</v>
      </c>
      <c r="B1391" t="s">
        <v>485</v>
      </c>
      <c r="C1391" t="s">
        <v>15</v>
      </c>
      <c r="D1391" s="48">
        <v>42004</v>
      </c>
      <c r="E1391" s="3">
        <v>11035000000</v>
      </c>
      <c r="F1391" s="3">
        <v>7689000000</v>
      </c>
      <c r="G1391" s="3">
        <f>Project_Data_NYSE[[#This Row],[ Total Revenue ]]-Project_Data_NYSE[[#This Row],[ Cost of Goods Sold ]]</f>
        <v>3346000000</v>
      </c>
      <c r="H1391" s="3">
        <v>414000000</v>
      </c>
      <c r="I1391" s="3">
        <v>0</v>
      </c>
      <c r="J1391" s="3">
        <v>1156000000</v>
      </c>
      <c r="K1391" s="3">
        <f>Project_Data_NYSE[[#This Row],[Gross Profit]]-Project_Data_NYSE[[#This Row],[ Sales, General and Admin. ]]-Project_Data_NYSE[[#This Row],[ Research and Development ]]-Project_Data_NYSE[[#This Row],[ Other Operating Items ]]</f>
        <v>1776000000</v>
      </c>
      <c r="L1391" t="s">
        <v>41</v>
      </c>
      <c r="M1391" t="s">
        <v>42</v>
      </c>
      <c r="N1391" s="31">
        <f>Project_Data_NYSE[[#This Row],[Gross Profit]]/Project_Data_NYSE[[#This Row],[ Total Revenue ]]</f>
        <v>0.3032170367014046</v>
      </c>
      <c r="O1391" s="31">
        <f>Project_Data_NYSE[[#This Row],[Operating Profit]]/Project_Data_NYSE[[#This Row],[ Total Revenue ]]</f>
        <v>0.16094245582238331</v>
      </c>
    </row>
    <row r="1392" spans="1:15" x14ac:dyDescent="0.2">
      <c r="A1392">
        <v>1449</v>
      </c>
      <c r="B1392" t="s">
        <v>485</v>
      </c>
      <c r="C1392" t="s">
        <v>16</v>
      </c>
      <c r="D1392" s="48">
        <v>42369</v>
      </c>
      <c r="E1392" s="3">
        <v>10231000000</v>
      </c>
      <c r="F1392" s="3">
        <v>6648000000</v>
      </c>
      <c r="G1392" s="3">
        <f>Project_Data_NYSE[[#This Row],[ Total Revenue ]]-Project_Data_NYSE[[#This Row],[ Cost of Goods Sold ]]</f>
        <v>3583000000</v>
      </c>
      <c r="H1392" s="3">
        <v>397000000</v>
      </c>
      <c r="I1392" s="3">
        <v>0</v>
      </c>
      <c r="J1392" s="3">
        <v>1250000000</v>
      </c>
      <c r="K1392" s="3">
        <f>Project_Data_NYSE[[#This Row],[Gross Profit]]-Project_Data_NYSE[[#This Row],[ Sales, General and Admin. ]]-Project_Data_NYSE[[#This Row],[ Research and Development ]]-Project_Data_NYSE[[#This Row],[ Other Operating Items ]]</f>
        <v>1936000000</v>
      </c>
      <c r="L1392" t="s">
        <v>41</v>
      </c>
      <c r="M1392" t="s">
        <v>42</v>
      </c>
      <c r="N1392" s="31">
        <f>Project_Data_NYSE[[#This Row],[Gross Profit]]/Project_Data_NYSE[[#This Row],[ Total Revenue ]]</f>
        <v>0.35021014563581271</v>
      </c>
      <c r="O1392" s="31">
        <f>Project_Data_NYSE[[#This Row],[Operating Profit]]/Project_Data_NYSE[[#This Row],[ Total Revenue ]]</f>
        <v>0.18922881438764538</v>
      </c>
    </row>
    <row r="1393" spans="1:15" x14ac:dyDescent="0.2">
      <c r="A1393">
        <v>1450</v>
      </c>
      <c r="B1393" t="s">
        <v>486</v>
      </c>
      <c r="C1393" t="s">
        <v>11</v>
      </c>
      <c r="D1393" s="48">
        <v>41274</v>
      </c>
      <c r="E1393" s="3">
        <v>11240000000</v>
      </c>
      <c r="F1393" s="3">
        <v>429000000</v>
      </c>
      <c r="G1393" s="3">
        <f>Project_Data_NYSE[[#This Row],[ Total Revenue ]]-Project_Data_NYSE[[#This Row],[ Cost of Goods Sold ]]</f>
        <v>10811000000</v>
      </c>
      <c r="H1393" s="3">
        <v>6073000000</v>
      </c>
      <c r="I1393" s="3">
        <v>0</v>
      </c>
      <c r="J1393" s="3">
        <v>1441000000</v>
      </c>
      <c r="K1393" s="3">
        <f>Project_Data_NYSE[[#This Row],[Gross Profit]]-Project_Data_NYSE[[#This Row],[ Sales, General and Admin. ]]-Project_Data_NYSE[[#This Row],[ Research and Development ]]-Project_Data_NYSE[[#This Row],[ Other Operating Items ]]</f>
        <v>3297000000</v>
      </c>
      <c r="L1393" t="s">
        <v>46</v>
      </c>
      <c r="M1393" t="s">
        <v>104</v>
      </c>
      <c r="N1393" s="31">
        <f>Project_Data_NYSE[[#This Row],[Gross Profit]]/Project_Data_NYSE[[#This Row],[ Total Revenue ]]</f>
        <v>0.96183274021352316</v>
      </c>
      <c r="O1393" s="31">
        <f>Project_Data_NYSE[[#This Row],[Operating Profit]]/Project_Data_NYSE[[#This Row],[ Total Revenue ]]</f>
        <v>0.29332740213523134</v>
      </c>
    </row>
    <row r="1394" spans="1:15" x14ac:dyDescent="0.2">
      <c r="A1394">
        <v>1451</v>
      </c>
      <c r="B1394" t="s">
        <v>486</v>
      </c>
      <c r="C1394" t="s">
        <v>14</v>
      </c>
      <c r="D1394" s="48">
        <v>41639</v>
      </c>
      <c r="E1394" s="3">
        <v>8602000000</v>
      </c>
      <c r="F1394" s="3">
        <v>291000000</v>
      </c>
      <c r="G1394" s="3">
        <f>Project_Data_NYSE[[#This Row],[ Total Revenue ]]-Project_Data_NYSE[[#This Row],[ Cost of Goods Sold ]]</f>
        <v>8311000000</v>
      </c>
      <c r="H1394" s="3">
        <v>5808000000</v>
      </c>
      <c r="I1394" s="3">
        <v>0</v>
      </c>
      <c r="J1394" s="3">
        <v>576000000</v>
      </c>
      <c r="K1394" s="3">
        <f>Project_Data_NYSE[[#This Row],[Gross Profit]]-Project_Data_NYSE[[#This Row],[ Sales, General and Admin. ]]-Project_Data_NYSE[[#This Row],[ Research and Development ]]-Project_Data_NYSE[[#This Row],[ Other Operating Items ]]</f>
        <v>1927000000</v>
      </c>
      <c r="L1394" t="s">
        <v>46</v>
      </c>
      <c r="M1394" t="s">
        <v>104</v>
      </c>
      <c r="N1394" s="31">
        <f>Project_Data_NYSE[[#This Row],[Gross Profit]]/Project_Data_NYSE[[#This Row],[ Total Revenue ]]</f>
        <v>0.9661706579865148</v>
      </c>
      <c r="O1394" s="31">
        <f>Project_Data_NYSE[[#This Row],[Operating Profit]]/Project_Data_NYSE[[#This Row],[ Total Revenue ]]</f>
        <v>0.22401767030923042</v>
      </c>
    </row>
    <row r="1395" spans="1:15" x14ac:dyDescent="0.2">
      <c r="A1395">
        <v>1452</v>
      </c>
      <c r="B1395" t="s">
        <v>486</v>
      </c>
      <c r="C1395" t="s">
        <v>15</v>
      </c>
      <c r="D1395" s="48">
        <v>42004</v>
      </c>
      <c r="E1395" s="3">
        <v>8707000000</v>
      </c>
      <c r="F1395" s="3">
        <v>235000000</v>
      </c>
      <c r="G1395" s="3">
        <f>Project_Data_NYSE[[#This Row],[ Total Revenue ]]-Project_Data_NYSE[[#This Row],[ Cost of Goods Sold ]]</f>
        <v>8472000000</v>
      </c>
      <c r="H1395" s="3">
        <v>5518000000</v>
      </c>
      <c r="I1395" s="3">
        <v>0</v>
      </c>
      <c r="J1395" s="3">
        <v>367000000</v>
      </c>
      <c r="K1395" s="3">
        <f>Project_Data_NYSE[[#This Row],[Gross Profit]]-Project_Data_NYSE[[#This Row],[ Sales, General and Admin. ]]-Project_Data_NYSE[[#This Row],[ Research and Development ]]-Project_Data_NYSE[[#This Row],[ Other Operating Items ]]</f>
        <v>2587000000</v>
      </c>
      <c r="L1395" t="s">
        <v>46</v>
      </c>
      <c r="M1395" t="s">
        <v>104</v>
      </c>
      <c r="N1395" s="31">
        <f>Project_Data_NYSE[[#This Row],[Gross Profit]]/Project_Data_NYSE[[#This Row],[ Total Revenue ]]</f>
        <v>0.9730102216607327</v>
      </c>
      <c r="O1395" s="31">
        <f>Project_Data_NYSE[[#This Row],[Operating Profit]]/Project_Data_NYSE[[#This Row],[ Total Revenue ]]</f>
        <v>0.29711726197312505</v>
      </c>
    </row>
    <row r="1396" spans="1:15" x14ac:dyDescent="0.2">
      <c r="A1396">
        <v>1453</v>
      </c>
      <c r="B1396" t="s">
        <v>486</v>
      </c>
      <c r="C1396" t="s">
        <v>16</v>
      </c>
      <c r="D1396" s="48">
        <v>42369</v>
      </c>
      <c r="E1396" s="3">
        <v>8533000000</v>
      </c>
      <c r="F1396" s="3">
        <v>219000000</v>
      </c>
      <c r="G1396" s="3">
        <f>Project_Data_NYSE[[#This Row],[ Total Revenue ]]-Project_Data_NYSE[[#This Row],[ Cost of Goods Sold ]]</f>
        <v>8314000000</v>
      </c>
      <c r="H1396" s="3">
        <v>5120000000</v>
      </c>
      <c r="I1396" s="3">
        <v>0</v>
      </c>
      <c r="J1396" s="3">
        <v>205000000</v>
      </c>
      <c r="K1396" s="3">
        <f>Project_Data_NYSE[[#This Row],[Gross Profit]]-Project_Data_NYSE[[#This Row],[ Sales, General and Admin. ]]-Project_Data_NYSE[[#This Row],[ Research and Development ]]-Project_Data_NYSE[[#This Row],[ Other Operating Items ]]</f>
        <v>2989000000</v>
      </c>
      <c r="L1396" t="s">
        <v>46</v>
      </c>
      <c r="M1396" t="s">
        <v>104</v>
      </c>
      <c r="N1396" s="31">
        <f>Project_Data_NYSE[[#This Row],[Gross Profit]]/Project_Data_NYSE[[#This Row],[ Total Revenue ]]</f>
        <v>0.97433493495839685</v>
      </c>
      <c r="O1396" s="31">
        <f>Project_Data_NYSE[[#This Row],[Operating Profit]]/Project_Data_NYSE[[#This Row],[ Total Revenue ]]</f>
        <v>0.35028712059064809</v>
      </c>
    </row>
    <row r="1397" spans="1:15" x14ac:dyDescent="0.2">
      <c r="A1397">
        <v>1458</v>
      </c>
      <c r="B1397" t="s">
        <v>487</v>
      </c>
      <c r="C1397" t="s">
        <v>11</v>
      </c>
      <c r="D1397" s="48">
        <v>41453</v>
      </c>
      <c r="E1397" s="3">
        <v>14351000000</v>
      </c>
      <c r="F1397" s="3">
        <v>10411000000</v>
      </c>
      <c r="G1397" s="3">
        <f>Project_Data_NYSE[[#This Row],[ Total Revenue ]]-Project_Data_NYSE[[#This Row],[ Cost of Goods Sold ]]</f>
        <v>3940000000</v>
      </c>
      <c r="H1397" s="3">
        <v>635000000</v>
      </c>
      <c r="I1397" s="3">
        <v>1133000000</v>
      </c>
      <c r="J1397" s="3">
        <v>79000000</v>
      </c>
      <c r="K1397" s="3">
        <f>Project_Data_NYSE[[#This Row],[Gross Profit]]-Project_Data_NYSE[[#This Row],[ Sales, General and Admin. ]]-Project_Data_NYSE[[#This Row],[ Research and Development ]]-Project_Data_NYSE[[#This Row],[ Other Operating Items ]]</f>
        <v>2093000000</v>
      </c>
      <c r="L1397" t="s">
        <v>21</v>
      </c>
      <c r="M1397" t="s">
        <v>488</v>
      </c>
      <c r="N1397" s="31">
        <f>Project_Data_NYSE[[#This Row],[Gross Profit]]/Project_Data_NYSE[[#This Row],[ Total Revenue ]]</f>
        <v>0.27454532785171765</v>
      </c>
      <c r="O1397" s="31">
        <f>Project_Data_NYSE[[#This Row],[Operating Profit]]/Project_Data_NYSE[[#This Row],[ Total Revenue ]]</f>
        <v>0.14584349522681347</v>
      </c>
    </row>
    <row r="1398" spans="1:15" x14ac:dyDescent="0.2">
      <c r="A1398">
        <v>1459</v>
      </c>
      <c r="B1398" t="s">
        <v>487</v>
      </c>
      <c r="C1398" t="s">
        <v>14</v>
      </c>
      <c r="D1398" s="48">
        <v>41817</v>
      </c>
      <c r="E1398" s="3">
        <v>13724000000</v>
      </c>
      <c r="F1398" s="3">
        <v>9878000000</v>
      </c>
      <c r="G1398" s="3">
        <f>Project_Data_NYSE[[#This Row],[ Total Revenue ]]-Project_Data_NYSE[[#This Row],[ Cost of Goods Sold ]]</f>
        <v>3846000000</v>
      </c>
      <c r="H1398" s="3">
        <v>722000000</v>
      </c>
      <c r="I1398" s="3">
        <v>1226000000</v>
      </c>
      <c r="J1398" s="3">
        <v>98000000</v>
      </c>
      <c r="K1398" s="3">
        <f>Project_Data_NYSE[[#This Row],[Gross Profit]]-Project_Data_NYSE[[#This Row],[ Sales, General and Admin. ]]-Project_Data_NYSE[[#This Row],[ Research and Development ]]-Project_Data_NYSE[[#This Row],[ Other Operating Items ]]</f>
        <v>1800000000</v>
      </c>
      <c r="L1398" t="s">
        <v>21</v>
      </c>
      <c r="M1398" t="s">
        <v>488</v>
      </c>
      <c r="N1398" s="31">
        <f>Project_Data_NYSE[[#This Row],[Gross Profit]]/Project_Data_NYSE[[#This Row],[ Total Revenue ]]</f>
        <v>0.28023899737685803</v>
      </c>
      <c r="O1398" s="31">
        <f>Project_Data_NYSE[[#This Row],[Operating Profit]]/Project_Data_NYSE[[#This Row],[ Total Revenue ]]</f>
        <v>0.13115709705625181</v>
      </c>
    </row>
    <row r="1399" spans="1:15" x14ac:dyDescent="0.2">
      <c r="A1399">
        <v>1460</v>
      </c>
      <c r="B1399" t="s">
        <v>487</v>
      </c>
      <c r="C1399" t="s">
        <v>15</v>
      </c>
      <c r="D1399" s="48">
        <v>42188</v>
      </c>
      <c r="E1399" s="3">
        <v>13739000000</v>
      </c>
      <c r="F1399" s="3">
        <v>9930000000</v>
      </c>
      <c r="G1399" s="3">
        <f>Project_Data_NYSE[[#This Row],[ Total Revenue ]]-Project_Data_NYSE[[#This Row],[ Cost of Goods Sold ]]</f>
        <v>3809000000</v>
      </c>
      <c r="H1399" s="3">
        <v>237000000</v>
      </c>
      <c r="I1399" s="3">
        <v>1353000000</v>
      </c>
      <c r="J1399" s="3">
        <v>129000000</v>
      </c>
      <c r="K1399" s="3">
        <f>Project_Data_NYSE[[#This Row],[Gross Profit]]-Project_Data_NYSE[[#This Row],[ Sales, General and Admin. ]]-Project_Data_NYSE[[#This Row],[ Research and Development ]]-Project_Data_NYSE[[#This Row],[ Other Operating Items ]]</f>
        <v>2090000000</v>
      </c>
      <c r="L1399" t="s">
        <v>21</v>
      </c>
      <c r="M1399" t="s">
        <v>488</v>
      </c>
      <c r="N1399" s="31">
        <f>Project_Data_NYSE[[#This Row],[Gross Profit]]/Project_Data_NYSE[[#This Row],[ Total Revenue ]]</f>
        <v>0.2772399737972196</v>
      </c>
      <c r="O1399" s="31">
        <f>Project_Data_NYSE[[#This Row],[Operating Profit]]/Project_Data_NYSE[[#This Row],[ Total Revenue ]]</f>
        <v>0.1521216973578863</v>
      </c>
    </row>
    <row r="1400" spans="1:15" x14ac:dyDescent="0.2">
      <c r="A1400">
        <v>1461</v>
      </c>
      <c r="B1400" t="s">
        <v>487</v>
      </c>
      <c r="C1400" t="s">
        <v>16</v>
      </c>
      <c r="D1400" s="48">
        <v>42552</v>
      </c>
      <c r="E1400" s="3">
        <v>11160000000</v>
      </c>
      <c r="F1400" s="3">
        <v>8545000000</v>
      </c>
      <c r="G1400" s="3">
        <f>Project_Data_NYSE[[#This Row],[ Total Revenue ]]-Project_Data_NYSE[[#This Row],[ Cost of Goods Sold ]]</f>
        <v>2615000000</v>
      </c>
      <c r="H1400" s="3">
        <v>635000000</v>
      </c>
      <c r="I1400" s="3">
        <v>1237000000</v>
      </c>
      <c r="J1400" s="3">
        <v>123000000</v>
      </c>
      <c r="K1400" s="3">
        <f>Project_Data_NYSE[[#This Row],[Gross Profit]]-Project_Data_NYSE[[#This Row],[ Sales, General and Admin. ]]-Project_Data_NYSE[[#This Row],[ Research and Development ]]-Project_Data_NYSE[[#This Row],[ Other Operating Items ]]</f>
        <v>620000000</v>
      </c>
      <c r="L1400" t="s">
        <v>21</v>
      </c>
      <c r="M1400" t="s">
        <v>488</v>
      </c>
      <c r="N1400" s="31">
        <f>Project_Data_NYSE[[#This Row],[Gross Profit]]/Project_Data_NYSE[[#This Row],[ Total Revenue ]]</f>
        <v>0.23431899641577061</v>
      </c>
      <c r="O1400" s="31">
        <f>Project_Data_NYSE[[#This Row],[Operating Profit]]/Project_Data_NYSE[[#This Row],[ Total Revenue ]]</f>
        <v>5.5555555555555552E-2</v>
      </c>
    </row>
    <row r="1401" spans="1:15" x14ac:dyDescent="0.2">
      <c r="A1401">
        <v>1462</v>
      </c>
      <c r="B1401" t="s">
        <v>489</v>
      </c>
      <c r="C1401" t="s">
        <v>11</v>
      </c>
      <c r="D1401" s="48">
        <v>41333</v>
      </c>
      <c r="E1401" s="3">
        <v>2796100000</v>
      </c>
      <c r="F1401" s="3">
        <v>1687800000</v>
      </c>
      <c r="G1401" s="3">
        <f>Project_Data_NYSE[[#This Row],[ Total Revenue ]]-Project_Data_NYSE[[#This Row],[ Cost of Goods Sold ]]</f>
        <v>1108300000</v>
      </c>
      <c r="H1401" s="3">
        <v>585400000</v>
      </c>
      <c r="I1401" s="3">
        <v>0</v>
      </c>
      <c r="J1401" s="3">
        <v>0</v>
      </c>
      <c r="K1401" s="3">
        <f>Project_Data_NYSE[[#This Row],[Gross Profit]]-Project_Data_NYSE[[#This Row],[ Sales, General and Admin. ]]-Project_Data_NYSE[[#This Row],[ Research and Development ]]-Project_Data_NYSE[[#This Row],[ Other Operating Items ]]</f>
        <v>522900000</v>
      </c>
      <c r="L1401" t="s">
        <v>35</v>
      </c>
      <c r="M1401" t="s">
        <v>490</v>
      </c>
      <c r="N1401" s="31">
        <f>Project_Data_NYSE[[#This Row],[Gross Profit]]/Project_Data_NYSE[[#This Row],[ Total Revenue ]]</f>
        <v>0.39637352026036266</v>
      </c>
      <c r="O1401" s="31">
        <f>Project_Data_NYSE[[#This Row],[Operating Profit]]/Project_Data_NYSE[[#This Row],[ Total Revenue ]]</f>
        <v>0.18701047888129896</v>
      </c>
    </row>
    <row r="1402" spans="1:15" x14ac:dyDescent="0.2">
      <c r="A1402">
        <v>1463</v>
      </c>
      <c r="B1402" t="s">
        <v>489</v>
      </c>
      <c r="C1402" t="s">
        <v>14</v>
      </c>
      <c r="D1402" s="48">
        <v>41698</v>
      </c>
      <c r="E1402" s="3">
        <v>4867700000</v>
      </c>
      <c r="F1402" s="3">
        <v>2876000000</v>
      </c>
      <c r="G1402" s="3">
        <f>Project_Data_NYSE[[#This Row],[ Total Revenue ]]-Project_Data_NYSE[[#This Row],[ Cost of Goods Sold ]]</f>
        <v>1991700000</v>
      </c>
      <c r="H1402" s="3">
        <v>895100000</v>
      </c>
      <c r="I1402" s="3">
        <v>0</v>
      </c>
      <c r="J1402" s="3">
        <v>0</v>
      </c>
      <c r="K1402" s="3">
        <f>Project_Data_NYSE[[#This Row],[Gross Profit]]-Project_Data_NYSE[[#This Row],[ Sales, General and Admin. ]]-Project_Data_NYSE[[#This Row],[ Research and Development ]]-Project_Data_NYSE[[#This Row],[ Other Operating Items ]]</f>
        <v>1096600000</v>
      </c>
      <c r="L1402" t="s">
        <v>35</v>
      </c>
      <c r="M1402" t="s">
        <v>490</v>
      </c>
      <c r="N1402" s="31">
        <f>Project_Data_NYSE[[#This Row],[Gross Profit]]/Project_Data_NYSE[[#This Row],[ Total Revenue ]]</f>
        <v>0.40916654682909792</v>
      </c>
      <c r="O1402" s="31">
        <f>Project_Data_NYSE[[#This Row],[Operating Profit]]/Project_Data_NYSE[[#This Row],[ Total Revenue ]]</f>
        <v>0.22528093350042114</v>
      </c>
    </row>
    <row r="1403" spans="1:15" x14ac:dyDescent="0.2">
      <c r="A1403">
        <v>1464</v>
      </c>
      <c r="B1403" t="s">
        <v>489</v>
      </c>
      <c r="C1403" t="s">
        <v>15</v>
      </c>
      <c r="D1403" s="48">
        <v>42063</v>
      </c>
      <c r="E1403" s="3">
        <v>6028000000</v>
      </c>
      <c r="F1403" s="3">
        <v>3449400000</v>
      </c>
      <c r="G1403" s="3">
        <f>Project_Data_NYSE[[#This Row],[ Total Revenue ]]-Project_Data_NYSE[[#This Row],[ Cost of Goods Sold ]]</f>
        <v>2578600000</v>
      </c>
      <c r="H1403" s="3">
        <v>1078400000</v>
      </c>
      <c r="I1403" s="3">
        <v>0</v>
      </c>
      <c r="J1403" s="3">
        <v>0</v>
      </c>
      <c r="K1403" s="3">
        <f>Project_Data_NYSE[[#This Row],[Gross Profit]]-Project_Data_NYSE[[#This Row],[ Sales, General and Admin. ]]-Project_Data_NYSE[[#This Row],[ Research and Development ]]-Project_Data_NYSE[[#This Row],[ Other Operating Items ]]</f>
        <v>1500200000</v>
      </c>
      <c r="L1403" t="s">
        <v>35</v>
      </c>
      <c r="M1403" t="s">
        <v>490</v>
      </c>
      <c r="N1403" s="31">
        <f>Project_Data_NYSE[[#This Row],[Gross Profit]]/Project_Data_NYSE[[#This Row],[ Total Revenue ]]</f>
        <v>0.42777040477770406</v>
      </c>
      <c r="O1403" s="31">
        <f>Project_Data_NYSE[[#This Row],[Operating Profit]]/Project_Data_NYSE[[#This Row],[ Total Revenue ]]</f>
        <v>0.24887193098871932</v>
      </c>
    </row>
    <row r="1404" spans="1:15" x14ac:dyDescent="0.2">
      <c r="A1404">
        <v>1465</v>
      </c>
      <c r="B1404" t="s">
        <v>489</v>
      </c>
      <c r="C1404" t="s">
        <v>16</v>
      </c>
      <c r="D1404" s="48">
        <v>42429</v>
      </c>
      <c r="E1404" s="3">
        <v>6548400000</v>
      </c>
      <c r="F1404" s="3">
        <v>3606100000</v>
      </c>
      <c r="G1404" s="3">
        <f>Project_Data_NYSE[[#This Row],[ Total Revenue ]]-Project_Data_NYSE[[#This Row],[ Cost of Goods Sold ]]</f>
        <v>2942300000</v>
      </c>
      <c r="H1404" s="3">
        <v>1177200000</v>
      </c>
      <c r="I1404" s="3">
        <v>0</v>
      </c>
      <c r="J1404" s="3">
        <v>0</v>
      </c>
      <c r="K1404" s="3">
        <f>Project_Data_NYSE[[#This Row],[Gross Profit]]-Project_Data_NYSE[[#This Row],[ Sales, General and Admin. ]]-Project_Data_NYSE[[#This Row],[ Research and Development ]]-Project_Data_NYSE[[#This Row],[ Other Operating Items ]]</f>
        <v>1765100000</v>
      </c>
      <c r="L1404" t="s">
        <v>35</v>
      </c>
      <c r="M1404" t="s">
        <v>490</v>
      </c>
      <c r="N1404" s="31">
        <f>Project_Data_NYSE[[#This Row],[Gross Profit]]/Project_Data_NYSE[[#This Row],[ Total Revenue ]]</f>
        <v>0.4493158634170179</v>
      </c>
      <c r="O1404" s="31">
        <f>Project_Data_NYSE[[#This Row],[Operating Profit]]/Project_Data_NYSE[[#This Row],[ Total Revenue ]]</f>
        <v>0.26954675951377438</v>
      </c>
    </row>
    <row r="1405" spans="1:15" x14ac:dyDescent="0.2">
      <c r="A1405">
        <v>1466</v>
      </c>
      <c r="B1405" t="s">
        <v>491</v>
      </c>
      <c r="C1405" t="s">
        <v>11</v>
      </c>
      <c r="D1405" s="48">
        <v>41636</v>
      </c>
      <c r="E1405" s="3">
        <v>10889500000</v>
      </c>
      <c r="F1405" s="3">
        <v>6985800000</v>
      </c>
      <c r="G1405" s="3">
        <f>Project_Data_NYSE[[#This Row],[ Total Revenue ]]-Project_Data_NYSE[[#This Row],[ Cost of Goods Sold ]]</f>
        <v>3903700000</v>
      </c>
      <c r="H1405" s="3">
        <v>2960300000</v>
      </c>
      <c r="I1405" s="3">
        <v>0</v>
      </c>
      <c r="J1405" s="3">
        <v>0</v>
      </c>
      <c r="K1405" s="3">
        <f>Project_Data_NYSE[[#This Row],[Gross Profit]]-Project_Data_NYSE[[#This Row],[ Sales, General and Admin. ]]-Project_Data_NYSE[[#This Row],[ Research and Development ]]-Project_Data_NYSE[[#This Row],[ Other Operating Items ]]</f>
        <v>943400000</v>
      </c>
      <c r="L1405" t="s">
        <v>18</v>
      </c>
      <c r="M1405" t="s">
        <v>479</v>
      </c>
      <c r="N1405" s="31">
        <f>Project_Data_NYSE[[#This Row],[Gross Profit]]/Project_Data_NYSE[[#This Row],[ Total Revenue ]]</f>
        <v>0.35848294228385141</v>
      </c>
      <c r="O1405" s="31">
        <f>Project_Data_NYSE[[#This Row],[Operating Profit]]/Project_Data_NYSE[[#This Row],[ Total Revenue ]]</f>
        <v>8.6633913402819229E-2</v>
      </c>
    </row>
    <row r="1406" spans="1:15" x14ac:dyDescent="0.2">
      <c r="A1406">
        <v>1467</v>
      </c>
      <c r="B1406" t="s">
        <v>491</v>
      </c>
      <c r="C1406" t="s">
        <v>14</v>
      </c>
      <c r="D1406" s="48">
        <v>42007</v>
      </c>
      <c r="E1406" s="3">
        <v>11338600000</v>
      </c>
      <c r="F1406" s="3">
        <v>7235900000</v>
      </c>
      <c r="G1406" s="3">
        <f>Project_Data_NYSE[[#This Row],[ Total Revenue ]]-Project_Data_NYSE[[#This Row],[ Cost of Goods Sold ]]</f>
        <v>4102700000</v>
      </c>
      <c r="H1406" s="3">
        <v>2814600000</v>
      </c>
      <c r="I1406" s="3">
        <v>0</v>
      </c>
      <c r="J1406" s="3">
        <v>0</v>
      </c>
      <c r="K1406" s="3">
        <f>Project_Data_NYSE[[#This Row],[Gross Profit]]-Project_Data_NYSE[[#This Row],[ Sales, General and Admin. ]]-Project_Data_NYSE[[#This Row],[ Research and Development ]]-Project_Data_NYSE[[#This Row],[ Other Operating Items ]]</f>
        <v>1288100000</v>
      </c>
      <c r="L1406" t="s">
        <v>18</v>
      </c>
      <c r="M1406" t="s">
        <v>479</v>
      </c>
      <c r="N1406" s="31">
        <f>Project_Data_NYSE[[#This Row],[Gross Profit]]/Project_Data_NYSE[[#This Row],[ Total Revenue ]]</f>
        <v>0.36183479441906408</v>
      </c>
      <c r="O1406" s="31">
        <f>Project_Data_NYSE[[#This Row],[Operating Profit]]/Project_Data_NYSE[[#This Row],[ Total Revenue ]]</f>
        <v>0.113603090328612</v>
      </c>
    </row>
    <row r="1407" spans="1:15" x14ac:dyDescent="0.2">
      <c r="A1407">
        <v>1468</v>
      </c>
      <c r="B1407" t="s">
        <v>491</v>
      </c>
      <c r="C1407" t="s">
        <v>15</v>
      </c>
      <c r="D1407" s="48">
        <v>42371</v>
      </c>
      <c r="E1407" s="3">
        <v>11171800000</v>
      </c>
      <c r="F1407" s="3">
        <v>7099800000</v>
      </c>
      <c r="G1407" s="3">
        <f>Project_Data_NYSE[[#This Row],[ Total Revenue ]]-Project_Data_NYSE[[#This Row],[ Cost of Goods Sold ]]</f>
        <v>4072000000</v>
      </c>
      <c r="H1407" s="3">
        <v>2681100000</v>
      </c>
      <c r="I1407" s="3">
        <v>0</v>
      </c>
      <c r="J1407" s="3">
        <v>0</v>
      </c>
      <c r="K1407" s="3">
        <f>Project_Data_NYSE[[#This Row],[Gross Profit]]-Project_Data_NYSE[[#This Row],[ Sales, General and Admin. ]]-Project_Data_NYSE[[#This Row],[ Research and Development ]]-Project_Data_NYSE[[#This Row],[ Other Operating Items ]]</f>
        <v>1390900000</v>
      </c>
      <c r="L1407" t="s">
        <v>18</v>
      </c>
      <c r="M1407" t="s">
        <v>479</v>
      </c>
      <c r="N1407" s="31">
        <f>Project_Data_NYSE[[#This Row],[Gross Profit]]/Project_Data_NYSE[[#This Row],[ Total Revenue ]]</f>
        <v>0.36448916020694966</v>
      </c>
      <c r="O1407" s="31">
        <f>Project_Data_NYSE[[#This Row],[Operating Profit]]/Project_Data_NYSE[[#This Row],[ Total Revenue ]]</f>
        <v>0.12450097567088562</v>
      </c>
    </row>
    <row r="1408" spans="1:15" x14ac:dyDescent="0.2">
      <c r="A1408">
        <v>1469</v>
      </c>
      <c r="B1408" t="s">
        <v>491</v>
      </c>
      <c r="C1408" t="s">
        <v>16</v>
      </c>
      <c r="D1408" s="48">
        <v>42735</v>
      </c>
      <c r="E1408" s="3">
        <v>11406900000</v>
      </c>
      <c r="F1408" s="3">
        <v>7139700000</v>
      </c>
      <c r="G1408" s="3">
        <f>Project_Data_NYSE[[#This Row],[ Total Revenue ]]-Project_Data_NYSE[[#This Row],[ Cost of Goods Sold ]]</f>
        <v>4267200000</v>
      </c>
      <c r="H1408" s="3">
        <v>2798900000</v>
      </c>
      <c r="I1408" s="3">
        <v>0</v>
      </c>
      <c r="J1408" s="3">
        <v>0</v>
      </c>
      <c r="K1408" s="3">
        <f>Project_Data_NYSE[[#This Row],[Gross Profit]]-Project_Data_NYSE[[#This Row],[ Sales, General and Admin. ]]-Project_Data_NYSE[[#This Row],[ Research and Development ]]-Project_Data_NYSE[[#This Row],[ Other Operating Items ]]</f>
        <v>1468300000</v>
      </c>
      <c r="L1408" t="s">
        <v>18</v>
      </c>
      <c r="M1408" t="s">
        <v>479</v>
      </c>
      <c r="N1408" s="31">
        <f>Project_Data_NYSE[[#This Row],[Gross Profit]]/Project_Data_NYSE[[#This Row],[ Total Revenue ]]</f>
        <v>0.37408936696210188</v>
      </c>
      <c r="O1408" s="31">
        <f>Project_Data_NYSE[[#This Row],[Operating Profit]]/Project_Data_NYSE[[#This Row],[ Total Revenue ]]</f>
        <v>0.12872033593702056</v>
      </c>
    </row>
    <row r="1409" spans="1:15" x14ac:dyDescent="0.2">
      <c r="A1409">
        <v>1470</v>
      </c>
      <c r="B1409" t="s">
        <v>492</v>
      </c>
      <c r="C1409" t="s">
        <v>11</v>
      </c>
      <c r="D1409" s="48">
        <v>41544</v>
      </c>
      <c r="E1409" s="3">
        <v>1792000000</v>
      </c>
      <c r="F1409" s="3">
        <v>1025400000</v>
      </c>
      <c r="G1409" s="3">
        <f>Project_Data_NYSE[[#This Row],[ Total Revenue ]]-Project_Data_NYSE[[#This Row],[ Cost of Goods Sold ]]</f>
        <v>766600000</v>
      </c>
      <c r="H1409" s="3">
        <v>159700000</v>
      </c>
      <c r="I1409" s="3">
        <v>226300000</v>
      </c>
      <c r="J1409" s="3">
        <v>29100000</v>
      </c>
      <c r="K1409" s="3">
        <f>Project_Data_NYSE[[#This Row],[Gross Profit]]-Project_Data_NYSE[[#This Row],[ Sales, General and Admin. ]]-Project_Data_NYSE[[#This Row],[ Research and Development ]]-Project_Data_NYSE[[#This Row],[ Other Operating Items ]]</f>
        <v>351500000</v>
      </c>
      <c r="L1409" t="s">
        <v>21</v>
      </c>
      <c r="M1409" t="s">
        <v>33</v>
      </c>
      <c r="N1409" s="31">
        <f>Project_Data_NYSE[[#This Row],[Gross Profit]]/Project_Data_NYSE[[#This Row],[ Total Revenue ]]</f>
        <v>0.42779017857142859</v>
      </c>
      <c r="O1409" s="31">
        <f>Project_Data_NYSE[[#This Row],[Operating Profit]]/Project_Data_NYSE[[#This Row],[ Total Revenue ]]</f>
        <v>0.19614955357142858</v>
      </c>
    </row>
    <row r="1410" spans="1:15" x14ac:dyDescent="0.2">
      <c r="A1410">
        <v>1471</v>
      </c>
      <c r="B1410" t="s">
        <v>492</v>
      </c>
      <c r="C1410" t="s">
        <v>14</v>
      </c>
      <c r="D1410" s="48">
        <v>41915</v>
      </c>
      <c r="E1410" s="3">
        <v>2291500000</v>
      </c>
      <c r="F1410" s="3">
        <v>1268800000</v>
      </c>
      <c r="G1410" s="3">
        <f>Project_Data_NYSE[[#This Row],[ Total Revenue ]]-Project_Data_NYSE[[#This Row],[ Cost of Goods Sold ]]</f>
        <v>1022700000</v>
      </c>
      <c r="H1410" s="3">
        <v>179100000</v>
      </c>
      <c r="I1410" s="3">
        <v>252200000</v>
      </c>
      <c r="J1410" s="3">
        <v>25900000</v>
      </c>
      <c r="K1410" s="3">
        <f>Project_Data_NYSE[[#This Row],[Gross Profit]]-Project_Data_NYSE[[#This Row],[ Sales, General and Admin. ]]-Project_Data_NYSE[[#This Row],[ Research and Development ]]-Project_Data_NYSE[[#This Row],[ Other Operating Items ]]</f>
        <v>565500000</v>
      </c>
      <c r="L1410" t="s">
        <v>21</v>
      </c>
      <c r="M1410" t="s">
        <v>33</v>
      </c>
      <c r="N1410" s="31">
        <f>Project_Data_NYSE[[#This Row],[Gross Profit]]/Project_Data_NYSE[[#This Row],[ Total Revenue ]]</f>
        <v>0.44630154920357845</v>
      </c>
      <c r="O1410" s="31">
        <f>Project_Data_NYSE[[#This Row],[Operating Profit]]/Project_Data_NYSE[[#This Row],[ Total Revenue ]]</f>
        <v>0.24678158411520837</v>
      </c>
    </row>
    <row r="1411" spans="1:15" x14ac:dyDescent="0.2">
      <c r="A1411">
        <v>1472</v>
      </c>
      <c r="B1411" t="s">
        <v>492</v>
      </c>
      <c r="C1411" t="s">
        <v>15</v>
      </c>
      <c r="D1411" s="48">
        <v>42279</v>
      </c>
      <c r="E1411" s="3">
        <v>3258400000</v>
      </c>
      <c r="F1411" s="3">
        <v>1703900000</v>
      </c>
      <c r="G1411" s="3">
        <f>Project_Data_NYSE[[#This Row],[ Total Revenue ]]-Project_Data_NYSE[[#This Row],[ Cost of Goods Sold ]]</f>
        <v>1554500000</v>
      </c>
      <c r="H1411" s="3">
        <v>191300000</v>
      </c>
      <c r="I1411" s="3">
        <v>303200000</v>
      </c>
      <c r="J1411" s="3">
        <v>33500000</v>
      </c>
      <c r="K1411" s="3">
        <f>Project_Data_NYSE[[#This Row],[Gross Profit]]-Project_Data_NYSE[[#This Row],[ Sales, General and Admin. ]]-Project_Data_NYSE[[#This Row],[ Research and Development ]]-Project_Data_NYSE[[#This Row],[ Other Operating Items ]]</f>
        <v>1026500000</v>
      </c>
      <c r="L1411" t="s">
        <v>21</v>
      </c>
      <c r="M1411" t="s">
        <v>33</v>
      </c>
      <c r="N1411" s="31">
        <f>Project_Data_NYSE[[#This Row],[Gross Profit]]/Project_Data_NYSE[[#This Row],[ Total Revenue ]]</f>
        <v>0.47707463785907195</v>
      </c>
      <c r="O1411" s="31">
        <f>Project_Data_NYSE[[#This Row],[Operating Profit]]/Project_Data_NYSE[[#This Row],[ Total Revenue ]]</f>
        <v>0.31503191750552417</v>
      </c>
    </row>
    <row r="1412" spans="1:15" x14ac:dyDescent="0.2">
      <c r="A1412">
        <v>1473</v>
      </c>
      <c r="B1412" t="s">
        <v>492</v>
      </c>
      <c r="C1412" t="s">
        <v>16</v>
      </c>
      <c r="D1412" s="48">
        <v>42643</v>
      </c>
      <c r="E1412" s="3">
        <v>3289000000</v>
      </c>
      <c r="F1412" s="3">
        <v>1623800000</v>
      </c>
      <c r="G1412" s="3">
        <f>Project_Data_NYSE[[#This Row],[ Total Revenue ]]-Project_Data_NYSE[[#This Row],[ Cost of Goods Sold ]]</f>
        <v>1665200000</v>
      </c>
      <c r="H1412" s="3">
        <v>195900000</v>
      </c>
      <c r="I1412" s="3">
        <v>312400000</v>
      </c>
      <c r="J1412" s="3">
        <v>33400000</v>
      </c>
      <c r="K1412" s="3">
        <f>Project_Data_NYSE[[#This Row],[Gross Profit]]-Project_Data_NYSE[[#This Row],[ Sales, General and Admin. ]]-Project_Data_NYSE[[#This Row],[ Research and Development ]]-Project_Data_NYSE[[#This Row],[ Other Operating Items ]]</f>
        <v>1123500000</v>
      </c>
      <c r="L1412" t="s">
        <v>21</v>
      </c>
      <c r="M1412" t="s">
        <v>33</v>
      </c>
      <c r="N1412" s="31">
        <f>Project_Data_NYSE[[#This Row],[Gross Profit]]/Project_Data_NYSE[[#This Row],[ Total Revenue ]]</f>
        <v>0.50629370629370629</v>
      </c>
      <c r="O1412" s="31">
        <f>Project_Data_NYSE[[#This Row],[Operating Profit]]/Project_Data_NYSE[[#This Row],[ Total Revenue ]]</f>
        <v>0.34159318941927636</v>
      </c>
    </row>
    <row r="1413" spans="1:15" x14ac:dyDescent="0.2">
      <c r="A1413">
        <v>1474</v>
      </c>
      <c r="B1413" t="s">
        <v>493</v>
      </c>
      <c r="C1413" t="s">
        <v>11</v>
      </c>
      <c r="D1413" s="48">
        <v>41274</v>
      </c>
      <c r="E1413" s="3">
        <v>2730000000</v>
      </c>
      <c r="F1413" s="3">
        <v>245000000</v>
      </c>
      <c r="G1413" s="3">
        <f>Project_Data_NYSE[[#This Row],[ Total Revenue ]]-Project_Data_NYSE[[#This Row],[ Cost of Goods Sold ]]</f>
        <v>2485000000</v>
      </c>
      <c r="H1413" s="3">
        <v>835000000</v>
      </c>
      <c r="I1413" s="3">
        <v>0</v>
      </c>
      <c r="J1413" s="3">
        <v>811000000</v>
      </c>
      <c r="K1413" s="3">
        <f>Project_Data_NYSE[[#This Row],[Gross Profit]]-Project_Data_NYSE[[#This Row],[ Sales, General and Admin. ]]-Project_Data_NYSE[[#This Row],[ Research and Development ]]-Project_Data_NYSE[[#This Row],[ Other Operating Items ]]</f>
        <v>839000000</v>
      </c>
      <c r="L1413" t="s">
        <v>82</v>
      </c>
      <c r="M1413" t="s">
        <v>83</v>
      </c>
      <c r="N1413" s="31">
        <f>Project_Data_NYSE[[#This Row],[Gross Profit]]/Project_Data_NYSE[[#This Row],[ Total Revenue ]]</f>
        <v>0.91025641025641024</v>
      </c>
      <c r="O1413" s="31">
        <f>Project_Data_NYSE[[#This Row],[Operating Profit]]/Project_Data_NYSE[[#This Row],[ Total Revenue ]]</f>
        <v>0.30732600732600734</v>
      </c>
    </row>
    <row r="1414" spans="1:15" x14ac:dyDescent="0.2">
      <c r="A1414">
        <v>1475</v>
      </c>
      <c r="B1414" t="s">
        <v>493</v>
      </c>
      <c r="C1414" t="s">
        <v>14</v>
      </c>
      <c r="D1414" s="48">
        <v>41639</v>
      </c>
      <c r="E1414" s="3">
        <v>3371000000</v>
      </c>
      <c r="F1414" s="3">
        <v>328000000</v>
      </c>
      <c r="G1414" s="3">
        <f>Project_Data_NYSE[[#This Row],[ Total Revenue ]]-Project_Data_NYSE[[#This Row],[ Cost of Goods Sold ]]</f>
        <v>3043000000</v>
      </c>
      <c r="H1414" s="3">
        <v>1052000000</v>
      </c>
      <c r="I1414" s="3">
        <v>0</v>
      </c>
      <c r="J1414" s="3">
        <v>787000000</v>
      </c>
      <c r="K1414" s="3">
        <f>Project_Data_NYSE[[#This Row],[Gross Profit]]-Project_Data_NYSE[[#This Row],[ Sales, General and Admin. ]]-Project_Data_NYSE[[#This Row],[ Research and Development ]]-Project_Data_NYSE[[#This Row],[ Other Operating Items ]]</f>
        <v>1204000000</v>
      </c>
      <c r="L1414" t="s">
        <v>82</v>
      </c>
      <c r="M1414" t="s">
        <v>83</v>
      </c>
      <c r="N1414" s="31">
        <f>Project_Data_NYSE[[#This Row],[Gross Profit]]/Project_Data_NYSE[[#This Row],[ Total Revenue ]]</f>
        <v>0.90269949569860575</v>
      </c>
      <c r="O1414" s="31">
        <f>Project_Data_NYSE[[#This Row],[Operating Profit]]/Project_Data_NYSE[[#This Row],[ Total Revenue ]]</f>
        <v>0.3571640462770691</v>
      </c>
    </row>
    <row r="1415" spans="1:15" x14ac:dyDescent="0.2">
      <c r="A1415">
        <v>1476</v>
      </c>
      <c r="B1415" t="s">
        <v>493</v>
      </c>
      <c r="C1415" t="s">
        <v>15</v>
      </c>
      <c r="D1415" s="48">
        <v>42004</v>
      </c>
      <c r="E1415" s="3">
        <v>4038000000</v>
      </c>
      <c r="F1415" s="3">
        <v>427000000</v>
      </c>
      <c r="G1415" s="3">
        <f>Project_Data_NYSE[[#This Row],[ Total Revenue ]]-Project_Data_NYSE[[#This Row],[ Cost of Goods Sold ]]</f>
        <v>3611000000</v>
      </c>
      <c r="H1415" s="3">
        <v>1296000000</v>
      </c>
      <c r="I1415" s="3">
        <v>0</v>
      </c>
      <c r="J1415" s="3">
        <v>942000000</v>
      </c>
      <c r="K1415" s="3">
        <f>Project_Data_NYSE[[#This Row],[Gross Profit]]-Project_Data_NYSE[[#This Row],[ Sales, General and Admin. ]]-Project_Data_NYSE[[#This Row],[ Research and Development ]]-Project_Data_NYSE[[#This Row],[ Other Operating Items ]]</f>
        <v>1373000000</v>
      </c>
      <c r="L1415" t="s">
        <v>82</v>
      </c>
      <c r="M1415" t="s">
        <v>83</v>
      </c>
      <c r="N1415" s="31">
        <f>Project_Data_NYSE[[#This Row],[Gross Profit]]/Project_Data_NYSE[[#This Row],[ Total Revenue ]]</f>
        <v>0.89425458147597825</v>
      </c>
      <c r="O1415" s="31">
        <f>Project_Data_NYSE[[#This Row],[Operating Profit]]/Project_Data_NYSE[[#This Row],[ Total Revenue ]]</f>
        <v>0.34001981178801388</v>
      </c>
    </row>
    <row r="1416" spans="1:15" x14ac:dyDescent="0.2">
      <c r="A1416">
        <v>1477</v>
      </c>
      <c r="B1416" t="s">
        <v>493</v>
      </c>
      <c r="C1416" t="s">
        <v>16</v>
      </c>
      <c r="D1416" s="48">
        <v>42369</v>
      </c>
      <c r="E1416" s="3">
        <v>3133000000</v>
      </c>
      <c r="F1416" s="3">
        <v>689000000</v>
      </c>
      <c r="G1416" s="3">
        <f>Project_Data_NYSE[[#This Row],[ Total Revenue ]]-Project_Data_NYSE[[#This Row],[ Cost of Goods Sold ]]</f>
        <v>2444000000</v>
      </c>
      <c r="H1416" s="3">
        <v>1208000000</v>
      </c>
      <c r="I1416" s="3">
        <v>0</v>
      </c>
      <c r="J1416" s="3">
        <v>1091000000</v>
      </c>
      <c r="K1416" s="3">
        <f>Project_Data_NYSE[[#This Row],[Gross Profit]]-Project_Data_NYSE[[#This Row],[ Sales, General and Admin. ]]-Project_Data_NYSE[[#This Row],[ Research and Development ]]-Project_Data_NYSE[[#This Row],[ Other Operating Items ]]</f>
        <v>145000000</v>
      </c>
      <c r="L1416" t="s">
        <v>82</v>
      </c>
      <c r="M1416" t="s">
        <v>83</v>
      </c>
      <c r="N1416" s="31">
        <f>Project_Data_NYSE[[#This Row],[Gross Profit]]/Project_Data_NYSE[[#This Row],[ Total Revenue ]]</f>
        <v>0.78008298755186722</v>
      </c>
      <c r="O1416" s="31">
        <f>Project_Data_NYSE[[#This Row],[Operating Profit]]/Project_Data_NYSE[[#This Row],[ Total Revenue ]]</f>
        <v>4.6281519310564956E-2</v>
      </c>
    </row>
    <row r="1417" spans="1:15" x14ac:dyDescent="0.2">
      <c r="A1417">
        <v>1478</v>
      </c>
      <c r="B1417" t="s">
        <v>494</v>
      </c>
      <c r="C1417" t="s">
        <v>11</v>
      </c>
      <c r="D1417" s="48">
        <v>41274</v>
      </c>
      <c r="E1417" s="3">
        <v>10793000000</v>
      </c>
      <c r="F1417" s="3">
        <v>362000000</v>
      </c>
      <c r="G1417" s="3">
        <f>Project_Data_NYSE[[#This Row],[ Total Revenue ]]-Project_Data_NYSE[[#This Row],[ Cost of Goods Sold ]]</f>
        <v>10431000000</v>
      </c>
      <c r="H1417" s="3">
        <v>2123000000</v>
      </c>
      <c r="I1417" s="3">
        <v>0</v>
      </c>
      <c r="J1417" s="3">
        <v>4549000000</v>
      </c>
      <c r="K1417" s="3">
        <f>Project_Data_NYSE[[#This Row],[Gross Profit]]-Project_Data_NYSE[[#This Row],[ Sales, General and Admin. ]]-Project_Data_NYSE[[#This Row],[ Research and Development ]]-Project_Data_NYSE[[#This Row],[ Other Operating Items ]]</f>
        <v>3759000000</v>
      </c>
      <c r="L1417" t="s">
        <v>46</v>
      </c>
      <c r="M1417" t="s">
        <v>99</v>
      </c>
      <c r="N1417" s="31">
        <f>Project_Data_NYSE[[#This Row],[Gross Profit]]/Project_Data_NYSE[[#This Row],[ Total Revenue ]]</f>
        <v>0.96645974242564625</v>
      </c>
      <c r="O1417" s="31">
        <f>Project_Data_NYSE[[#This Row],[Operating Profit]]/Project_Data_NYSE[[#This Row],[ Total Revenue ]]</f>
        <v>0.34828129343092745</v>
      </c>
    </row>
    <row r="1418" spans="1:15" x14ac:dyDescent="0.2">
      <c r="A1418">
        <v>1479</v>
      </c>
      <c r="B1418" t="s">
        <v>494</v>
      </c>
      <c r="C1418" t="s">
        <v>14</v>
      </c>
      <c r="D1418" s="48">
        <v>41639</v>
      </c>
      <c r="E1418" s="3">
        <v>11813000000</v>
      </c>
      <c r="F1418" s="3">
        <v>374000000</v>
      </c>
      <c r="G1418" s="3">
        <f>Project_Data_NYSE[[#This Row],[ Total Revenue ]]-Project_Data_NYSE[[#This Row],[ Cost of Goods Sold ]]</f>
        <v>11439000000</v>
      </c>
      <c r="H1418" s="3">
        <v>2484000000</v>
      </c>
      <c r="I1418" s="3">
        <v>0</v>
      </c>
      <c r="J1418" s="3">
        <v>5445000000</v>
      </c>
      <c r="K1418" s="3">
        <f>Project_Data_NYSE[[#This Row],[Gross Profit]]-Project_Data_NYSE[[#This Row],[ Sales, General and Admin. ]]-Project_Data_NYSE[[#This Row],[ Research and Development ]]-Project_Data_NYSE[[#This Row],[ Other Operating Items ]]</f>
        <v>3510000000</v>
      </c>
      <c r="L1418" t="s">
        <v>46</v>
      </c>
      <c r="M1418" t="s">
        <v>99</v>
      </c>
      <c r="N1418" s="31">
        <f>Project_Data_NYSE[[#This Row],[Gross Profit]]/Project_Data_NYSE[[#This Row],[ Total Revenue ]]</f>
        <v>0.96833996444594939</v>
      </c>
      <c r="O1418" s="31">
        <f>Project_Data_NYSE[[#This Row],[Operating Profit]]/Project_Data_NYSE[[#This Row],[ Total Revenue ]]</f>
        <v>0.29713028019977988</v>
      </c>
    </row>
    <row r="1419" spans="1:15" x14ac:dyDescent="0.2">
      <c r="A1419">
        <v>1480</v>
      </c>
      <c r="B1419" t="s">
        <v>494</v>
      </c>
      <c r="C1419" t="s">
        <v>15</v>
      </c>
      <c r="D1419" s="48">
        <v>42004</v>
      </c>
      <c r="E1419" s="3">
        <v>12727000000</v>
      </c>
      <c r="F1419" s="3">
        <v>470000000</v>
      </c>
      <c r="G1419" s="3">
        <f>Project_Data_NYSE[[#This Row],[ Total Revenue ]]-Project_Data_NYSE[[#This Row],[ Cost of Goods Sold ]]</f>
        <v>12257000000</v>
      </c>
      <c r="H1419" s="3">
        <v>2927000000</v>
      </c>
      <c r="I1419" s="3">
        <v>0</v>
      </c>
      <c r="J1419" s="3">
        <v>5492000000</v>
      </c>
      <c r="K1419" s="3">
        <f>Project_Data_NYSE[[#This Row],[Gross Profit]]-Project_Data_NYSE[[#This Row],[ Sales, General and Admin. ]]-Project_Data_NYSE[[#This Row],[ Research and Development ]]-Project_Data_NYSE[[#This Row],[ Other Operating Items ]]</f>
        <v>3838000000</v>
      </c>
      <c r="L1419" t="s">
        <v>46</v>
      </c>
      <c r="M1419" t="s">
        <v>99</v>
      </c>
      <c r="N1419" s="31">
        <f>Project_Data_NYSE[[#This Row],[Gross Profit]]/Project_Data_NYSE[[#This Row],[ Total Revenue ]]</f>
        <v>0.96307063722794062</v>
      </c>
      <c r="O1419" s="31">
        <f>Project_Data_NYSE[[#This Row],[Operating Profit]]/Project_Data_NYSE[[#This Row],[ Total Revenue ]]</f>
        <v>0.30156360493439144</v>
      </c>
    </row>
    <row r="1420" spans="1:15" x14ac:dyDescent="0.2">
      <c r="A1420">
        <v>1481</v>
      </c>
      <c r="B1420" t="s">
        <v>494</v>
      </c>
      <c r="C1420" t="s">
        <v>16</v>
      </c>
      <c r="D1420" s="48">
        <v>42369</v>
      </c>
      <c r="E1420" s="3">
        <v>13620000000</v>
      </c>
      <c r="F1420" s="3">
        <v>607000000</v>
      </c>
      <c r="G1420" s="3">
        <f>Project_Data_NYSE[[#This Row],[ Total Revenue ]]-Project_Data_NYSE[[#This Row],[ Cost of Goods Sold ]]</f>
        <v>13013000000</v>
      </c>
      <c r="H1420" s="3">
        <v>3264000000</v>
      </c>
      <c r="I1420" s="3">
        <v>0</v>
      </c>
      <c r="J1420" s="3">
        <v>5690000000</v>
      </c>
      <c r="K1420" s="3">
        <f>Project_Data_NYSE[[#This Row],[Gross Profit]]-Project_Data_NYSE[[#This Row],[ Sales, General and Admin. ]]-Project_Data_NYSE[[#This Row],[ Research and Development ]]-Project_Data_NYSE[[#This Row],[ Other Operating Items ]]</f>
        <v>4059000000</v>
      </c>
      <c r="L1420" t="s">
        <v>46</v>
      </c>
      <c r="M1420" t="s">
        <v>99</v>
      </c>
      <c r="N1420" s="31">
        <f>Project_Data_NYSE[[#This Row],[Gross Profit]]/Project_Data_NYSE[[#This Row],[ Total Revenue ]]</f>
        <v>0.95543318649045517</v>
      </c>
      <c r="O1420" s="31">
        <f>Project_Data_NYSE[[#This Row],[Operating Profit]]/Project_Data_NYSE[[#This Row],[ Total Revenue ]]</f>
        <v>0.29801762114537445</v>
      </c>
    </row>
    <row r="1421" spans="1:15" x14ac:dyDescent="0.2">
      <c r="A1421">
        <v>1670</v>
      </c>
      <c r="B1421" t="s">
        <v>546</v>
      </c>
      <c r="C1421" t="s">
        <v>11</v>
      </c>
      <c r="D1421" s="48">
        <v>41274</v>
      </c>
      <c r="E1421" s="3">
        <v>1843641000</v>
      </c>
      <c r="F1421" s="3">
        <v>737614000</v>
      </c>
      <c r="G1421" s="3">
        <f>Project_Data_NYSE[[#This Row],[ Total Revenue ]]-Project_Data_NYSE[[#This Row],[ Cost of Goods Sold ]]</f>
        <v>1106027000</v>
      </c>
      <c r="H1421" s="3">
        <v>477270000</v>
      </c>
      <c r="I1421" s="3">
        <v>96004000</v>
      </c>
      <c r="J1421" s="3">
        <v>13829000</v>
      </c>
      <c r="K1421" s="3">
        <f>Project_Data_NYSE[[#This Row],[Gross Profit]]-Project_Data_NYSE[[#This Row],[ Sales, General and Admin. ]]-Project_Data_NYSE[[#This Row],[ Research and Development ]]-Project_Data_NYSE[[#This Row],[ Other Operating Items ]]</f>
        <v>518924000</v>
      </c>
      <c r="L1421" t="s">
        <v>24</v>
      </c>
      <c r="M1421" t="s">
        <v>27</v>
      </c>
      <c r="N1421" s="31">
        <f>Project_Data_NYSE[[#This Row],[Gross Profit]]/Project_Data_NYSE[[#This Row],[ Total Revenue ]]</f>
        <v>0.59991451698025811</v>
      </c>
      <c r="O1421" s="31">
        <f>Project_Data_NYSE[[#This Row],[Operating Profit]]/Project_Data_NYSE[[#This Row],[ Total Revenue ]]</f>
        <v>0.28146694502888575</v>
      </c>
    </row>
    <row r="1422" spans="1:15" x14ac:dyDescent="0.2">
      <c r="A1422">
        <v>1673</v>
      </c>
      <c r="B1422" t="s">
        <v>546</v>
      </c>
      <c r="C1422" t="s">
        <v>16</v>
      </c>
      <c r="D1422" s="48">
        <v>42369</v>
      </c>
      <c r="E1422" s="3">
        <v>2042332000</v>
      </c>
      <c r="F1422" s="3">
        <v>842672000</v>
      </c>
      <c r="G1422" s="3">
        <f>Project_Data_NYSE[[#This Row],[ Total Revenue ]]-Project_Data_NYSE[[#This Row],[ Cost of Goods Sold ]]</f>
        <v>1199660000</v>
      </c>
      <c r="H1422" s="3">
        <v>495747000</v>
      </c>
      <c r="I1422" s="3">
        <v>118545000</v>
      </c>
      <c r="J1422" s="3">
        <v>10123000</v>
      </c>
      <c r="K1422" s="3">
        <f>Project_Data_NYSE[[#This Row],[Gross Profit]]-Project_Data_NYSE[[#This Row],[ Sales, General and Admin. ]]-Project_Data_NYSE[[#This Row],[ Research and Development ]]-Project_Data_NYSE[[#This Row],[ Other Operating Items ]]</f>
        <v>575245000</v>
      </c>
      <c r="L1422" t="s">
        <v>24</v>
      </c>
      <c r="M1422" t="s">
        <v>27</v>
      </c>
      <c r="N1422" s="31">
        <f>Project_Data_NYSE[[#This Row],[Gross Profit]]/Project_Data_NYSE[[#This Row],[ Total Revenue ]]</f>
        <v>0.58739715188323938</v>
      </c>
      <c r="O1422" s="31">
        <f>Project_Data_NYSE[[#This Row],[Operating Profit]]/Project_Data_NYSE[[#This Row],[ Total Revenue ]]</f>
        <v>0.28166086610795893</v>
      </c>
    </row>
    <row r="1423" spans="1:15" x14ac:dyDescent="0.2">
      <c r="A1423">
        <v>837</v>
      </c>
      <c r="B1423" t="s">
        <v>316</v>
      </c>
      <c r="C1423" t="s">
        <v>15</v>
      </c>
      <c r="D1423" s="48">
        <v>42372</v>
      </c>
      <c r="E1423" s="3">
        <v>2219762000</v>
      </c>
      <c r="F1423" s="3">
        <v>670472000</v>
      </c>
      <c r="G1423" s="3">
        <f>Project_Data_NYSE[[#This Row],[ Total Revenue ]]-Project_Data_NYSE[[#This Row],[ Cost of Goods Sold ]]</f>
        <v>1549290000</v>
      </c>
      <c r="H1423" s="3">
        <v>522046000</v>
      </c>
      <c r="I1423" s="3">
        <v>401527000</v>
      </c>
      <c r="J1423" s="3">
        <v>0</v>
      </c>
      <c r="K1423" s="3">
        <f>Project_Data_NYSE[[#This Row],[Gross Profit]]-Project_Data_NYSE[[#This Row],[ Sales, General and Admin. ]]-Project_Data_NYSE[[#This Row],[ Research and Development ]]-Project_Data_NYSE[[#This Row],[ Other Operating Items ]]</f>
        <v>625717000</v>
      </c>
      <c r="L1423" t="s">
        <v>24</v>
      </c>
      <c r="M1423" t="s">
        <v>317</v>
      </c>
      <c r="N1423" s="31">
        <f>Project_Data_NYSE[[#This Row],[Gross Profit]]/Project_Data_NYSE[[#This Row],[ Total Revenue ]]</f>
        <v>0.69795320399213967</v>
      </c>
      <c r="O1423" s="31">
        <f>Project_Data_NYSE[[#This Row],[Operating Profit]]/Project_Data_NYSE[[#This Row],[ Total Revenue ]]</f>
        <v>0.28188472457858094</v>
      </c>
    </row>
    <row r="1424" spans="1:15" x14ac:dyDescent="0.2">
      <c r="A1424">
        <v>1245</v>
      </c>
      <c r="B1424" t="s">
        <v>434</v>
      </c>
      <c r="C1424" t="s">
        <v>14</v>
      </c>
      <c r="D1424" s="48">
        <v>41755</v>
      </c>
      <c r="E1424" s="3">
        <v>3585141000</v>
      </c>
      <c r="F1424" s="3">
        <v>2566444000</v>
      </c>
      <c r="G1424" s="3">
        <f>Project_Data_NYSE[[#This Row],[ Total Revenue ]]-Project_Data_NYSE[[#This Row],[ Cost of Goods Sold ]]</f>
        <v>1018697000</v>
      </c>
      <c r="H1424" s="3">
        <v>0</v>
      </c>
      <c r="I1424" s="3">
        <v>0</v>
      </c>
      <c r="J1424" s="3">
        <v>0</v>
      </c>
      <c r="K1424" s="3">
        <f>Project_Data_NYSE[[#This Row],[Gross Profit]]-Project_Data_NYSE[[#This Row],[ Sales, General and Admin. ]]-Project_Data_NYSE[[#This Row],[ Research and Development ]]-Project_Data_NYSE[[#This Row],[ Other Operating Items ]]</f>
        <v>1018697000</v>
      </c>
      <c r="L1424" t="s">
        <v>24</v>
      </c>
      <c r="M1424" t="s">
        <v>165</v>
      </c>
      <c r="N1424" s="31">
        <f>Project_Data_NYSE[[#This Row],[Gross Profit]]/Project_Data_NYSE[[#This Row],[ Total Revenue ]]</f>
        <v>0.28414419404982955</v>
      </c>
      <c r="O1424" s="31">
        <f>Project_Data_NYSE[[#This Row],[Operating Profit]]/Project_Data_NYSE[[#This Row],[ Total Revenue ]]</f>
        <v>0.28414419404982955</v>
      </c>
    </row>
    <row r="1425" spans="1:15" x14ac:dyDescent="0.2">
      <c r="A1425">
        <v>1486</v>
      </c>
      <c r="B1425" t="s">
        <v>496</v>
      </c>
      <c r="C1425" t="s">
        <v>11</v>
      </c>
      <c r="D1425" s="48">
        <v>41362</v>
      </c>
      <c r="E1425" s="3">
        <v>6906000000</v>
      </c>
      <c r="F1425" s="3">
        <v>1175000000</v>
      </c>
      <c r="G1425" s="3">
        <f>Project_Data_NYSE[[#This Row],[ Total Revenue ]]-Project_Data_NYSE[[#This Row],[ Cost of Goods Sold ]]</f>
        <v>5731000000</v>
      </c>
      <c r="H1425" s="3">
        <v>3236000000</v>
      </c>
      <c r="I1425" s="3">
        <v>1026000000</v>
      </c>
      <c r="J1425" s="3">
        <v>286000000</v>
      </c>
      <c r="K1425" s="3">
        <f>Project_Data_NYSE[[#This Row],[Gross Profit]]-Project_Data_NYSE[[#This Row],[ Sales, General and Admin. ]]-Project_Data_NYSE[[#This Row],[ Research and Development ]]-Project_Data_NYSE[[#This Row],[ Other Operating Items ]]</f>
        <v>1183000000</v>
      </c>
      <c r="L1425" t="s">
        <v>21</v>
      </c>
      <c r="M1425" t="s">
        <v>31</v>
      </c>
      <c r="N1425" s="31">
        <f>Project_Data_NYSE[[#This Row],[Gross Profit]]/Project_Data_NYSE[[#This Row],[ Total Revenue ]]</f>
        <v>0.82985809441065739</v>
      </c>
      <c r="O1425" s="31">
        <f>Project_Data_NYSE[[#This Row],[Operating Profit]]/Project_Data_NYSE[[#This Row],[ Total Revenue ]]</f>
        <v>0.17130031856356792</v>
      </c>
    </row>
    <row r="1426" spans="1:15" x14ac:dyDescent="0.2">
      <c r="A1426">
        <v>1487</v>
      </c>
      <c r="B1426" t="s">
        <v>496</v>
      </c>
      <c r="C1426" t="s">
        <v>14</v>
      </c>
      <c r="D1426" s="48">
        <v>41726</v>
      </c>
      <c r="E1426" s="3">
        <v>4183000000</v>
      </c>
      <c r="F1426" s="3">
        <v>791000000</v>
      </c>
      <c r="G1426" s="3">
        <f>Project_Data_NYSE[[#This Row],[ Total Revenue ]]-Project_Data_NYSE[[#This Row],[ Cost of Goods Sold ]]</f>
        <v>3392000000</v>
      </c>
      <c r="H1426" s="3">
        <v>2186000000</v>
      </c>
      <c r="I1426" s="3">
        <v>722000000</v>
      </c>
      <c r="J1426" s="3">
        <v>93000000</v>
      </c>
      <c r="K1426" s="3">
        <f>Project_Data_NYSE[[#This Row],[Gross Profit]]-Project_Data_NYSE[[#This Row],[ Sales, General and Admin. ]]-Project_Data_NYSE[[#This Row],[ Research and Development ]]-Project_Data_NYSE[[#This Row],[ Other Operating Items ]]</f>
        <v>391000000</v>
      </c>
      <c r="L1426" t="s">
        <v>21</v>
      </c>
      <c r="M1426" t="s">
        <v>31</v>
      </c>
      <c r="N1426" s="31">
        <f>Project_Data_NYSE[[#This Row],[Gross Profit]]/Project_Data_NYSE[[#This Row],[ Total Revenue ]]</f>
        <v>0.81090126703322973</v>
      </c>
      <c r="O1426" s="31">
        <f>Project_Data_NYSE[[#This Row],[Operating Profit]]/Project_Data_NYSE[[#This Row],[ Total Revenue ]]</f>
        <v>9.3473583552474301E-2</v>
      </c>
    </row>
    <row r="1427" spans="1:15" x14ac:dyDescent="0.2">
      <c r="A1427">
        <v>1488</v>
      </c>
      <c r="B1427" t="s">
        <v>496</v>
      </c>
      <c r="C1427" t="s">
        <v>15</v>
      </c>
      <c r="D1427" s="48">
        <v>42097</v>
      </c>
      <c r="E1427" s="3">
        <v>3956000000</v>
      </c>
      <c r="F1427" s="3">
        <v>727000000</v>
      </c>
      <c r="G1427" s="3">
        <f>Project_Data_NYSE[[#This Row],[ Total Revenue ]]-Project_Data_NYSE[[#This Row],[ Cost of Goods Sold ]]</f>
        <v>3229000000</v>
      </c>
      <c r="H1427" s="3">
        <v>2012000000</v>
      </c>
      <c r="I1427" s="3">
        <v>812000000</v>
      </c>
      <c r="J1427" s="3">
        <v>87000000</v>
      </c>
      <c r="K1427" s="3">
        <f>Project_Data_NYSE[[#This Row],[Gross Profit]]-Project_Data_NYSE[[#This Row],[ Sales, General and Admin. ]]-Project_Data_NYSE[[#This Row],[ Research and Development ]]-Project_Data_NYSE[[#This Row],[ Other Operating Items ]]</f>
        <v>318000000</v>
      </c>
      <c r="L1427" t="s">
        <v>21</v>
      </c>
      <c r="M1427" t="s">
        <v>31</v>
      </c>
      <c r="N1427" s="31">
        <f>Project_Data_NYSE[[#This Row],[Gross Profit]]/Project_Data_NYSE[[#This Row],[ Total Revenue ]]</f>
        <v>0.8162285136501517</v>
      </c>
      <c r="O1427" s="31">
        <f>Project_Data_NYSE[[#This Row],[Operating Profit]]/Project_Data_NYSE[[#This Row],[ Total Revenue ]]</f>
        <v>8.0384226491405461E-2</v>
      </c>
    </row>
    <row r="1428" spans="1:15" x14ac:dyDescent="0.2">
      <c r="A1428">
        <v>1489</v>
      </c>
      <c r="B1428" t="s">
        <v>496</v>
      </c>
      <c r="C1428" t="s">
        <v>16</v>
      </c>
      <c r="D1428" s="48">
        <v>42461</v>
      </c>
      <c r="E1428" s="3">
        <v>3600000000</v>
      </c>
      <c r="F1428" s="3">
        <v>615000000</v>
      </c>
      <c r="G1428" s="3">
        <f>Project_Data_NYSE[[#This Row],[ Total Revenue ]]-Project_Data_NYSE[[#This Row],[ Cost of Goods Sold ]]</f>
        <v>2985000000</v>
      </c>
      <c r="H1428" s="3">
        <v>1587000000</v>
      </c>
      <c r="I1428" s="3">
        <v>748000000</v>
      </c>
      <c r="J1428" s="3">
        <v>57000000</v>
      </c>
      <c r="K1428" s="3">
        <f>Project_Data_NYSE[[#This Row],[Gross Profit]]-Project_Data_NYSE[[#This Row],[ Sales, General and Admin. ]]-Project_Data_NYSE[[#This Row],[ Research and Development ]]-Project_Data_NYSE[[#This Row],[ Other Operating Items ]]</f>
        <v>593000000</v>
      </c>
      <c r="L1428" t="s">
        <v>21</v>
      </c>
      <c r="M1428" t="s">
        <v>31</v>
      </c>
      <c r="N1428" s="31">
        <f>Project_Data_NYSE[[#This Row],[Gross Profit]]/Project_Data_NYSE[[#This Row],[ Total Revenue ]]</f>
        <v>0.82916666666666672</v>
      </c>
      <c r="O1428" s="31">
        <f>Project_Data_NYSE[[#This Row],[Operating Profit]]/Project_Data_NYSE[[#This Row],[ Total Revenue ]]</f>
        <v>0.16472222222222221</v>
      </c>
    </row>
    <row r="1429" spans="1:15" x14ac:dyDescent="0.2">
      <c r="A1429">
        <v>1490</v>
      </c>
      <c r="B1429" t="s">
        <v>497</v>
      </c>
      <c r="C1429" t="s">
        <v>11</v>
      </c>
      <c r="D1429" s="48">
        <v>41454</v>
      </c>
      <c r="E1429" s="3">
        <v>44411233000</v>
      </c>
      <c r="F1429" s="3">
        <v>36414626000</v>
      </c>
      <c r="G1429" s="3">
        <f>Project_Data_NYSE[[#This Row],[ Total Revenue ]]-Project_Data_NYSE[[#This Row],[ Cost of Goods Sold ]]</f>
        <v>7996607000</v>
      </c>
      <c r="H1429" s="3">
        <v>6338129000</v>
      </c>
      <c r="I1429" s="3">
        <v>0</v>
      </c>
      <c r="J1429" s="3">
        <v>0</v>
      </c>
      <c r="K1429" s="3">
        <f>Project_Data_NYSE[[#This Row],[Gross Profit]]-Project_Data_NYSE[[#This Row],[ Sales, General and Admin. ]]-Project_Data_NYSE[[#This Row],[ Research and Development ]]-Project_Data_NYSE[[#This Row],[ Other Operating Items ]]</f>
        <v>1658478000</v>
      </c>
      <c r="L1429" t="s">
        <v>35</v>
      </c>
      <c r="M1429" t="s">
        <v>498</v>
      </c>
      <c r="N1429" s="31">
        <f>Project_Data_NYSE[[#This Row],[Gross Profit]]/Project_Data_NYSE[[#This Row],[ Total Revenue ]]</f>
        <v>0.18005820734587577</v>
      </c>
      <c r="O1429" s="31">
        <f>Project_Data_NYSE[[#This Row],[Operating Profit]]/Project_Data_NYSE[[#This Row],[ Total Revenue ]]</f>
        <v>3.7343660330259237E-2</v>
      </c>
    </row>
    <row r="1430" spans="1:15" x14ac:dyDescent="0.2">
      <c r="A1430">
        <v>1491</v>
      </c>
      <c r="B1430" t="s">
        <v>497</v>
      </c>
      <c r="C1430" t="s">
        <v>14</v>
      </c>
      <c r="D1430" s="48">
        <v>41818</v>
      </c>
      <c r="E1430" s="3">
        <v>46516712000</v>
      </c>
      <c r="F1430" s="3">
        <v>38335677000</v>
      </c>
      <c r="G1430" s="3">
        <f>Project_Data_NYSE[[#This Row],[ Total Revenue ]]-Project_Data_NYSE[[#This Row],[ Cost of Goods Sold ]]</f>
        <v>8181035000</v>
      </c>
      <c r="H1430" s="3">
        <v>0</v>
      </c>
      <c r="I1430" s="3">
        <v>0</v>
      </c>
      <c r="J1430" s="3">
        <v>0</v>
      </c>
      <c r="K1430" s="3">
        <f>Project_Data_NYSE[[#This Row],[Gross Profit]]-Project_Data_NYSE[[#This Row],[ Sales, General and Admin. ]]-Project_Data_NYSE[[#This Row],[ Research and Development ]]-Project_Data_NYSE[[#This Row],[ Other Operating Items ]]</f>
        <v>8181035000</v>
      </c>
      <c r="L1430" t="s">
        <v>35</v>
      </c>
      <c r="M1430" t="s">
        <v>498</v>
      </c>
      <c r="N1430" s="31">
        <f>Project_Data_NYSE[[#This Row],[Gross Profit]]/Project_Data_NYSE[[#This Row],[ Total Revenue ]]</f>
        <v>0.17587302817103667</v>
      </c>
      <c r="O1430" s="31">
        <f>Project_Data_NYSE[[#This Row],[Operating Profit]]/Project_Data_NYSE[[#This Row],[ Total Revenue ]]</f>
        <v>0.17587302817103667</v>
      </c>
    </row>
    <row r="1431" spans="1:15" x14ac:dyDescent="0.2">
      <c r="A1431">
        <v>1492</v>
      </c>
      <c r="B1431" t="s">
        <v>497</v>
      </c>
      <c r="C1431" t="s">
        <v>15</v>
      </c>
      <c r="D1431" s="48">
        <v>42182</v>
      </c>
      <c r="E1431" s="3">
        <v>48680752000</v>
      </c>
      <c r="F1431" s="3">
        <v>40129236000</v>
      </c>
      <c r="G1431" s="3">
        <f>Project_Data_NYSE[[#This Row],[ Total Revenue ]]-Project_Data_NYSE[[#This Row],[ Cost of Goods Sold ]]</f>
        <v>8551516000</v>
      </c>
      <c r="H1431" s="3">
        <v>0</v>
      </c>
      <c r="I1431" s="3">
        <v>0</v>
      </c>
      <c r="J1431" s="3">
        <v>0</v>
      </c>
      <c r="K1431" s="3">
        <f>Project_Data_NYSE[[#This Row],[Gross Profit]]-Project_Data_NYSE[[#This Row],[ Sales, General and Admin. ]]-Project_Data_NYSE[[#This Row],[ Research and Development ]]-Project_Data_NYSE[[#This Row],[ Other Operating Items ]]</f>
        <v>8551516000</v>
      </c>
      <c r="L1431" t="s">
        <v>35</v>
      </c>
      <c r="M1431" t="s">
        <v>498</v>
      </c>
      <c r="N1431" s="31">
        <f>Project_Data_NYSE[[#This Row],[Gross Profit]]/Project_Data_NYSE[[#This Row],[ Total Revenue ]]</f>
        <v>0.17566524033975481</v>
      </c>
      <c r="O1431" s="31">
        <f>Project_Data_NYSE[[#This Row],[Operating Profit]]/Project_Data_NYSE[[#This Row],[ Total Revenue ]]</f>
        <v>0.17566524033975481</v>
      </c>
    </row>
    <row r="1432" spans="1:15" x14ac:dyDescent="0.2">
      <c r="A1432">
        <v>1493</v>
      </c>
      <c r="B1432" t="s">
        <v>497</v>
      </c>
      <c r="C1432" t="s">
        <v>16</v>
      </c>
      <c r="D1432" s="48">
        <v>42553</v>
      </c>
      <c r="E1432" s="3">
        <v>50366919000</v>
      </c>
      <c r="F1432" s="3">
        <v>41326447000</v>
      </c>
      <c r="G1432" s="3">
        <f>Project_Data_NYSE[[#This Row],[ Total Revenue ]]-Project_Data_NYSE[[#This Row],[ Cost of Goods Sold ]]</f>
        <v>9040472000</v>
      </c>
      <c r="H1432" s="3">
        <v>0</v>
      </c>
      <c r="I1432" s="3">
        <v>0</v>
      </c>
      <c r="J1432" s="3">
        <v>0</v>
      </c>
      <c r="K1432" s="3">
        <f>Project_Data_NYSE[[#This Row],[Gross Profit]]-Project_Data_NYSE[[#This Row],[ Sales, General and Admin. ]]-Project_Data_NYSE[[#This Row],[ Research and Development ]]-Project_Data_NYSE[[#This Row],[ Other Operating Items ]]</f>
        <v>9040472000</v>
      </c>
      <c r="L1432" t="s">
        <v>35</v>
      </c>
      <c r="M1432" t="s">
        <v>498</v>
      </c>
      <c r="N1432" s="31">
        <f>Project_Data_NYSE[[#This Row],[Gross Profit]]/Project_Data_NYSE[[#This Row],[ Total Revenue ]]</f>
        <v>0.17949225760662471</v>
      </c>
      <c r="O1432" s="31">
        <f>Project_Data_NYSE[[#This Row],[Operating Profit]]/Project_Data_NYSE[[#This Row],[ Total Revenue ]]</f>
        <v>0.17949225760662471</v>
      </c>
    </row>
    <row r="1433" spans="1:15" x14ac:dyDescent="0.2">
      <c r="A1433">
        <v>1494</v>
      </c>
      <c r="B1433" t="s">
        <v>499</v>
      </c>
      <c r="C1433" t="s">
        <v>11</v>
      </c>
      <c r="D1433" s="48">
        <v>41274</v>
      </c>
      <c r="E1433" s="3">
        <v>127434000000</v>
      </c>
      <c r="F1433" s="3">
        <v>55228000000</v>
      </c>
      <c r="G1433" s="3">
        <f>Project_Data_NYSE[[#This Row],[ Total Revenue ]]-Project_Data_NYSE[[#This Row],[ Cost of Goods Sold ]]</f>
        <v>72206000000</v>
      </c>
      <c r="H1433" s="3">
        <v>41066000000</v>
      </c>
      <c r="I1433" s="3">
        <v>0</v>
      </c>
      <c r="J1433" s="3">
        <v>18143000000</v>
      </c>
      <c r="K1433" s="3">
        <f>Project_Data_NYSE[[#This Row],[Gross Profit]]-Project_Data_NYSE[[#This Row],[ Sales, General and Admin. ]]-Project_Data_NYSE[[#This Row],[ Research and Development ]]-Project_Data_NYSE[[#This Row],[ Other Operating Items ]]</f>
        <v>12997000000</v>
      </c>
      <c r="L1433" t="s">
        <v>181</v>
      </c>
      <c r="M1433" t="s">
        <v>182</v>
      </c>
      <c r="N1433" s="31">
        <f>Project_Data_NYSE[[#This Row],[Gross Profit]]/Project_Data_NYSE[[#This Row],[ Total Revenue ]]</f>
        <v>0.56661487515105857</v>
      </c>
      <c r="O1433" s="31">
        <f>Project_Data_NYSE[[#This Row],[Operating Profit]]/Project_Data_NYSE[[#This Row],[ Total Revenue ]]</f>
        <v>0.10199004975124377</v>
      </c>
    </row>
    <row r="1434" spans="1:15" x14ac:dyDescent="0.2">
      <c r="A1434">
        <v>1495</v>
      </c>
      <c r="B1434" t="s">
        <v>499</v>
      </c>
      <c r="C1434" t="s">
        <v>14</v>
      </c>
      <c r="D1434" s="48">
        <v>41639</v>
      </c>
      <c r="E1434" s="3">
        <v>128752000000</v>
      </c>
      <c r="F1434" s="3">
        <v>51191000000</v>
      </c>
      <c r="G1434" s="3">
        <f>Project_Data_NYSE[[#This Row],[ Total Revenue ]]-Project_Data_NYSE[[#This Row],[ Cost of Goods Sold ]]</f>
        <v>77561000000</v>
      </c>
      <c r="H1434" s="3">
        <v>28414000000</v>
      </c>
      <c r="I1434" s="3">
        <v>0</v>
      </c>
      <c r="J1434" s="3">
        <v>18395000000</v>
      </c>
      <c r="K1434" s="3">
        <f>Project_Data_NYSE[[#This Row],[Gross Profit]]-Project_Data_NYSE[[#This Row],[ Sales, General and Admin. ]]-Project_Data_NYSE[[#This Row],[ Research and Development ]]-Project_Data_NYSE[[#This Row],[ Other Operating Items ]]</f>
        <v>30752000000</v>
      </c>
      <c r="L1434" t="s">
        <v>181</v>
      </c>
      <c r="M1434" t="s">
        <v>182</v>
      </c>
      <c r="N1434" s="31">
        <f>Project_Data_NYSE[[#This Row],[Gross Profit]]/Project_Data_NYSE[[#This Row],[ Total Revenue ]]</f>
        <v>0.60240617621473846</v>
      </c>
      <c r="O1434" s="31">
        <f>Project_Data_NYSE[[#This Row],[Operating Profit]]/Project_Data_NYSE[[#This Row],[ Total Revenue ]]</f>
        <v>0.23884677519572511</v>
      </c>
    </row>
    <row r="1435" spans="1:15" x14ac:dyDescent="0.2">
      <c r="A1435">
        <v>1496</v>
      </c>
      <c r="B1435" t="s">
        <v>499</v>
      </c>
      <c r="C1435" t="s">
        <v>15</v>
      </c>
      <c r="D1435" s="48">
        <v>42004</v>
      </c>
      <c r="E1435" s="3">
        <v>132447000000</v>
      </c>
      <c r="F1435" s="3">
        <v>60145000000</v>
      </c>
      <c r="G1435" s="3">
        <f>Project_Data_NYSE[[#This Row],[ Total Revenue ]]-Project_Data_NYSE[[#This Row],[ Cost of Goods Sold ]]</f>
        <v>72302000000</v>
      </c>
      <c r="H1435" s="3">
        <v>41817000000</v>
      </c>
      <c r="I1435" s="3">
        <v>0</v>
      </c>
      <c r="J1435" s="3">
        <v>18273000000</v>
      </c>
      <c r="K1435" s="3">
        <f>Project_Data_NYSE[[#This Row],[Gross Profit]]-Project_Data_NYSE[[#This Row],[ Sales, General and Admin. ]]-Project_Data_NYSE[[#This Row],[ Research and Development ]]-Project_Data_NYSE[[#This Row],[ Other Operating Items ]]</f>
        <v>12212000000</v>
      </c>
      <c r="L1435" t="s">
        <v>181</v>
      </c>
      <c r="M1435" t="s">
        <v>182</v>
      </c>
      <c r="N1435" s="31">
        <f>Project_Data_NYSE[[#This Row],[Gross Profit]]/Project_Data_NYSE[[#This Row],[ Total Revenue ]]</f>
        <v>0.54589382922980512</v>
      </c>
      <c r="O1435" s="31">
        <f>Project_Data_NYSE[[#This Row],[Operating Profit]]/Project_Data_NYSE[[#This Row],[ Total Revenue ]]</f>
        <v>9.2202918903410425E-2</v>
      </c>
    </row>
    <row r="1436" spans="1:15" x14ac:dyDescent="0.2">
      <c r="A1436">
        <v>1497</v>
      </c>
      <c r="B1436" t="s">
        <v>499</v>
      </c>
      <c r="C1436" t="s">
        <v>16</v>
      </c>
      <c r="D1436" s="48">
        <v>42369</v>
      </c>
      <c r="E1436" s="3">
        <v>146801000000</v>
      </c>
      <c r="F1436" s="3">
        <v>67046000000</v>
      </c>
      <c r="G1436" s="3">
        <f>Project_Data_NYSE[[#This Row],[ Total Revenue ]]-Project_Data_NYSE[[#This Row],[ Cost of Goods Sold ]]</f>
        <v>79755000000</v>
      </c>
      <c r="H1436" s="3">
        <v>32954000000</v>
      </c>
      <c r="I1436" s="3">
        <v>0</v>
      </c>
      <c r="J1436" s="3">
        <v>22016000000</v>
      </c>
      <c r="K1436" s="3">
        <f>Project_Data_NYSE[[#This Row],[Gross Profit]]-Project_Data_NYSE[[#This Row],[ Sales, General and Admin. ]]-Project_Data_NYSE[[#This Row],[ Research and Development ]]-Project_Data_NYSE[[#This Row],[ Other Operating Items ]]</f>
        <v>24785000000</v>
      </c>
      <c r="L1436" t="s">
        <v>181</v>
      </c>
      <c r="M1436" t="s">
        <v>182</v>
      </c>
      <c r="N1436" s="31">
        <f>Project_Data_NYSE[[#This Row],[Gross Profit]]/Project_Data_NYSE[[#This Row],[ Total Revenue ]]</f>
        <v>0.54328648987404715</v>
      </c>
      <c r="O1436" s="31">
        <f>Project_Data_NYSE[[#This Row],[Operating Profit]]/Project_Data_NYSE[[#This Row],[ Total Revenue ]]</f>
        <v>0.16883399976839394</v>
      </c>
    </row>
    <row r="1437" spans="1:15" x14ac:dyDescent="0.2">
      <c r="A1437">
        <v>1498</v>
      </c>
      <c r="B1437" t="s">
        <v>500</v>
      </c>
      <c r="C1437" t="s">
        <v>11</v>
      </c>
      <c r="D1437" s="48">
        <v>41639</v>
      </c>
      <c r="E1437" s="3">
        <v>4206100000</v>
      </c>
      <c r="F1437" s="3">
        <v>2545600000</v>
      </c>
      <c r="G1437" s="3">
        <f>Project_Data_NYSE[[#This Row],[ Total Revenue ]]-Project_Data_NYSE[[#This Row],[ Cost of Goods Sold ]]</f>
        <v>1660500000</v>
      </c>
      <c r="H1437" s="3">
        <v>1193800000</v>
      </c>
      <c r="I1437" s="3">
        <v>0</v>
      </c>
      <c r="J1437" s="3">
        <v>0</v>
      </c>
      <c r="K1437" s="3">
        <f>Project_Data_NYSE[[#This Row],[Gross Profit]]-Project_Data_NYSE[[#This Row],[ Sales, General and Admin. ]]-Project_Data_NYSE[[#This Row],[ Research and Development ]]-Project_Data_NYSE[[#This Row],[ Other Operating Items ]]</f>
        <v>466700000</v>
      </c>
      <c r="L1437" t="s">
        <v>35</v>
      </c>
      <c r="M1437" t="s">
        <v>501</v>
      </c>
      <c r="N1437" s="31">
        <f>Project_Data_NYSE[[#This Row],[Gross Profit]]/Project_Data_NYSE[[#This Row],[ Total Revenue ]]</f>
        <v>0.39478376643446422</v>
      </c>
      <c r="O1437" s="31">
        <f>Project_Data_NYSE[[#This Row],[Operating Profit]]/Project_Data_NYSE[[#This Row],[ Total Revenue ]]</f>
        <v>0.11095789448657901</v>
      </c>
    </row>
    <row r="1438" spans="1:15" x14ac:dyDescent="0.2">
      <c r="A1438">
        <v>1499</v>
      </c>
      <c r="B1438" t="s">
        <v>500</v>
      </c>
      <c r="C1438" t="s">
        <v>14</v>
      </c>
      <c r="D1438" s="48">
        <v>42004</v>
      </c>
      <c r="E1438" s="3">
        <v>4146300000</v>
      </c>
      <c r="F1438" s="3">
        <v>2493300000</v>
      </c>
      <c r="G1438" s="3">
        <f>Project_Data_NYSE[[#This Row],[ Total Revenue ]]-Project_Data_NYSE[[#This Row],[ Cost of Goods Sold ]]</f>
        <v>1653000000</v>
      </c>
      <c r="H1438" s="3">
        <v>1163900000</v>
      </c>
      <c r="I1438" s="3">
        <v>0</v>
      </c>
      <c r="J1438" s="3">
        <v>0</v>
      </c>
      <c r="K1438" s="3">
        <f>Project_Data_NYSE[[#This Row],[Gross Profit]]-Project_Data_NYSE[[#This Row],[ Sales, General and Admin. ]]-Project_Data_NYSE[[#This Row],[ Research and Development ]]-Project_Data_NYSE[[#This Row],[ Other Operating Items ]]</f>
        <v>489100000</v>
      </c>
      <c r="L1438" t="s">
        <v>35</v>
      </c>
      <c r="M1438" t="s">
        <v>501</v>
      </c>
      <c r="N1438" s="31">
        <f>Project_Data_NYSE[[#This Row],[Gross Profit]]/Project_Data_NYSE[[#This Row],[ Total Revenue ]]</f>
        <v>0.39866869256927862</v>
      </c>
      <c r="O1438" s="31">
        <f>Project_Data_NYSE[[#This Row],[Operating Profit]]/Project_Data_NYSE[[#This Row],[ Total Revenue ]]</f>
        <v>0.11796059137061959</v>
      </c>
    </row>
    <row r="1439" spans="1:15" x14ac:dyDescent="0.2">
      <c r="A1439">
        <v>1500</v>
      </c>
      <c r="B1439" t="s">
        <v>500</v>
      </c>
      <c r="C1439" t="s">
        <v>15</v>
      </c>
      <c r="D1439" s="48">
        <v>42369</v>
      </c>
      <c r="E1439" s="3">
        <v>3567500000</v>
      </c>
      <c r="F1439" s="3">
        <v>2163500000</v>
      </c>
      <c r="G1439" s="3">
        <f>Project_Data_NYSE[[#This Row],[ Total Revenue ]]-Project_Data_NYSE[[#This Row],[ Cost of Goods Sold ]]</f>
        <v>1404000000</v>
      </c>
      <c r="H1439" s="3">
        <v>1051800000</v>
      </c>
      <c r="I1439" s="3">
        <v>0</v>
      </c>
      <c r="J1439" s="3">
        <v>0</v>
      </c>
      <c r="K1439" s="3">
        <f>Project_Data_NYSE[[#This Row],[Gross Profit]]-Project_Data_NYSE[[#This Row],[ Sales, General and Admin. ]]-Project_Data_NYSE[[#This Row],[ Research and Development ]]-Project_Data_NYSE[[#This Row],[ Other Operating Items ]]</f>
        <v>352200000</v>
      </c>
      <c r="L1439" t="s">
        <v>35</v>
      </c>
      <c r="M1439" t="s">
        <v>501</v>
      </c>
      <c r="N1439" s="31">
        <f>Project_Data_NYSE[[#This Row],[Gross Profit]]/Project_Data_NYSE[[#This Row],[ Total Revenue ]]</f>
        <v>0.39355290819901895</v>
      </c>
      <c r="O1439" s="31">
        <f>Project_Data_NYSE[[#This Row],[Operating Profit]]/Project_Data_NYSE[[#This Row],[ Total Revenue ]]</f>
        <v>9.8724597056762439E-2</v>
      </c>
    </row>
    <row r="1440" spans="1:15" x14ac:dyDescent="0.2">
      <c r="A1440">
        <v>1501</v>
      </c>
      <c r="B1440" t="s">
        <v>500</v>
      </c>
      <c r="C1440" t="s">
        <v>16</v>
      </c>
      <c r="D1440" s="48">
        <v>42735</v>
      </c>
      <c r="E1440" s="3">
        <v>4885000000</v>
      </c>
      <c r="F1440" s="3">
        <v>3003100000</v>
      </c>
      <c r="G1440" s="3">
        <f>Project_Data_NYSE[[#This Row],[ Total Revenue ]]-Project_Data_NYSE[[#This Row],[ Cost of Goods Sold ]]</f>
        <v>1881900000</v>
      </c>
      <c r="H1440" s="3">
        <v>1597300000</v>
      </c>
      <c r="I1440" s="3">
        <v>0</v>
      </c>
      <c r="J1440" s="3">
        <v>0</v>
      </c>
      <c r="K1440" s="3">
        <f>Project_Data_NYSE[[#This Row],[Gross Profit]]-Project_Data_NYSE[[#This Row],[ Sales, General and Admin. ]]-Project_Data_NYSE[[#This Row],[ Research and Development ]]-Project_Data_NYSE[[#This Row],[ Other Operating Items ]]</f>
        <v>284600000</v>
      </c>
      <c r="L1440" t="s">
        <v>35</v>
      </c>
      <c r="M1440" t="s">
        <v>501</v>
      </c>
      <c r="N1440" s="31">
        <f>Project_Data_NYSE[[#This Row],[Gross Profit]]/Project_Data_NYSE[[#This Row],[ Total Revenue ]]</f>
        <v>0.3852405322415558</v>
      </c>
      <c r="O1440" s="31">
        <f>Project_Data_NYSE[[#This Row],[Operating Profit]]/Project_Data_NYSE[[#This Row],[ Total Revenue ]]</f>
        <v>5.8259979529170933E-2</v>
      </c>
    </row>
    <row r="1441" spans="1:15" x14ac:dyDescent="0.2">
      <c r="A1441">
        <v>1502</v>
      </c>
      <c r="B1441" t="s">
        <v>502</v>
      </c>
      <c r="C1441" t="s">
        <v>11</v>
      </c>
      <c r="D1441" s="48">
        <v>41274</v>
      </c>
      <c r="E1441" s="3">
        <v>2665000000</v>
      </c>
      <c r="F1441" s="3">
        <v>1174000000</v>
      </c>
      <c r="G1441" s="3">
        <f>Project_Data_NYSE[[#This Row],[ Total Revenue ]]-Project_Data_NYSE[[#This Row],[ Cost of Goods Sold ]]</f>
        <v>1491000000</v>
      </c>
      <c r="H1441" s="3">
        <v>728000000</v>
      </c>
      <c r="I1441" s="3">
        <v>183000000</v>
      </c>
      <c r="J1441" s="3">
        <v>0</v>
      </c>
      <c r="K1441" s="3">
        <f>Project_Data_NYSE[[#This Row],[Gross Profit]]-Project_Data_NYSE[[#This Row],[ Sales, General and Admin. ]]-Project_Data_NYSE[[#This Row],[ Research and Development ]]-Project_Data_NYSE[[#This Row],[ Other Operating Items ]]</f>
        <v>580000000</v>
      </c>
      <c r="L1441" t="s">
        <v>21</v>
      </c>
      <c r="M1441" t="s">
        <v>31</v>
      </c>
      <c r="N1441" s="31">
        <f>Project_Data_NYSE[[#This Row],[Gross Profit]]/Project_Data_NYSE[[#This Row],[ Total Revenue ]]</f>
        <v>0.55947467166979359</v>
      </c>
      <c r="O1441" s="31">
        <f>Project_Data_NYSE[[#This Row],[Operating Profit]]/Project_Data_NYSE[[#This Row],[ Total Revenue ]]</f>
        <v>0.2176360225140713</v>
      </c>
    </row>
    <row r="1442" spans="1:15" x14ac:dyDescent="0.2">
      <c r="A1442">
        <v>1503</v>
      </c>
      <c r="B1442" t="s">
        <v>502</v>
      </c>
      <c r="C1442" t="s">
        <v>14</v>
      </c>
      <c r="D1442" s="48">
        <v>41639</v>
      </c>
      <c r="E1442" s="3">
        <v>2692000000</v>
      </c>
      <c r="F1442" s="3">
        <v>1219000000</v>
      </c>
      <c r="G1442" s="3">
        <f>Project_Data_NYSE[[#This Row],[ Total Revenue ]]-Project_Data_NYSE[[#This Row],[ Cost of Goods Sold ]]</f>
        <v>1473000000</v>
      </c>
      <c r="H1442" s="3">
        <v>757000000</v>
      </c>
      <c r="I1442" s="3">
        <v>184000000</v>
      </c>
      <c r="J1442" s="3">
        <v>0</v>
      </c>
      <c r="K1442" s="3">
        <f>Project_Data_NYSE[[#This Row],[Gross Profit]]-Project_Data_NYSE[[#This Row],[ Sales, General and Admin. ]]-Project_Data_NYSE[[#This Row],[ Research and Development ]]-Project_Data_NYSE[[#This Row],[ Other Operating Items ]]</f>
        <v>532000000</v>
      </c>
      <c r="L1442" t="s">
        <v>21</v>
      </c>
      <c r="M1442" t="s">
        <v>31</v>
      </c>
      <c r="N1442" s="31">
        <f>Project_Data_NYSE[[#This Row],[Gross Profit]]/Project_Data_NYSE[[#This Row],[ Total Revenue ]]</f>
        <v>0.54717682020802383</v>
      </c>
      <c r="O1442" s="31">
        <f>Project_Data_NYSE[[#This Row],[Operating Profit]]/Project_Data_NYSE[[#This Row],[ Total Revenue ]]</f>
        <v>0.1976225854383358</v>
      </c>
    </row>
    <row r="1443" spans="1:15" x14ac:dyDescent="0.2">
      <c r="A1443">
        <v>1504</v>
      </c>
      <c r="B1443" t="s">
        <v>502</v>
      </c>
      <c r="C1443" t="s">
        <v>15</v>
      </c>
      <c r="D1443" s="48">
        <v>42004</v>
      </c>
      <c r="E1443" s="3">
        <v>2732000000</v>
      </c>
      <c r="F1443" s="3">
        <v>1253000000</v>
      </c>
      <c r="G1443" s="3">
        <f>Project_Data_NYSE[[#This Row],[ Total Revenue ]]-Project_Data_NYSE[[#This Row],[ Cost of Goods Sold ]]</f>
        <v>1479000000</v>
      </c>
      <c r="H1443" s="3">
        <v>770000000</v>
      </c>
      <c r="I1443" s="3">
        <v>206000000</v>
      </c>
      <c r="J1443" s="3">
        <v>0</v>
      </c>
      <c r="K1443" s="3">
        <f>Project_Data_NYSE[[#This Row],[Gross Profit]]-Project_Data_NYSE[[#This Row],[ Sales, General and Admin. ]]-Project_Data_NYSE[[#This Row],[ Research and Development ]]-Project_Data_NYSE[[#This Row],[ Other Operating Items ]]</f>
        <v>503000000</v>
      </c>
      <c r="L1443" t="s">
        <v>21</v>
      </c>
      <c r="M1443" t="s">
        <v>31</v>
      </c>
      <c r="N1443" s="31">
        <f>Project_Data_NYSE[[#This Row],[Gross Profit]]/Project_Data_NYSE[[#This Row],[ Total Revenue ]]</f>
        <v>0.54136163982430452</v>
      </c>
      <c r="O1443" s="31">
        <f>Project_Data_NYSE[[#This Row],[Operating Profit]]/Project_Data_NYSE[[#This Row],[ Total Revenue ]]</f>
        <v>0.18411420204978038</v>
      </c>
    </row>
    <row r="1444" spans="1:15" x14ac:dyDescent="0.2">
      <c r="A1444">
        <v>1505</v>
      </c>
      <c r="B1444" t="s">
        <v>502</v>
      </c>
      <c r="C1444" t="s">
        <v>16</v>
      </c>
      <c r="D1444" s="48">
        <v>42369</v>
      </c>
      <c r="E1444" s="3">
        <v>2530000000</v>
      </c>
      <c r="F1444" s="3">
        <v>1254000000</v>
      </c>
      <c r="G1444" s="3">
        <f>Project_Data_NYSE[[#This Row],[ Total Revenue ]]-Project_Data_NYSE[[#This Row],[ Cost of Goods Sold ]]</f>
        <v>1276000000</v>
      </c>
      <c r="H1444" s="3">
        <v>765000000</v>
      </c>
      <c r="I1444" s="3">
        <v>228000000</v>
      </c>
      <c r="J1444" s="3">
        <v>0</v>
      </c>
      <c r="K1444" s="3">
        <f>Project_Data_NYSE[[#This Row],[Gross Profit]]-Project_Data_NYSE[[#This Row],[ Sales, General and Admin. ]]-Project_Data_NYSE[[#This Row],[ Research and Development ]]-Project_Data_NYSE[[#This Row],[ Other Operating Items ]]</f>
        <v>283000000</v>
      </c>
      <c r="L1444" t="s">
        <v>21</v>
      </c>
      <c r="M1444" t="s">
        <v>31</v>
      </c>
      <c r="N1444" s="31">
        <f>Project_Data_NYSE[[#This Row],[Gross Profit]]/Project_Data_NYSE[[#This Row],[ Total Revenue ]]</f>
        <v>0.5043478260869565</v>
      </c>
      <c r="O1444" s="31">
        <f>Project_Data_NYSE[[#This Row],[Operating Profit]]/Project_Data_NYSE[[#This Row],[ Total Revenue ]]</f>
        <v>0.11185770750988143</v>
      </c>
    </row>
    <row r="1445" spans="1:15" x14ac:dyDescent="0.2">
      <c r="A1445">
        <v>1506</v>
      </c>
      <c r="B1445" t="s">
        <v>503</v>
      </c>
      <c r="C1445" t="s">
        <v>11</v>
      </c>
      <c r="D1445" s="48">
        <v>41547</v>
      </c>
      <c r="E1445" s="3">
        <v>1924400000</v>
      </c>
      <c r="F1445" s="3">
        <v>874838000</v>
      </c>
      <c r="G1445" s="3">
        <f>Project_Data_NYSE[[#This Row],[ Total Revenue ]]-Project_Data_NYSE[[#This Row],[ Cost of Goods Sold ]]</f>
        <v>1049562000</v>
      </c>
      <c r="H1445" s="3">
        <v>254468000</v>
      </c>
      <c r="I1445" s="3">
        <v>0</v>
      </c>
      <c r="J1445" s="3">
        <v>45639000</v>
      </c>
      <c r="K1445" s="3">
        <f>Project_Data_NYSE[[#This Row],[Gross Profit]]-Project_Data_NYSE[[#This Row],[ Sales, General and Admin. ]]-Project_Data_NYSE[[#This Row],[ Research and Development ]]-Project_Data_NYSE[[#This Row],[ Other Operating Items ]]</f>
        <v>749455000</v>
      </c>
      <c r="L1445" t="s">
        <v>12</v>
      </c>
      <c r="M1445" t="s">
        <v>90</v>
      </c>
      <c r="N1445" s="31">
        <f>Project_Data_NYSE[[#This Row],[Gross Profit]]/Project_Data_NYSE[[#This Row],[ Total Revenue ]]</f>
        <v>0.54539700685928083</v>
      </c>
      <c r="O1445" s="31">
        <f>Project_Data_NYSE[[#This Row],[Operating Profit]]/Project_Data_NYSE[[#This Row],[ Total Revenue ]]</f>
        <v>0.3894486593223862</v>
      </c>
    </row>
    <row r="1446" spans="1:15" x14ac:dyDescent="0.2">
      <c r="A1446">
        <v>1507</v>
      </c>
      <c r="B1446" t="s">
        <v>503</v>
      </c>
      <c r="C1446" t="s">
        <v>14</v>
      </c>
      <c r="D1446" s="48">
        <v>41912</v>
      </c>
      <c r="E1446" s="3">
        <v>2372906000</v>
      </c>
      <c r="F1446" s="3">
        <v>1105032000</v>
      </c>
      <c r="G1446" s="3">
        <f>Project_Data_NYSE[[#This Row],[ Total Revenue ]]-Project_Data_NYSE[[#This Row],[ Cost of Goods Sold ]]</f>
        <v>1267874000</v>
      </c>
      <c r="H1446" s="3">
        <v>276446000</v>
      </c>
      <c r="I1446" s="3">
        <v>0</v>
      </c>
      <c r="J1446" s="3">
        <v>63608000</v>
      </c>
      <c r="K1446" s="3">
        <f>Project_Data_NYSE[[#This Row],[Gross Profit]]-Project_Data_NYSE[[#This Row],[ Sales, General and Admin. ]]-Project_Data_NYSE[[#This Row],[ Research and Development ]]-Project_Data_NYSE[[#This Row],[ Other Operating Items ]]</f>
        <v>927820000</v>
      </c>
      <c r="L1446" t="s">
        <v>12</v>
      </c>
      <c r="M1446" t="s">
        <v>90</v>
      </c>
      <c r="N1446" s="31">
        <f>Project_Data_NYSE[[#This Row],[Gross Profit]]/Project_Data_NYSE[[#This Row],[ Total Revenue ]]</f>
        <v>0.53431277935156307</v>
      </c>
      <c r="O1446" s="31">
        <f>Project_Data_NYSE[[#This Row],[Operating Profit]]/Project_Data_NYSE[[#This Row],[ Total Revenue ]]</f>
        <v>0.39100579626837306</v>
      </c>
    </row>
    <row r="1447" spans="1:15" x14ac:dyDescent="0.2">
      <c r="A1447">
        <v>1508</v>
      </c>
      <c r="B1447" t="s">
        <v>503</v>
      </c>
      <c r="C1447" t="s">
        <v>15</v>
      </c>
      <c r="D1447" s="48">
        <v>42277</v>
      </c>
      <c r="E1447" s="3">
        <v>2707115000</v>
      </c>
      <c r="F1447" s="3">
        <v>1257270000</v>
      </c>
      <c r="G1447" s="3">
        <f>Project_Data_NYSE[[#This Row],[ Total Revenue ]]-Project_Data_NYSE[[#This Row],[ Cost of Goods Sold ]]</f>
        <v>1449845000</v>
      </c>
      <c r="H1447" s="3">
        <v>321624000</v>
      </c>
      <c r="I1447" s="3">
        <v>0</v>
      </c>
      <c r="J1447" s="3">
        <v>54219000</v>
      </c>
      <c r="K1447" s="3">
        <f>Project_Data_NYSE[[#This Row],[Gross Profit]]-Project_Data_NYSE[[#This Row],[ Sales, General and Admin. ]]-Project_Data_NYSE[[#This Row],[ Research and Development ]]-Project_Data_NYSE[[#This Row],[ Other Operating Items ]]</f>
        <v>1074002000</v>
      </c>
      <c r="L1447" t="s">
        <v>12</v>
      </c>
      <c r="M1447" t="s">
        <v>90</v>
      </c>
      <c r="N1447" s="31">
        <f>Project_Data_NYSE[[#This Row],[Gross Profit]]/Project_Data_NYSE[[#This Row],[ Total Revenue ]]</f>
        <v>0.5355683079588418</v>
      </c>
      <c r="O1447" s="31">
        <f>Project_Data_NYSE[[#This Row],[Operating Profit]]/Project_Data_NYSE[[#This Row],[ Total Revenue ]]</f>
        <v>0.39673305345358434</v>
      </c>
    </row>
    <row r="1448" spans="1:15" x14ac:dyDescent="0.2">
      <c r="A1448">
        <v>1509</v>
      </c>
      <c r="B1448" t="s">
        <v>503</v>
      </c>
      <c r="C1448" t="s">
        <v>16</v>
      </c>
      <c r="D1448" s="48">
        <v>42643</v>
      </c>
      <c r="E1448" s="3">
        <v>3171411000</v>
      </c>
      <c r="F1448" s="3">
        <v>1443348000</v>
      </c>
      <c r="G1448" s="3">
        <f>Project_Data_NYSE[[#This Row],[ Total Revenue ]]-Project_Data_NYSE[[#This Row],[ Cost of Goods Sold ]]</f>
        <v>1728063000</v>
      </c>
      <c r="H1448" s="3">
        <v>382858000</v>
      </c>
      <c r="I1448" s="3">
        <v>0</v>
      </c>
      <c r="J1448" s="3">
        <v>77445000</v>
      </c>
      <c r="K1448" s="3">
        <f>Project_Data_NYSE[[#This Row],[Gross Profit]]-Project_Data_NYSE[[#This Row],[ Sales, General and Admin. ]]-Project_Data_NYSE[[#This Row],[ Research and Development ]]-Project_Data_NYSE[[#This Row],[ Other Operating Items ]]</f>
        <v>1267760000</v>
      </c>
      <c r="L1448" t="s">
        <v>12</v>
      </c>
      <c r="M1448" t="s">
        <v>90</v>
      </c>
      <c r="N1448" s="31">
        <f>Project_Data_NYSE[[#This Row],[Gross Profit]]/Project_Data_NYSE[[#This Row],[ Total Revenue ]]</f>
        <v>0.54488774870239143</v>
      </c>
      <c r="O1448" s="31">
        <f>Project_Data_NYSE[[#This Row],[Operating Profit]]/Project_Data_NYSE[[#This Row],[ Total Revenue ]]</f>
        <v>0.39974635895505189</v>
      </c>
    </row>
    <row r="1449" spans="1:15" x14ac:dyDescent="0.2">
      <c r="A1449">
        <v>1510</v>
      </c>
      <c r="B1449" t="s">
        <v>504</v>
      </c>
      <c r="C1449" t="s">
        <v>11</v>
      </c>
      <c r="D1449" s="48">
        <v>41544</v>
      </c>
      <c r="E1449" s="3">
        <v>11390000000</v>
      </c>
      <c r="F1449" s="3">
        <v>7739000000</v>
      </c>
      <c r="G1449" s="3">
        <f>Project_Data_NYSE[[#This Row],[ Total Revenue ]]-Project_Data_NYSE[[#This Row],[ Cost of Goods Sold ]]</f>
        <v>3651000000</v>
      </c>
      <c r="H1449" s="3">
        <v>1440000000</v>
      </c>
      <c r="I1449" s="3">
        <v>590000000</v>
      </c>
      <c r="J1449" s="3">
        <v>0</v>
      </c>
      <c r="K1449" s="3">
        <f>Project_Data_NYSE[[#This Row],[Gross Profit]]-Project_Data_NYSE[[#This Row],[ Sales, General and Admin. ]]-Project_Data_NYSE[[#This Row],[ Research and Development ]]-Project_Data_NYSE[[#This Row],[ Other Operating Items ]]</f>
        <v>1621000000</v>
      </c>
      <c r="L1449" t="s">
        <v>21</v>
      </c>
      <c r="M1449" t="s">
        <v>505</v>
      </c>
      <c r="N1449" s="31">
        <f>Project_Data_NYSE[[#This Row],[Gross Profit]]/Project_Data_NYSE[[#This Row],[ Total Revenue ]]</f>
        <v>0.3205443371378402</v>
      </c>
      <c r="O1449" s="31">
        <f>Project_Data_NYSE[[#This Row],[Operating Profit]]/Project_Data_NYSE[[#This Row],[ Total Revenue ]]</f>
        <v>0.14231782265144863</v>
      </c>
    </row>
    <row r="1450" spans="1:15" x14ac:dyDescent="0.2">
      <c r="A1450">
        <v>1511</v>
      </c>
      <c r="B1450" t="s">
        <v>504</v>
      </c>
      <c r="C1450" t="s">
        <v>14</v>
      </c>
      <c r="D1450" s="48">
        <v>41908</v>
      </c>
      <c r="E1450" s="3">
        <v>11973000000</v>
      </c>
      <c r="F1450" s="3">
        <v>8001000000</v>
      </c>
      <c r="G1450" s="3">
        <f>Project_Data_NYSE[[#This Row],[ Total Revenue ]]-Project_Data_NYSE[[#This Row],[ Cost of Goods Sold ]]</f>
        <v>3972000000</v>
      </c>
      <c r="H1450" s="3">
        <v>1534000000</v>
      </c>
      <c r="I1450" s="3">
        <v>583000000</v>
      </c>
      <c r="J1450" s="3">
        <v>0</v>
      </c>
      <c r="K1450" s="3">
        <f>Project_Data_NYSE[[#This Row],[Gross Profit]]-Project_Data_NYSE[[#This Row],[ Sales, General and Admin. ]]-Project_Data_NYSE[[#This Row],[ Research and Development ]]-Project_Data_NYSE[[#This Row],[ Other Operating Items ]]</f>
        <v>1855000000</v>
      </c>
      <c r="L1450" t="s">
        <v>21</v>
      </c>
      <c r="M1450" t="s">
        <v>505</v>
      </c>
      <c r="N1450" s="31">
        <f>Project_Data_NYSE[[#This Row],[Gross Profit]]/Project_Data_NYSE[[#This Row],[ Total Revenue ]]</f>
        <v>0.33174642946629918</v>
      </c>
      <c r="O1450" s="31">
        <f>Project_Data_NYSE[[#This Row],[Operating Profit]]/Project_Data_NYSE[[#This Row],[ Total Revenue ]]</f>
        <v>0.15493193017622986</v>
      </c>
    </row>
    <row r="1451" spans="1:15" x14ac:dyDescent="0.2">
      <c r="A1451">
        <v>1512</v>
      </c>
      <c r="B1451" t="s">
        <v>504</v>
      </c>
      <c r="C1451" t="s">
        <v>15</v>
      </c>
      <c r="D1451" s="48">
        <v>42272</v>
      </c>
      <c r="E1451" s="3">
        <v>12233000000</v>
      </c>
      <c r="F1451" s="3">
        <v>8146000000</v>
      </c>
      <c r="G1451" s="3">
        <f>Project_Data_NYSE[[#This Row],[ Total Revenue ]]-Project_Data_NYSE[[#This Row],[ Cost of Goods Sold ]]</f>
        <v>4087000000</v>
      </c>
      <c r="H1451" s="3">
        <v>1504000000</v>
      </c>
      <c r="I1451" s="3">
        <v>627000000</v>
      </c>
      <c r="J1451" s="3">
        <v>0</v>
      </c>
      <c r="K1451" s="3">
        <f>Project_Data_NYSE[[#This Row],[Gross Profit]]-Project_Data_NYSE[[#This Row],[ Sales, General and Admin. ]]-Project_Data_NYSE[[#This Row],[ Research and Development ]]-Project_Data_NYSE[[#This Row],[ Other Operating Items ]]</f>
        <v>1956000000</v>
      </c>
      <c r="L1451" t="s">
        <v>21</v>
      </c>
      <c r="M1451" t="s">
        <v>505</v>
      </c>
      <c r="N1451" s="31">
        <f>Project_Data_NYSE[[#This Row],[Gross Profit]]/Project_Data_NYSE[[#This Row],[ Total Revenue ]]</f>
        <v>0.33409629690182296</v>
      </c>
      <c r="O1451" s="31">
        <f>Project_Data_NYSE[[#This Row],[Operating Profit]]/Project_Data_NYSE[[#This Row],[ Total Revenue ]]</f>
        <v>0.15989536499632143</v>
      </c>
    </row>
    <row r="1452" spans="1:15" x14ac:dyDescent="0.2">
      <c r="A1452">
        <v>1513</v>
      </c>
      <c r="B1452" t="s">
        <v>504</v>
      </c>
      <c r="C1452" t="s">
        <v>16</v>
      </c>
      <c r="D1452" s="48">
        <v>42643</v>
      </c>
      <c r="E1452" s="3">
        <v>12238000000</v>
      </c>
      <c r="F1452" s="3">
        <v>8205000000</v>
      </c>
      <c r="G1452" s="3">
        <f>Project_Data_NYSE[[#This Row],[ Total Revenue ]]-Project_Data_NYSE[[#This Row],[ Cost of Goods Sold ]]</f>
        <v>4033000000</v>
      </c>
      <c r="H1452" s="3">
        <v>1463000000</v>
      </c>
      <c r="I1452" s="3">
        <v>644000000</v>
      </c>
      <c r="J1452" s="3">
        <v>0</v>
      </c>
      <c r="K1452" s="3">
        <f>Project_Data_NYSE[[#This Row],[Gross Profit]]-Project_Data_NYSE[[#This Row],[ Sales, General and Admin. ]]-Project_Data_NYSE[[#This Row],[ Research and Development ]]-Project_Data_NYSE[[#This Row],[ Other Operating Items ]]</f>
        <v>1926000000</v>
      </c>
      <c r="L1452" t="s">
        <v>21</v>
      </c>
      <c r="M1452" t="s">
        <v>505</v>
      </c>
      <c r="N1452" s="31">
        <f>Project_Data_NYSE[[#This Row],[Gross Profit]]/Project_Data_NYSE[[#This Row],[ Total Revenue ]]</f>
        <v>0.32954731165223078</v>
      </c>
      <c r="O1452" s="31">
        <f>Project_Data_NYSE[[#This Row],[Operating Profit]]/Project_Data_NYSE[[#This Row],[ Total Revenue ]]</f>
        <v>0.15737865664324235</v>
      </c>
    </row>
    <row r="1453" spans="1:15" x14ac:dyDescent="0.2">
      <c r="A1453">
        <v>1514</v>
      </c>
      <c r="B1453" t="s">
        <v>506</v>
      </c>
      <c r="C1453" t="s">
        <v>11</v>
      </c>
      <c r="D1453" s="48">
        <v>41273</v>
      </c>
      <c r="E1453" s="3">
        <v>5353197000</v>
      </c>
      <c r="F1453" s="3">
        <v>2943847000</v>
      </c>
      <c r="G1453" s="3">
        <f>Project_Data_NYSE[[#This Row],[ Total Revenue ]]-Project_Data_NYSE[[#This Row],[ Cost of Goods Sold ]]</f>
        <v>2409350000</v>
      </c>
      <c r="H1453" s="3">
        <v>1303427000</v>
      </c>
      <c r="I1453" s="3">
        <v>0</v>
      </c>
      <c r="J1453" s="3">
        <v>194039000</v>
      </c>
      <c r="K1453" s="3">
        <f>Project_Data_NYSE[[#This Row],[Gross Profit]]-Project_Data_NYSE[[#This Row],[ Sales, General and Admin. ]]-Project_Data_NYSE[[#This Row],[ Research and Development ]]-Project_Data_NYSE[[#This Row],[ Other Operating Items ]]</f>
        <v>911884000</v>
      </c>
      <c r="L1453" t="s">
        <v>18</v>
      </c>
      <c r="M1453" t="s">
        <v>507</v>
      </c>
      <c r="N1453" s="31">
        <f>Project_Data_NYSE[[#This Row],[Gross Profit]]/Project_Data_NYSE[[#This Row],[ Total Revenue ]]</f>
        <v>0.45007684193202679</v>
      </c>
      <c r="O1453" s="31">
        <f>Project_Data_NYSE[[#This Row],[Operating Profit]]/Project_Data_NYSE[[#This Row],[ Total Revenue ]]</f>
        <v>0.17034381510712196</v>
      </c>
    </row>
    <row r="1454" spans="1:15" x14ac:dyDescent="0.2">
      <c r="A1454">
        <v>1515</v>
      </c>
      <c r="B1454" t="s">
        <v>506</v>
      </c>
      <c r="C1454" t="s">
        <v>14</v>
      </c>
      <c r="D1454" s="48">
        <v>41637</v>
      </c>
      <c r="E1454" s="3">
        <v>1603123000</v>
      </c>
      <c r="F1454" s="3">
        <v>662769000</v>
      </c>
      <c r="G1454" s="3">
        <f>Project_Data_NYSE[[#This Row],[ Total Revenue ]]-Project_Data_NYSE[[#This Row],[ Cost of Goods Sold ]]</f>
        <v>940354000</v>
      </c>
      <c r="H1454" s="3">
        <v>531932000</v>
      </c>
      <c r="I1454" s="3">
        <v>0</v>
      </c>
      <c r="J1454" s="3">
        <v>74833000</v>
      </c>
      <c r="K1454" s="3">
        <f>Project_Data_NYSE[[#This Row],[Gross Profit]]-Project_Data_NYSE[[#This Row],[ Sales, General and Admin. ]]-Project_Data_NYSE[[#This Row],[ Research and Development ]]-Project_Data_NYSE[[#This Row],[ Other Operating Items ]]</f>
        <v>333589000</v>
      </c>
      <c r="L1454" t="s">
        <v>18</v>
      </c>
      <c r="M1454" t="s">
        <v>507</v>
      </c>
      <c r="N1454" s="31">
        <f>Project_Data_NYSE[[#This Row],[Gross Profit]]/Project_Data_NYSE[[#This Row],[ Total Revenue ]]</f>
        <v>0.58657632633303869</v>
      </c>
      <c r="O1454" s="31">
        <f>Project_Data_NYSE[[#This Row],[Operating Profit]]/Project_Data_NYSE[[#This Row],[ Total Revenue ]]</f>
        <v>0.2080869652546935</v>
      </c>
    </row>
    <row r="1455" spans="1:15" x14ac:dyDescent="0.2">
      <c r="A1455">
        <v>1516</v>
      </c>
      <c r="B1455" t="s">
        <v>506</v>
      </c>
      <c r="C1455" t="s">
        <v>15</v>
      </c>
      <c r="D1455" s="48">
        <v>42004</v>
      </c>
      <c r="E1455" s="3">
        <v>2626141000</v>
      </c>
      <c r="F1455" s="3">
        <v>954990000</v>
      </c>
      <c r="G1455" s="3">
        <f>Project_Data_NYSE[[#This Row],[ Total Revenue ]]-Project_Data_NYSE[[#This Row],[ Cost of Goods Sold ]]</f>
        <v>1671151000</v>
      </c>
      <c r="H1455" s="3">
        <v>766854000</v>
      </c>
      <c r="I1455" s="3">
        <v>0</v>
      </c>
      <c r="J1455" s="3">
        <v>151837000</v>
      </c>
      <c r="K1455" s="3">
        <f>Project_Data_NYSE[[#This Row],[Gross Profit]]-Project_Data_NYSE[[#This Row],[ Sales, General and Admin. ]]-Project_Data_NYSE[[#This Row],[ Research and Development ]]-Project_Data_NYSE[[#This Row],[ Other Operating Items ]]</f>
        <v>752460000</v>
      </c>
      <c r="L1455" t="s">
        <v>18</v>
      </c>
      <c r="M1455" t="s">
        <v>507</v>
      </c>
      <c r="N1455" s="31">
        <f>Project_Data_NYSE[[#This Row],[Gross Profit]]/Project_Data_NYSE[[#This Row],[ Total Revenue ]]</f>
        <v>0.63635235122561962</v>
      </c>
      <c r="O1455" s="31">
        <f>Project_Data_NYSE[[#This Row],[Operating Profit]]/Project_Data_NYSE[[#This Row],[ Total Revenue ]]</f>
        <v>0.28652688488546502</v>
      </c>
    </row>
    <row r="1456" spans="1:15" x14ac:dyDescent="0.2">
      <c r="A1456">
        <v>1517</v>
      </c>
      <c r="B1456" t="s">
        <v>506</v>
      </c>
      <c r="C1456" t="s">
        <v>16</v>
      </c>
      <c r="D1456" s="48">
        <v>42369</v>
      </c>
      <c r="E1456" s="3">
        <v>3050945000</v>
      </c>
      <c r="F1456" s="3">
        <v>923336000</v>
      </c>
      <c r="G1456" s="3">
        <f>Project_Data_NYSE[[#This Row],[ Total Revenue ]]-Project_Data_NYSE[[#This Row],[ Cost of Goods Sold ]]</f>
        <v>2127609000</v>
      </c>
      <c r="H1456" s="3">
        <v>1068221000</v>
      </c>
      <c r="I1456" s="3">
        <v>0</v>
      </c>
      <c r="J1456" s="3">
        <v>205087000</v>
      </c>
      <c r="K1456" s="3">
        <f>Project_Data_NYSE[[#This Row],[Gross Profit]]-Project_Data_NYSE[[#This Row],[ Sales, General and Admin. ]]-Project_Data_NYSE[[#This Row],[ Research and Development ]]-Project_Data_NYSE[[#This Row],[ Other Operating Items ]]</f>
        <v>854301000</v>
      </c>
      <c r="L1456" t="s">
        <v>18</v>
      </c>
      <c r="M1456" t="s">
        <v>507</v>
      </c>
      <c r="N1456" s="31">
        <f>Project_Data_NYSE[[#This Row],[Gross Profit]]/Project_Data_NYSE[[#This Row],[ Total Revenue ]]</f>
        <v>0.69736065383020673</v>
      </c>
      <c r="O1456" s="31">
        <f>Project_Data_NYSE[[#This Row],[Operating Profit]]/Project_Data_NYSE[[#This Row],[ Total Revenue ]]</f>
        <v>0.28001193072965919</v>
      </c>
    </row>
    <row r="1457" spans="1:15" x14ac:dyDescent="0.2">
      <c r="A1457">
        <v>1518</v>
      </c>
      <c r="B1457" t="s">
        <v>508</v>
      </c>
      <c r="C1457" t="s">
        <v>11</v>
      </c>
      <c r="D1457" s="48">
        <v>41307</v>
      </c>
      <c r="E1457" s="3">
        <v>73301000000</v>
      </c>
      <c r="F1457" s="3">
        <v>50568000000</v>
      </c>
      <c r="G1457" s="3">
        <f>Project_Data_NYSE[[#This Row],[ Total Revenue ]]-Project_Data_NYSE[[#This Row],[ Cost of Goods Sold ]]</f>
        <v>22733000000</v>
      </c>
      <c r="H1457" s="3">
        <v>15110000000</v>
      </c>
      <c r="I1457" s="3">
        <v>0</v>
      </c>
      <c r="J1457" s="3">
        <v>2044000000</v>
      </c>
      <c r="K1457" s="3">
        <f>Project_Data_NYSE[[#This Row],[Gross Profit]]-Project_Data_NYSE[[#This Row],[ Sales, General and Admin. ]]-Project_Data_NYSE[[#This Row],[ Research and Development ]]-Project_Data_NYSE[[#This Row],[ Other Operating Items ]]</f>
        <v>5579000000</v>
      </c>
      <c r="L1457" t="s">
        <v>18</v>
      </c>
      <c r="M1457" t="s">
        <v>196</v>
      </c>
      <c r="N1457" s="31">
        <f>Project_Data_NYSE[[#This Row],[Gross Profit]]/Project_Data_NYSE[[#This Row],[ Total Revenue ]]</f>
        <v>0.31013219464945907</v>
      </c>
      <c r="O1457" s="31">
        <f>Project_Data_NYSE[[#This Row],[Operating Profit]]/Project_Data_NYSE[[#This Row],[ Total Revenue ]]</f>
        <v>7.6110830684438135E-2</v>
      </c>
    </row>
    <row r="1458" spans="1:15" x14ac:dyDescent="0.2">
      <c r="A1458">
        <v>1519</v>
      </c>
      <c r="B1458" t="s">
        <v>508</v>
      </c>
      <c r="C1458" t="s">
        <v>14</v>
      </c>
      <c r="D1458" s="48">
        <v>41671</v>
      </c>
      <c r="E1458" s="3">
        <v>71279000000</v>
      </c>
      <c r="F1458" s="3">
        <v>50039000000</v>
      </c>
      <c r="G1458" s="3">
        <f>Project_Data_NYSE[[#This Row],[ Total Revenue ]]-Project_Data_NYSE[[#This Row],[ Cost of Goods Sold ]]</f>
        <v>21240000000</v>
      </c>
      <c r="H1458" s="3">
        <v>14465000000</v>
      </c>
      <c r="I1458" s="3">
        <v>0</v>
      </c>
      <c r="J1458" s="3">
        <v>1996000000</v>
      </c>
      <c r="K1458" s="3">
        <f>Project_Data_NYSE[[#This Row],[Gross Profit]]-Project_Data_NYSE[[#This Row],[ Sales, General and Admin. ]]-Project_Data_NYSE[[#This Row],[ Research and Development ]]-Project_Data_NYSE[[#This Row],[ Other Operating Items ]]</f>
        <v>4779000000</v>
      </c>
      <c r="L1458" t="s">
        <v>18</v>
      </c>
      <c r="M1458" t="s">
        <v>196</v>
      </c>
      <c r="N1458" s="31">
        <f>Project_Data_NYSE[[#This Row],[Gross Profit]]/Project_Data_NYSE[[#This Row],[ Total Revenue ]]</f>
        <v>0.29798397845087615</v>
      </c>
      <c r="O1458" s="31">
        <f>Project_Data_NYSE[[#This Row],[Operating Profit]]/Project_Data_NYSE[[#This Row],[ Total Revenue ]]</f>
        <v>6.7046395151447127E-2</v>
      </c>
    </row>
    <row r="1459" spans="1:15" x14ac:dyDescent="0.2">
      <c r="A1459">
        <v>1520</v>
      </c>
      <c r="B1459" t="s">
        <v>508</v>
      </c>
      <c r="C1459" t="s">
        <v>15</v>
      </c>
      <c r="D1459" s="48">
        <v>42035</v>
      </c>
      <c r="E1459" s="3">
        <v>72618000000</v>
      </c>
      <c r="F1459" s="3">
        <v>51278000000</v>
      </c>
      <c r="G1459" s="3">
        <f>Project_Data_NYSE[[#This Row],[ Total Revenue ]]-Project_Data_NYSE[[#This Row],[ Cost of Goods Sold ]]</f>
        <v>21340000000</v>
      </c>
      <c r="H1459" s="3">
        <v>14676000000</v>
      </c>
      <c r="I1459" s="3">
        <v>0</v>
      </c>
      <c r="J1459" s="3">
        <v>2129000000</v>
      </c>
      <c r="K1459" s="3">
        <f>Project_Data_NYSE[[#This Row],[Gross Profit]]-Project_Data_NYSE[[#This Row],[ Sales, General and Admin. ]]-Project_Data_NYSE[[#This Row],[ Research and Development ]]-Project_Data_NYSE[[#This Row],[ Other Operating Items ]]</f>
        <v>4535000000</v>
      </c>
      <c r="L1459" t="s">
        <v>18</v>
      </c>
      <c r="M1459" t="s">
        <v>196</v>
      </c>
      <c r="N1459" s="31">
        <f>Project_Data_NYSE[[#This Row],[Gross Profit]]/Project_Data_NYSE[[#This Row],[ Total Revenue ]]</f>
        <v>0.29386653446803823</v>
      </c>
      <c r="O1459" s="31">
        <f>Project_Data_NYSE[[#This Row],[Operating Profit]]/Project_Data_NYSE[[#This Row],[ Total Revenue ]]</f>
        <v>6.2450081247073727E-2</v>
      </c>
    </row>
    <row r="1460" spans="1:15" x14ac:dyDescent="0.2">
      <c r="A1460">
        <v>1521</v>
      </c>
      <c r="B1460" t="s">
        <v>508</v>
      </c>
      <c r="C1460" t="s">
        <v>16</v>
      </c>
      <c r="D1460" s="48">
        <v>42399</v>
      </c>
      <c r="E1460" s="3">
        <v>73785000000</v>
      </c>
      <c r="F1460" s="3">
        <v>51997000000</v>
      </c>
      <c r="G1460" s="3">
        <f>Project_Data_NYSE[[#This Row],[ Total Revenue ]]-Project_Data_NYSE[[#This Row],[ Cost of Goods Sold ]]</f>
        <v>21788000000</v>
      </c>
      <c r="H1460" s="3">
        <v>14665000000</v>
      </c>
      <c r="I1460" s="3">
        <v>0</v>
      </c>
      <c r="J1460" s="3">
        <v>2213000000</v>
      </c>
      <c r="K1460" s="3">
        <f>Project_Data_NYSE[[#This Row],[Gross Profit]]-Project_Data_NYSE[[#This Row],[ Sales, General and Admin. ]]-Project_Data_NYSE[[#This Row],[ Research and Development ]]-Project_Data_NYSE[[#This Row],[ Other Operating Items ]]</f>
        <v>4910000000</v>
      </c>
      <c r="L1460" t="s">
        <v>18</v>
      </c>
      <c r="M1460" t="s">
        <v>196</v>
      </c>
      <c r="N1460" s="31">
        <f>Project_Data_NYSE[[#This Row],[Gross Profit]]/Project_Data_NYSE[[#This Row],[ Total Revenue ]]</f>
        <v>0.29529037067154573</v>
      </c>
      <c r="O1460" s="31">
        <f>Project_Data_NYSE[[#This Row],[Operating Profit]]/Project_Data_NYSE[[#This Row],[ Total Revenue ]]</f>
        <v>6.6544690655282235E-2</v>
      </c>
    </row>
    <row r="1461" spans="1:15" x14ac:dyDescent="0.2">
      <c r="A1461">
        <v>1522</v>
      </c>
      <c r="B1461" t="s">
        <v>509</v>
      </c>
      <c r="C1461" t="s">
        <v>11</v>
      </c>
      <c r="D1461" s="48">
        <v>41305</v>
      </c>
      <c r="E1461" s="3">
        <v>3794249000</v>
      </c>
      <c r="F1461" s="3">
        <v>1630965000</v>
      </c>
      <c r="G1461" s="3">
        <f>Project_Data_NYSE[[#This Row],[ Total Revenue ]]-Project_Data_NYSE[[#This Row],[ Cost of Goods Sold ]]</f>
        <v>2163284000</v>
      </c>
      <c r="H1461" s="3">
        <v>1466067000</v>
      </c>
      <c r="I1461" s="3">
        <v>0</v>
      </c>
      <c r="J1461" s="3">
        <v>0</v>
      </c>
      <c r="K1461" s="3">
        <f>Project_Data_NYSE[[#This Row],[Gross Profit]]-Project_Data_NYSE[[#This Row],[ Sales, General and Admin. ]]-Project_Data_NYSE[[#This Row],[ Research and Development ]]-Project_Data_NYSE[[#This Row],[ Other Operating Items ]]</f>
        <v>697217000</v>
      </c>
      <c r="L1461" t="s">
        <v>18</v>
      </c>
      <c r="M1461" t="s">
        <v>288</v>
      </c>
      <c r="N1461" s="31">
        <f>Project_Data_NYSE[[#This Row],[Gross Profit]]/Project_Data_NYSE[[#This Row],[ Total Revenue ]]</f>
        <v>0.57014813735208203</v>
      </c>
      <c r="O1461" s="31">
        <f>Project_Data_NYSE[[#This Row],[Operating Profit]]/Project_Data_NYSE[[#This Row],[ Total Revenue ]]</f>
        <v>0.18375625848488067</v>
      </c>
    </row>
    <row r="1462" spans="1:15" x14ac:dyDescent="0.2">
      <c r="A1462">
        <v>1523</v>
      </c>
      <c r="B1462" t="s">
        <v>509</v>
      </c>
      <c r="C1462" t="s">
        <v>14</v>
      </c>
      <c r="D1462" s="48">
        <v>41670</v>
      </c>
      <c r="E1462" s="3">
        <v>4031100000</v>
      </c>
      <c r="F1462" s="3">
        <v>1690700000</v>
      </c>
      <c r="G1462" s="3">
        <f>Project_Data_NYSE[[#This Row],[ Total Revenue ]]-Project_Data_NYSE[[#This Row],[ Cost of Goods Sold ]]</f>
        <v>2340400000</v>
      </c>
      <c r="H1462" s="3">
        <v>2036100000</v>
      </c>
      <c r="I1462" s="3">
        <v>0</v>
      </c>
      <c r="J1462" s="3">
        <v>0</v>
      </c>
      <c r="K1462" s="3">
        <f>Project_Data_NYSE[[#This Row],[Gross Profit]]-Project_Data_NYSE[[#This Row],[ Sales, General and Admin. ]]-Project_Data_NYSE[[#This Row],[ Research and Development ]]-Project_Data_NYSE[[#This Row],[ Other Operating Items ]]</f>
        <v>304300000</v>
      </c>
      <c r="L1462" t="s">
        <v>18</v>
      </c>
      <c r="M1462" t="s">
        <v>288</v>
      </c>
      <c r="N1462" s="31">
        <f>Project_Data_NYSE[[#This Row],[Gross Profit]]/Project_Data_NYSE[[#This Row],[ Total Revenue ]]</f>
        <v>0.5805859442831981</v>
      </c>
      <c r="O1462" s="31">
        <f>Project_Data_NYSE[[#This Row],[Operating Profit]]/Project_Data_NYSE[[#This Row],[ Total Revenue ]]</f>
        <v>7.5488080176626726E-2</v>
      </c>
    </row>
    <row r="1463" spans="1:15" x14ac:dyDescent="0.2">
      <c r="A1463">
        <v>1524</v>
      </c>
      <c r="B1463" t="s">
        <v>509</v>
      </c>
      <c r="C1463" t="s">
        <v>15</v>
      </c>
      <c r="D1463" s="48">
        <v>42035</v>
      </c>
      <c r="E1463" s="3">
        <v>4249900000</v>
      </c>
      <c r="F1463" s="3">
        <v>1712700000</v>
      </c>
      <c r="G1463" s="3">
        <f>Project_Data_NYSE[[#This Row],[ Total Revenue ]]-Project_Data_NYSE[[#This Row],[ Cost of Goods Sold ]]</f>
        <v>2537200000</v>
      </c>
      <c r="H1463" s="3">
        <v>1645800000</v>
      </c>
      <c r="I1463" s="3">
        <v>0</v>
      </c>
      <c r="J1463" s="3">
        <v>0</v>
      </c>
      <c r="K1463" s="3">
        <f>Project_Data_NYSE[[#This Row],[Gross Profit]]-Project_Data_NYSE[[#This Row],[ Sales, General and Admin. ]]-Project_Data_NYSE[[#This Row],[ Research and Development ]]-Project_Data_NYSE[[#This Row],[ Other Operating Items ]]</f>
        <v>891400000</v>
      </c>
      <c r="L1463" t="s">
        <v>18</v>
      </c>
      <c r="M1463" t="s">
        <v>288</v>
      </c>
      <c r="N1463" s="31">
        <f>Project_Data_NYSE[[#This Row],[Gross Profit]]/Project_Data_NYSE[[#This Row],[ Total Revenue ]]</f>
        <v>0.59700228240664488</v>
      </c>
      <c r="O1463" s="31">
        <f>Project_Data_NYSE[[#This Row],[Operating Profit]]/Project_Data_NYSE[[#This Row],[ Total Revenue ]]</f>
        <v>0.20974611167321583</v>
      </c>
    </row>
    <row r="1464" spans="1:15" x14ac:dyDescent="0.2">
      <c r="A1464">
        <v>1525</v>
      </c>
      <c r="B1464" t="s">
        <v>509</v>
      </c>
      <c r="C1464" t="s">
        <v>16</v>
      </c>
      <c r="D1464" s="48">
        <v>42400</v>
      </c>
      <c r="E1464" s="3">
        <v>4104900000</v>
      </c>
      <c r="F1464" s="3">
        <v>1613600000</v>
      </c>
      <c r="G1464" s="3">
        <f>Project_Data_NYSE[[#This Row],[ Total Revenue ]]-Project_Data_NYSE[[#This Row],[ Cost of Goods Sold ]]</f>
        <v>2491300000</v>
      </c>
      <c r="H1464" s="3">
        <v>1731200000</v>
      </c>
      <c r="I1464" s="3">
        <v>0</v>
      </c>
      <c r="J1464" s="3">
        <v>0</v>
      </c>
      <c r="K1464" s="3">
        <f>Project_Data_NYSE[[#This Row],[Gross Profit]]-Project_Data_NYSE[[#This Row],[ Sales, General and Admin. ]]-Project_Data_NYSE[[#This Row],[ Research and Development ]]-Project_Data_NYSE[[#This Row],[ Other Operating Items ]]</f>
        <v>760100000</v>
      </c>
      <c r="L1464" t="s">
        <v>18</v>
      </c>
      <c r="M1464" t="s">
        <v>288</v>
      </c>
      <c r="N1464" s="31">
        <f>Project_Data_NYSE[[#This Row],[Gross Profit]]/Project_Data_NYSE[[#This Row],[ Total Revenue ]]</f>
        <v>0.60690881629272331</v>
      </c>
      <c r="O1464" s="31">
        <f>Project_Data_NYSE[[#This Row],[Operating Profit]]/Project_Data_NYSE[[#This Row],[ Total Revenue ]]</f>
        <v>0.18516894443226389</v>
      </c>
    </row>
    <row r="1465" spans="1:15" x14ac:dyDescent="0.2">
      <c r="A1465">
        <v>1526</v>
      </c>
      <c r="B1465" t="s">
        <v>510</v>
      </c>
      <c r="C1465" t="s">
        <v>11</v>
      </c>
      <c r="D1465" s="48">
        <v>41307</v>
      </c>
      <c r="E1465" s="3">
        <v>25878372000</v>
      </c>
      <c r="F1465" s="3">
        <v>18521400000</v>
      </c>
      <c r="G1465" s="3">
        <f>Project_Data_NYSE[[#This Row],[ Total Revenue ]]-Project_Data_NYSE[[#This Row],[ Cost of Goods Sold ]]</f>
        <v>7356972000</v>
      </c>
      <c r="H1465" s="3">
        <v>4250446000</v>
      </c>
      <c r="I1465" s="3">
        <v>0</v>
      </c>
      <c r="J1465" s="3">
        <v>0</v>
      </c>
      <c r="K1465" s="3">
        <f>Project_Data_NYSE[[#This Row],[Gross Profit]]-Project_Data_NYSE[[#This Row],[ Sales, General and Admin. ]]-Project_Data_NYSE[[#This Row],[ Research and Development ]]-Project_Data_NYSE[[#This Row],[ Other Operating Items ]]</f>
        <v>3106526000</v>
      </c>
      <c r="L1465" t="s">
        <v>18</v>
      </c>
      <c r="M1465" t="s">
        <v>256</v>
      </c>
      <c r="N1465" s="31">
        <f>Project_Data_NYSE[[#This Row],[Gross Profit]]/Project_Data_NYSE[[#This Row],[ Total Revenue ]]</f>
        <v>0.28429037189820133</v>
      </c>
      <c r="O1465" s="31">
        <f>Project_Data_NYSE[[#This Row],[Operating Profit]]/Project_Data_NYSE[[#This Row],[ Total Revenue ]]</f>
        <v>0.1200433319375732</v>
      </c>
    </row>
    <row r="1466" spans="1:15" x14ac:dyDescent="0.2">
      <c r="A1466">
        <v>1527</v>
      </c>
      <c r="B1466" t="s">
        <v>510</v>
      </c>
      <c r="C1466" t="s">
        <v>14</v>
      </c>
      <c r="D1466" s="48">
        <v>41671</v>
      </c>
      <c r="E1466" s="3">
        <v>27422696000</v>
      </c>
      <c r="F1466" s="3">
        <v>19605037000</v>
      </c>
      <c r="G1466" s="3">
        <f>Project_Data_NYSE[[#This Row],[ Total Revenue ]]-Project_Data_NYSE[[#This Row],[ Cost of Goods Sold ]]</f>
        <v>7817659000</v>
      </c>
      <c r="H1466" s="3">
        <v>4467089000</v>
      </c>
      <c r="I1466" s="3">
        <v>0</v>
      </c>
      <c r="J1466" s="3">
        <v>0</v>
      </c>
      <c r="K1466" s="3">
        <f>Project_Data_NYSE[[#This Row],[Gross Profit]]-Project_Data_NYSE[[#This Row],[ Sales, General and Admin. ]]-Project_Data_NYSE[[#This Row],[ Research and Development ]]-Project_Data_NYSE[[#This Row],[ Other Operating Items ]]</f>
        <v>3350570000</v>
      </c>
      <c r="L1466" t="s">
        <v>18</v>
      </c>
      <c r="M1466" t="s">
        <v>256</v>
      </c>
      <c r="N1466" s="31">
        <f>Project_Data_NYSE[[#This Row],[Gross Profit]]/Project_Data_NYSE[[#This Row],[ Total Revenue ]]</f>
        <v>0.28507988419519364</v>
      </c>
      <c r="O1466" s="31">
        <f>Project_Data_NYSE[[#This Row],[Operating Profit]]/Project_Data_NYSE[[#This Row],[ Total Revenue ]]</f>
        <v>0.12218237039859246</v>
      </c>
    </row>
    <row r="1467" spans="1:15" x14ac:dyDescent="0.2">
      <c r="A1467">
        <v>1528</v>
      </c>
      <c r="B1467" t="s">
        <v>510</v>
      </c>
      <c r="C1467" t="s">
        <v>15</v>
      </c>
      <c r="D1467" s="48">
        <v>42035</v>
      </c>
      <c r="E1467" s="3">
        <v>29078407000</v>
      </c>
      <c r="F1467" s="3">
        <v>20776522000</v>
      </c>
      <c r="G1467" s="3">
        <f>Project_Data_NYSE[[#This Row],[ Total Revenue ]]-Project_Data_NYSE[[#This Row],[ Cost of Goods Sold ]]</f>
        <v>8301885000</v>
      </c>
      <c r="H1467" s="3">
        <v>4695384000</v>
      </c>
      <c r="I1467" s="3">
        <v>0</v>
      </c>
      <c r="J1467" s="3">
        <v>0</v>
      </c>
      <c r="K1467" s="3">
        <f>Project_Data_NYSE[[#This Row],[Gross Profit]]-Project_Data_NYSE[[#This Row],[ Sales, General and Admin. ]]-Project_Data_NYSE[[#This Row],[ Research and Development ]]-Project_Data_NYSE[[#This Row],[ Other Operating Items ]]</f>
        <v>3606501000</v>
      </c>
      <c r="L1467" t="s">
        <v>18</v>
      </c>
      <c r="M1467" t="s">
        <v>256</v>
      </c>
      <c r="N1467" s="31">
        <f>Project_Data_NYSE[[#This Row],[Gross Profit]]/Project_Data_NYSE[[#This Row],[ Total Revenue ]]</f>
        <v>0.28549999317362879</v>
      </c>
      <c r="O1467" s="31">
        <f>Project_Data_NYSE[[#This Row],[Operating Profit]]/Project_Data_NYSE[[#This Row],[ Total Revenue ]]</f>
        <v>0.1240267735436814</v>
      </c>
    </row>
    <row r="1468" spans="1:15" x14ac:dyDescent="0.2">
      <c r="A1468">
        <v>1529</v>
      </c>
      <c r="B1468" t="s">
        <v>510</v>
      </c>
      <c r="C1468" t="s">
        <v>16</v>
      </c>
      <c r="D1468" s="48">
        <v>42399</v>
      </c>
      <c r="E1468" s="3">
        <v>30944938000</v>
      </c>
      <c r="F1468" s="3">
        <v>22034523000</v>
      </c>
      <c r="G1468" s="3">
        <f>Project_Data_NYSE[[#This Row],[ Total Revenue ]]-Project_Data_NYSE[[#This Row],[ Cost of Goods Sold ]]</f>
        <v>8910415000</v>
      </c>
      <c r="H1468" s="3">
        <v>5205715000</v>
      </c>
      <c r="I1468" s="3">
        <v>0</v>
      </c>
      <c r="J1468" s="3">
        <v>0</v>
      </c>
      <c r="K1468" s="3">
        <f>Project_Data_NYSE[[#This Row],[Gross Profit]]-Project_Data_NYSE[[#This Row],[ Sales, General and Admin. ]]-Project_Data_NYSE[[#This Row],[ Research and Development ]]-Project_Data_NYSE[[#This Row],[ Other Operating Items ]]</f>
        <v>3704700000</v>
      </c>
      <c r="L1468" t="s">
        <v>18</v>
      </c>
      <c r="M1468" t="s">
        <v>256</v>
      </c>
      <c r="N1468" s="31">
        <f>Project_Data_NYSE[[#This Row],[Gross Profit]]/Project_Data_NYSE[[#This Row],[ Total Revenue ]]</f>
        <v>0.28794418654191517</v>
      </c>
      <c r="O1468" s="31">
        <f>Project_Data_NYSE[[#This Row],[Operating Profit]]/Project_Data_NYSE[[#This Row],[ Total Revenue ]]</f>
        <v>0.11971909589865716</v>
      </c>
    </row>
    <row r="1469" spans="1:15" x14ac:dyDescent="0.2">
      <c r="A1469">
        <v>1530</v>
      </c>
      <c r="B1469" t="s">
        <v>511</v>
      </c>
      <c r="C1469" t="s">
        <v>11</v>
      </c>
      <c r="D1469" s="48">
        <v>41274</v>
      </c>
      <c r="E1469" s="3">
        <v>3589516000</v>
      </c>
      <c r="F1469" s="3">
        <v>1955682000</v>
      </c>
      <c r="G1469" s="3">
        <f>Project_Data_NYSE[[#This Row],[ Total Revenue ]]-Project_Data_NYSE[[#This Row],[ Cost of Goods Sold ]]</f>
        <v>1633834000</v>
      </c>
      <c r="H1469" s="3">
        <v>0</v>
      </c>
      <c r="I1469" s="3">
        <v>0</v>
      </c>
      <c r="J1469" s="3">
        <v>787329000</v>
      </c>
      <c r="K1469" s="3">
        <f>Project_Data_NYSE[[#This Row],[Gross Profit]]-Project_Data_NYSE[[#This Row],[ Sales, General and Admin. ]]-Project_Data_NYSE[[#This Row],[ Research and Development ]]-Project_Data_NYSE[[#This Row],[ Other Operating Items ]]</f>
        <v>846505000</v>
      </c>
      <c r="L1469" t="s">
        <v>46</v>
      </c>
      <c r="M1469" t="s">
        <v>47</v>
      </c>
      <c r="N1469" s="31">
        <f>Project_Data_NYSE[[#This Row],[Gross Profit]]/Project_Data_NYSE[[#This Row],[ Total Revenue ]]</f>
        <v>0.45516832910063643</v>
      </c>
      <c r="O1469" s="31">
        <f>Project_Data_NYSE[[#This Row],[Operating Profit]]/Project_Data_NYSE[[#This Row],[ Total Revenue ]]</f>
        <v>0.23582705857837102</v>
      </c>
    </row>
    <row r="1470" spans="1:15" x14ac:dyDescent="0.2">
      <c r="A1470">
        <v>1531</v>
      </c>
      <c r="B1470" t="s">
        <v>511</v>
      </c>
      <c r="C1470" t="s">
        <v>14</v>
      </c>
      <c r="D1470" s="48">
        <v>41639</v>
      </c>
      <c r="E1470" s="3">
        <v>3494253000</v>
      </c>
      <c r="F1470" s="3">
        <v>1838766000</v>
      </c>
      <c r="G1470" s="3">
        <f>Project_Data_NYSE[[#This Row],[ Total Revenue ]]-Project_Data_NYSE[[#This Row],[ Cost of Goods Sold ]]</f>
        <v>1655487000</v>
      </c>
      <c r="H1470" s="3">
        <v>0</v>
      </c>
      <c r="I1470" s="3">
        <v>0</v>
      </c>
      <c r="J1470" s="3">
        <v>819711000</v>
      </c>
      <c r="K1470" s="3">
        <f>Project_Data_NYSE[[#This Row],[Gross Profit]]-Project_Data_NYSE[[#This Row],[ Sales, General and Admin. ]]-Project_Data_NYSE[[#This Row],[ Research and Development ]]-Project_Data_NYSE[[#This Row],[ Other Operating Items ]]</f>
        <v>835776000</v>
      </c>
      <c r="L1470" t="s">
        <v>46</v>
      </c>
      <c r="M1470" t="s">
        <v>47</v>
      </c>
      <c r="N1470" s="31">
        <f>Project_Data_NYSE[[#This Row],[Gross Profit]]/Project_Data_NYSE[[#This Row],[ Total Revenue ]]</f>
        <v>0.47377422298843275</v>
      </c>
      <c r="O1470" s="31">
        <f>Project_Data_NYSE[[#This Row],[Operating Profit]]/Project_Data_NYSE[[#This Row],[ Total Revenue ]]</f>
        <v>0.23918588608208965</v>
      </c>
    </row>
    <row r="1471" spans="1:15" x14ac:dyDescent="0.2">
      <c r="A1471">
        <v>1532</v>
      </c>
      <c r="B1471" t="s">
        <v>511</v>
      </c>
      <c r="C1471" t="s">
        <v>15</v>
      </c>
      <c r="D1471" s="48">
        <v>42004</v>
      </c>
      <c r="E1471" s="3">
        <v>3620095000</v>
      </c>
      <c r="F1471" s="3">
        <v>1903384000</v>
      </c>
      <c r="G1471" s="3">
        <f>Project_Data_NYSE[[#This Row],[ Total Revenue ]]-Project_Data_NYSE[[#This Row],[ Cost of Goods Sold ]]</f>
        <v>1716711000</v>
      </c>
      <c r="H1471" s="3">
        <v>0</v>
      </c>
      <c r="I1471" s="3">
        <v>0</v>
      </c>
      <c r="J1471" s="3">
        <v>855908000</v>
      </c>
      <c r="K1471" s="3">
        <f>Project_Data_NYSE[[#This Row],[Gross Profit]]-Project_Data_NYSE[[#This Row],[ Sales, General and Admin. ]]-Project_Data_NYSE[[#This Row],[ Research and Development ]]-Project_Data_NYSE[[#This Row],[ Other Operating Items ]]</f>
        <v>860803000</v>
      </c>
      <c r="L1471" t="s">
        <v>46</v>
      </c>
      <c r="M1471" t="s">
        <v>47</v>
      </c>
      <c r="N1471" s="31">
        <f>Project_Data_NYSE[[#This Row],[Gross Profit]]/Project_Data_NYSE[[#This Row],[ Total Revenue ]]</f>
        <v>0.47421711308681125</v>
      </c>
      <c r="O1471" s="31">
        <f>Project_Data_NYSE[[#This Row],[Operating Profit]]/Project_Data_NYSE[[#This Row],[ Total Revenue ]]</f>
        <v>0.23778464377316064</v>
      </c>
    </row>
    <row r="1472" spans="1:15" x14ac:dyDescent="0.2">
      <c r="A1472">
        <v>1533</v>
      </c>
      <c r="B1472" t="s">
        <v>511</v>
      </c>
      <c r="C1472" t="s">
        <v>16</v>
      </c>
      <c r="D1472" s="48">
        <v>42369</v>
      </c>
      <c r="E1472" s="3">
        <v>3766065000</v>
      </c>
      <c r="F1472" s="3">
        <v>2016212000</v>
      </c>
      <c r="G1472" s="3">
        <f>Project_Data_NYSE[[#This Row],[ Total Revenue ]]-Project_Data_NYSE[[#This Row],[ Cost of Goods Sold ]]</f>
        <v>1749853000</v>
      </c>
      <c r="H1472" s="3">
        <v>0</v>
      </c>
      <c r="I1472" s="3">
        <v>0</v>
      </c>
      <c r="J1472" s="3">
        <v>907024000</v>
      </c>
      <c r="K1472" s="3">
        <f>Project_Data_NYSE[[#This Row],[Gross Profit]]-Project_Data_NYSE[[#This Row],[ Sales, General and Admin. ]]-Project_Data_NYSE[[#This Row],[ Research and Development ]]-Project_Data_NYSE[[#This Row],[ Other Operating Items ]]</f>
        <v>842829000</v>
      </c>
      <c r="L1472" t="s">
        <v>46</v>
      </c>
      <c r="M1472" t="s">
        <v>47</v>
      </c>
      <c r="N1472" s="31">
        <f>Project_Data_NYSE[[#This Row],[Gross Profit]]/Project_Data_NYSE[[#This Row],[ Total Revenue ]]</f>
        <v>0.46463696192179371</v>
      </c>
      <c r="O1472" s="31">
        <f>Project_Data_NYSE[[#This Row],[Operating Profit]]/Project_Data_NYSE[[#This Row],[ Total Revenue ]]</f>
        <v>0.22379565939515117</v>
      </c>
    </row>
    <row r="1473" spans="1:15" x14ac:dyDescent="0.2">
      <c r="A1473">
        <v>285</v>
      </c>
      <c r="B1473" t="s">
        <v>133</v>
      </c>
      <c r="C1473" t="s">
        <v>16</v>
      </c>
      <c r="D1473" s="48">
        <v>42735</v>
      </c>
      <c r="E1473" s="3">
        <v>11229200000</v>
      </c>
      <c r="F1473" s="3">
        <v>438000000</v>
      </c>
      <c r="G1473" s="3">
        <f>Project_Data_NYSE[[#This Row],[ Total Revenue ]]-Project_Data_NYSE[[#This Row],[ Cost of Goods Sold ]]</f>
        <v>10791200000</v>
      </c>
      <c r="H1473" s="3">
        <v>2657700000</v>
      </c>
      <c r="I1473" s="3">
        <v>4470100000</v>
      </c>
      <c r="J1473" s="3">
        <v>459000000</v>
      </c>
      <c r="K1473" s="3">
        <f>Project_Data_NYSE[[#This Row],[Gross Profit]]-Project_Data_NYSE[[#This Row],[ Sales, General and Admin. ]]-Project_Data_NYSE[[#This Row],[ Research and Development ]]-Project_Data_NYSE[[#This Row],[ Other Operating Items ]]</f>
        <v>3204400000</v>
      </c>
      <c r="L1473" t="s">
        <v>24</v>
      </c>
      <c r="M1473" t="s">
        <v>65</v>
      </c>
      <c r="N1473" s="31">
        <f>Project_Data_NYSE[[#This Row],[Gross Profit]]/Project_Data_NYSE[[#This Row],[ Total Revenue ]]</f>
        <v>0.96099454992341393</v>
      </c>
      <c r="O1473" s="31">
        <f>Project_Data_NYSE[[#This Row],[Operating Profit]]/Project_Data_NYSE[[#This Row],[ Total Revenue ]]</f>
        <v>0.28536316033199161</v>
      </c>
    </row>
    <row r="1474" spans="1:15" x14ac:dyDescent="0.2">
      <c r="A1474">
        <v>1780</v>
      </c>
      <c r="B1474" t="s">
        <v>574</v>
      </c>
      <c r="C1474" t="s">
        <v>16</v>
      </c>
      <c r="D1474" s="48">
        <v>42735</v>
      </c>
      <c r="E1474" s="3">
        <v>4888000000</v>
      </c>
      <c r="F1474" s="3">
        <v>1666000000</v>
      </c>
      <c r="G1474" s="3">
        <f>Project_Data_NYSE[[#This Row],[ Total Revenue ]]-Project_Data_NYSE[[#This Row],[ Cost of Goods Sold ]]</f>
        <v>3222000000</v>
      </c>
      <c r="H1474" s="3">
        <v>1364000000</v>
      </c>
      <c r="I1474" s="3">
        <v>376000000</v>
      </c>
      <c r="J1474" s="3">
        <v>85000000</v>
      </c>
      <c r="K1474" s="3">
        <f>Project_Data_NYSE[[#This Row],[Gross Profit]]-Project_Data_NYSE[[#This Row],[ Sales, General and Admin. ]]-Project_Data_NYSE[[#This Row],[ Research and Development ]]-Project_Data_NYSE[[#This Row],[ Other Operating Items ]]</f>
        <v>1397000000</v>
      </c>
      <c r="L1474" t="s">
        <v>24</v>
      </c>
      <c r="M1474" t="s">
        <v>25</v>
      </c>
      <c r="N1474" s="31">
        <f>Project_Data_NYSE[[#This Row],[Gross Profit]]/Project_Data_NYSE[[#This Row],[ Total Revenue ]]</f>
        <v>0.6591653027823241</v>
      </c>
      <c r="O1474" s="31">
        <f>Project_Data_NYSE[[#This Row],[Operating Profit]]/Project_Data_NYSE[[#This Row],[ Total Revenue ]]</f>
        <v>0.28580196399345337</v>
      </c>
    </row>
    <row r="1475" spans="1:15" x14ac:dyDescent="0.2">
      <c r="A1475">
        <v>1769</v>
      </c>
      <c r="B1475" t="s">
        <v>572</v>
      </c>
      <c r="C1475" t="s">
        <v>11</v>
      </c>
      <c r="D1475" s="48">
        <v>41274</v>
      </c>
      <c r="E1475" s="3">
        <v>4471700000</v>
      </c>
      <c r="F1475" s="3">
        <v>1125200000</v>
      </c>
      <c r="G1475" s="3">
        <f>Project_Data_NYSE[[#This Row],[ Total Revenue ]]-Project_Data_NYSE[[#This Row],[ Cost of Goods Sold ]]</f>
        <v>3346500000</v>
      </c>
      <c r="H1475" s="3">
        <v>1822100000</v>
      </c>
      <c r="I1475" s="3">
        <v>225600000</v>
      </c>
      <c r="J1475" s="3">
        <v>0</v>
      </c>
      <c r="K1475" s="3">
        <f>Project_Data_NYSE[[#This Row],[Gross Profit]]-Project_Data_NYSE[[#This Row],[ Sales, General and Admin. ]]-Project_Data_NYSE[[#This Row],[ Research and Development ]]-Project_Data_NYSE[[#This Row],[ Other Operating Items ]]</f>
        <v>1298800000</v>
      </c>
      <c r="L1475" t="s">
        <v>24</v>
      </c>
      <c r="M1475" t="s">
        <v>29</v>
      </c>
      <c r="N1475" s="31">
        <f>Project_Data_NYSE[[#This Row],[Gross Profit]]/Project_Data_NYSE[[#This Row],[ Total Revenue ]]</f>
        <v>0.74837310195227769</v>
      </c>
      <c r="O1475" s="31">
        <f>Project_Data_NYSE[[#This Row],[Operating Profit]]/Project_Data_NYSE[[#This Row],[ Total Revenue ]]</f>
        <v>0.29044882259543353</v>
      </c>
    </row>
    <row r="1476" spans="1:15" x14ac:dyDescent="0.2">
      <c r="A1476">
        <v>1347</v>
      </c>
      <c r="B1476" t="s">
        <v>459</v>
      </c>
      <c r="C1476" t="s">
        <v>14</v>
      </c>
      <c r="D1476" s="48">
        <v>42004</v>
      </c>
      <c r="E1476" s="3">
        <v>2819557000</v>
      </c>
      <c r="F1476" s="3">
        <v>205018000</v>
      </c>
      <c r="G1476" s="3">
        <f>Project_Data_NYSE[[#This Row],[ Total Revenue ]]-Project_Data_NYSE[[#This Row],[ Cost of Goods Sold ]]</f>
        <v>2614539000</v>
      </c>
      <c r="H1476" s="3">
        <v>519267000</v>
      </c>
      <c r="I1476" s="3">
        <v>1271353000</v>
      </c>
      <c r="J1476" s="3">
        <v>0</v>
      </c>
      <c r="K1476" s="3">
        <f>Project_Data_NYSE[[#This Row],[Gross Profit]]-Project_Data_NYSE[[#This Row],[ Sales, General and Admin. ]]-Project_Data_NYSE[[#This Row],[ Research and Development ]]-Project_Data_NYSE[[#This Row],[ Other Operating Items ]]</f>
        <v>823919000</v>
      </c>
      <c r="L1476" t="s">
        <v>24</v>
      </c>
      <c r="M1476" t="s">
        <v>65</v>
      </c>
      <c r="N1476" s="31">
        <f>Project_Data_NYSE[[#This Row],[Gross Profit]]/Project_Data_NYSE[[#This Row],[ Total Revenue ]]</f>
        <v>0.92728715894021652</v>
      </c>
      <c r="O1476" s="31">
        <f>Project_Data_NYSE[[#This Row],[Operating Profit]]/Project_Data_NYSE[[#This Row],[ Total Revenue ]]</f>
        <v>0.29221576297269392</v>
      </c>
    </row>
    <row r="1477" spans="1:15" x14ac:dyDescent="0.2">
      <c r="A1477">
        <v>1538</v>
      </c>
      <c r="B1477" t="s">
        <v>513</v>
      </c>
      <c r="C1477" t="s">
        <v>11</v>
      </c>
      <c r="D1477" s="48">
        <v>41274</v>
      </c>
      <c r="E1477" s="3">
        <v>763000000</v>
      </c>
      <c r="F1477" s="3">
        <v>12000000</v>
      </c>
      <c r="G1477" s="3">
        <f>Project_Data_NYSE[[#This Row],[ Total Revenue ]]-Project_Data_NYSE[[#This Row],[ Cost of Goods Sold ]]</f>
        <v>751000000</v>
      </c>
      <c r="H1477" s="3">
        <v>429000000</v>
      </c>
      <c r="I1477" s="3">
        <v>0</v>
      </c>
      <c r="J1477" s="3">
        <v>26000000</v>
      </c>
      <c r="K1477" s="3">
        <f>Project_Data_NYSE[[#This Row],[Gross Profit]]-Project_Data_NYSE[[#This Row],[ Sales, General and Admin. ]]-Project_Data_NYSE[[#This Row],[ Research and Development ]]-Project_Data_NYSE[[#This Row],[ Other Operating Items ]]</f>
        <v>296000000</v>
      </c>
      <c r="L1477" t="s">
        <v>18</v>
      </c>
      <c r="M1477" t="s">
        <v>76</v>
      </c>
      <c r="N1477" s="31">
        <f>Project_Data_NYSE[[#This Row],[Gross Profit]]/Project_Data_NYSE[[#This Row],[ Total Revenue ]]</f>
        <v>0.98427260812581918</v>
      </c>
      <c r="O1477" s="31">
        <f>Project_Data_NYSE[[#This Row],[Operating Profit]]/Project_Data_NYSE[[#This Row],[ Total Revenue ]]</f>
        <v>0.38794233289646135</v>
      </c>
    </row>
    <row r="1478" spans="1:15" x14ac:dyDescent="0.2">
      <c r="A1478">
        <v>1539</v>
      </c>
      <c r="B1478" t="s">
        <v>513</v>
      </c>
      <c r="C1478" t="s">
        <v>14</v>
      </c>
      <c r="D1478" s="48">
        <v>41639</v>
      </c>
      <c r="E1478" s="3">
        <v>945000000</v>
      </c>
      <c r="F1478" s="3">
        <v>18000000</v>
      </c>
      <c r="G1478" s="3">
        <f>Project_Data_NYSE[[#This Row],[ Total Revenue ]]-Project_Data_NYSE[[#This Row],[ Cost of Goods Sold ]]</f>
        <v>927000000</v>
      </c>
      <c r="H1478" s="3">
        <v>597000000</v>
      </c>
      <c r="I1478" s="3">
        <v>0</v>
      </c>
      <c r="J1478" s="3">
        <v>36000000</v>
      </c>
      <c r="K1478" s="3">
        <f>Project_Data_NYSE[[#This Row],[Gross Profit]]-Project_Data_NYSE[[#This Row],[ Sales, General and Admin. ]]-Project_Data_NYSE[[#This Row],[ Research and Development ]]-Project_Data_NYSE[[#This Row],[ Other Operating Items ]]</f>
        <v>294000000</v>
      </c>
      <c r="L1478" t="s">
        <v>18</v>
      </c>
      <c r="M1478" t="s">
        <v>76</v>
      </c>
      <c r="N1478" s="31">
        <f>Project_Data_NYSE[[#This Row],[Gross Profit]]/Project_Data_NYSE[[#This Row],[ Total Revenue ]]</f>
        <v>0.98095238095238091</v>
      </c>
      <c r="O1478" s="31">
        <f>Project_Data_NYSE[[#This Row],[Operating Profit]]/Project_Data_NYSE[[#This Row],[ Total Revenue ]]</f>
        <v>0.31111111111111112</v>
      </c>
    </row>
    <row r="1479" spans="1:15" x14ac:dyDescent="0.2">
      <c r="A1479">
        <v>1540</v>
      </c>
      <c r="B1479" t="s">
        <v>513</v>
      </c>
      <c r="C1479" t="s">
        <v>15</v>
      </c>
      <c r="D1479" s="48">
        <v>42004</v>
      </c>
      <c r="E1479" s="3">
        <v>1246000000</v>
      </c>
      <c r="F1479" s="3">
        <v>40000000</v>
      </c>
      <c r="G1479" s="3">
        <f>Project_Data_NYSE[[#This Row],[ Total Revenue ]]-Project_Data_NYSE[[#This Row],[ Cost of Goods Sold ]]</f>
        <v>1206000000</v>
      </c>
      <c r="H1479" s="3">
        <v>801000000</v>
      </c>
      <c r="I1479" s="3">
        <v>0</v>
      </c>
      <c r="J1479" s="3">
        <v>65000000</v>
      </c>
      <c r="K1479" s="3">
        <f>Project_Data_NYSE[[#This Row],[Gross Profit]]-Project_Data_NYSE[[#This Row],[ Sales, General and Admin. ]]-Project_Data_NYSE[[#This Row],[ Research and Development ]]-Project_Data_NYSE[[#This Row],[ Other Operating Items ]]</f>
        <v>340000000</v>
      </c>
      <c r="L1479" t="s">
        <v>18</v>
      </c>
      <c r="M1479" t="s">
        <v>76</v>
      </c>
      <c r="N1479" s="31">
        <f>Project_Data_NYSE[[#This Row],[Gross Profit]]/Project_Data_NYSE[[#This Row],[ Total Revenue ]]</f>
        <v>0.9678972712680578</v>
      </c>
      <c r="O1479" s="31">
        <f>Project_Data_NYSE[[#This Row],[Operating Profit]]/Project_Data_NYSE[[#This Row],[ Total Revenue ]]</f>
        <v>0.27287319422150885</v>
      </c>
    </row>
    <row r="1480" spans="1:15" x14ac:dyDescent="0.2">
      <c r="A1480">
        <v>1541</v>
      </c>
      <c r="B1480" t="s">
        <v>513</v>
      </c>
      <c r="C1480" t="s">
        <v>16</v>
      </c>
      <c r="D1480" s="48">
        <v>42369</v>
      </c>
      <c r="E1480" s="3">
        <v>1492000000</v>
      </c>
      <c r="F1480" s="3">
        <v>58000000</v>
      </c>
      <c r="G1480" s="3">
        <f>Project_Data_NYSE[[#This Row],[ Total Revenue ]]-Project_Data_NYSE[[#This Row],[ Cost of Goods Sold ]]</f>
        <v>1434000000</v>
      </c>
      <c r="H1480" s="3">
        <v>1109000000</v>
      </c>
      <c r="I1480" s="3">
        <v>0</v>
      </c>
      <c r="J1480" s="3">
        <v>93000000</v>
      </c>
      <c r="K1480" s="3">
        <f>Project_Data_NYSE[[#This Row],[Gross Profit]]-Project_Data_NYSE[[#This Row],[ Sales, General and Admin. ]]-Project_Data_NYSE[[#This Row],[ Research and Development ]]-Project_Data_NYSE[[#This Row],[ Other Operating Items ]]</f>
        <v>232000000</v>
      </c>
      <c r="L1480" t="s">
        <v>18</v>
      </c>
      <c r="M1480" t="s">
        <v>76</v>
      </c>
      <c r="N1480" s="31">
        <f>Project_Data_NYSE[[#This Row],[Gross Profit]]/Project_Data_NYSE[[#This Row],[ Total Revenue ]]</f>
        <v>0.96112600536193027</v>
      </c>
      <c r="O1480" s="31">
        <f>Project_Data_NYSE[[#This Row],[Operating Profit]]/Project_Data_NYSE[[#This Row],[ Total Revenue ]]</f>
        <v>0.15549597855227881</v>
      </c>
    </row>
    <row r="1481" spans="1:15" x14ac:dyDescent="0.2">
      <c r="A1481">
        <v>1542</v>
      </c>
      <c r="B1481" t="s">
        <v>514</v>
      </c>
      <c r="C1481" t="s">
        <v>11</v>
      </c>
      <c r="D1481" s="48">
        <v>41639</v>
      </c>
      <c r="E1481" s="3">
        <v>26191000000</v>
      </c>
      <c r="F1481" s="3">
        <v>13307000000</v>
      </c>
      <c r="G1481" s="3">
        <f>Project_Data_NYSE[[#This Row],[ Total Revenue ]]-Project_Data_NYSE[[#This Row],[ Cost of Goods Sold ]]</f>
        <v>12884000000</v>
      </c>
      <c r="H1481" s="3">
        <v>3757000000</v>
      </c>
      <c r="I1481" s="3">
        <v>0</v>
      </c>
      <c r="J1481" s="3">
        <v>3821000000</v>
      </c>
      <c r="K1481" s="3">
        <f>Project_Data_NYSE[[#This Row],[Gross Profit]]-Project_Data_NYSE[[#This Row],[ Sales, General and Admin. ]]-Project_Data_NYSE[[#This Row],[ Research and Development ]]-Project_Data_NYSE[[#This Row],[ Other Operating Items ]]</f>
        <v>5306000000</v>
      </c>
      <c r="L1481" t="s">
        <v>46</v>
      </c>
      <c r="M1481" t="s">
        <v>49</v>
      </c>
      <c r="N1481" s="31">
        <f>Project_Data_NYSE[[#This Row],[Gross Profit]]/Project_Data_NYSE[[#This Row],[ Total Revenue ]]</f>
        <v>0.49192470696040624</v>
      </c>
      <c r="O1481" s="31">
        <f>Project_Data_NYSE[[#This Row],[Operating Profit]]/Project_Data_NYSE[[#This Row],[ Total Revenue ]]</f>
        <v>0.2025886754992173</v>
      </c>
    </row>
    <row r="1482" spans="1:15" x14ac:dyDescent="0.2">
      <c r="A1482">
        <v>1543</v>
      </c>
      <c r="B1482" t="s">
        <v>514</v>
      </c>
      <c r="C1482" t="s">
        <v>14</v>
      </c>
      <c r="D1482" s="48">
        <v>42004</v>
      </c>
      <c r="E1482" s="3">
        <v>27174000000</v>
      </c>
      <c r="F1482" s="3">
        <v>13870000000</v>
      </c>
      <c r="G1482" s="3">
        <f>Project_Data_NYSE[[#This Row],[ Total Revenue ]]-Project_Data_NYSE[[#This Row],[ Cost of Goods Sold ]]</f>
        <v>13304000000</v>
      </c>
      <c r="H1482" s="3">
        <v>3964000000</v>
      </c>
      <c r="I1482" s="3">
        <v>0</v>
      </c>
      <c r="J1482" s="3">
        <v>3882000000</v>
      </c>
      <c r="K1482" s="3">
        <f>Project_Data_NYSE[[#This Row],[Gross Profit]]-Project_Data_NYSE[[#This Row],[ Sales, General and Admin. ]]-Project_Data_NYSE[[#This Row],[ Research and Development ]]-Project_Data_NYSE[[#This Row],[ Other Operating Items ]]</f>
        <v>5458000000</v>
      </c>
      <c r="L1482" t="s">
        <v>46</v>
      </c>
      <c r="M1482" t="s">
        <v>49</v>
      </c>
      <c r="N1482" s="31">
        <f>Project_Data_NYSE[[#This Row],[Gross Profit]]/Project_Data_NYSE[[#This Row],[ Total Revenue ]]</f>
        <v>0.48958563332597338</v>
      </c>
      <c r="O1482" s="31">
        <f>Project_Data_NYSE[[#This Row],[Operating Profit]]/Project_Data_NYSE[[#This Row],[ Total Revenue ]]</f>
        <v>0.20085375726797675</v>
      </c>
    </row>
    <row r="1483" spans="1:15" x14ac:dyDescent="0.2">
      <c r="A1483">
        <v>1544</v>
      </c>
      <c r="B1483" t="s">
        <v>514</v>
      </c>
      <c r="C1483" t="s">
        <v>15</v>
      </c>
      <c r="D1483" s="48">
        <v>42369</v>
      </c>
      <c r="E1483" s="3">
        <v>26815000000</v>
      </c>
      <c r="F1483" s="3">
        <v>13723000000</v>
      </c>
      <c r="G1483" s="3">
        <f>Project_Data_NYSE[[#This Row],[ Total Revenue ]]-Project_Data_NYSE[[#This Row],[ Cost of Goods Sold ]]</f>
        <v>13092000000</v>
      </c>
      <c r="H1483" s="3">
        <v>4094000000</v>
      </c>
      <c r="I1483" s="3">
        <v>0</v>
      </c>
      <c r="J1483" s="3">
        <v>3885000000</v>
      </c>
      <c r="K1483" s="3">
        <f>Project_Data_NYSE[[#This Row],[Gross Profit]]-Project_Data_NYSE[[#This Row],[ Sales, General and Admin. ]]-Project_Data_NYSE[[#This Row],[ Research and Development ]]-Project_Data_NYSE[[#This Row],[ Other Operating Items ]]</f>
        <v>5113000000</v>
      </c>
      <c r="L1483" t="s">
        <v>46</v>
      </c>
      <c r="M1483" t="s">
        <v>49</v>
      </c>
      <c r="N1483" s="31">
        <f>Project_Data_NYSE[[#This Row],[Gross Profit]]/Project_Data_NYSE[[#This Row],[ Total Revenue ]]</f>
        <v>0.48823419727764311</v>
      </c>
      <c r="O1483" s="31">
        <f>Project_Data_NYSE[[#This Row],[Operating Profit]]/Project_Data_NYSE[[#This Row],[ Total Revenue ]]</f>
        <v>0.19067685996643668</v>
      </c>
    </row>
    <row r="1484" spans="1:15" x14ac:dyDescent="0.2">
      <c r="A1484">
        <v>1545</v>
      </c>
      <c r="B1484" t="s">
        <v>514</v>
      </c>
      <c r="C1484" t="s">
        <v>16</v>
      </c>
      <c r="D1484" s="48">
        <v>42735</v>
      </c>
      <c r="E1484" s="3">
        <v>27625000000</v>
      </c>
      <c r="F1484" s="3">
        <v>15070000000</v>
      </c>
      <c r="G1484" s="3">
        <f>Project_Data_NYSE[[#This Row],[ Total Revenue ]]-Project_Data_NYSE[[#This Row],[ Cost of Goods Sold ]]</f>
        <v>12555000000</v>
      </c>
      <c r="H1484" s="3">
        <v>4154000000</v>
      </c>
      <c r="I1484" s="3">
        <v>0</v>
      </c>
      <c r="J1484" s="3">
        <v>3985000000</v>
      </c>
      <c r="K1484" s="3">
        <f>Project_Data_NYSE[[#This Row],[Gross Profit]]-Project_Data_NYSE[[#This Row],[ Sales, General and Admin. ]]-Project_Data_NYSE[[#This Row],[ Research and Development ]]-Project_Data_NYSE[[#This Row],[ Other Operating Items ]]</f>
        <v>4416000000</v>
      </c>
      <c r="L1484" t="s">
        <v>46</v>
      </c>
      <c r="M1484" t="s">
        <v>49</v>
      </c>
      <c r="N1484" s="31">
        <f>Project_Data_NYSE[[#This Row],[Gross Profit]]/Project_Data_NYSE[[#This Row],[ Total Revenue ]]</f>
        <v>0.45447963800904978</v>
      </c>
      <c r="O1484" s="31">
        <f>Project_Data_NYSE[[#This Row],[Operating Profit]]/Project_Data_NYSE[[#This Row],[ Total Revenue ]]</f>
        <v>0.15985520361990951</v>
      </c>
    </row>
    <row r="1485" spans="1:15" x14ac:dyDescent="0.2">
      <c r="A1485">
        <v>1546</v>
      </c>
      <c r="B1485" t="s">
        <v>515</v>
      </c>
      <c r="C1485" t="s">
        <v>11</v>
      </c>
      <c r="D1485" s="48">
        <v>41272</v>
      </c>
      <c r="E1485" s="3">
        <v>4664120000</v>
      </c>
      <c r="F1485" s="3">
        <v>3098066000</v>
      </c>
      <c r="G1485" s="3">
        <f>Project_Data_NYSE[[#This Row],[ Total Revenue ]]-Project_Data_NYSE[[#This Row],[ Cost of Goods Sold ]]</f>
        <v>1566054000</v>
      </c>
      <c r="H1485" s="3">
        <v>1040287000</v>
      </c>
      <c r="I1485" s="3">
        <v>0</v>
      </c>
      <c r="J1485" s="3">
        <v>88975000</v>
      </c>
      <c r="K1485" s="3">
        <f>Project_Data_NYSE[[#This Row],[Gross Profit]]-Project_Data_NYSE[[#This Row],[ Sales, General and Admin. ]]-Project_Data_NYSE[[#This Row],[ Research and Development ]]-Project_Data_NYSE[[#This Row],[ Other Operating Items ]]</f>
        <v>436792000</v>
      </c>
      <c r="L1485" t="s">
        <v>18</v>
      </c>
      <c r="M1485" t="s">
        <v>516</v>
      </c>
      <c r="N1485" s="31">
        <f>Project_Data_NYSE[[#This Row],[Gross Profit]]/Project_Data_NYSE[[#This Row],[ Total Revenue ]]</f>
        <v>0.33576623242969733</v>
      </c>
      <c r="O1485" s="31">
        <f>Project_Data_NYSE[[#This Row],[Operating Profit]]/Project_Data_NYSE[[#This Row],[ Total Revenue ]]</f>
        <v>9.3649391525089401E-2</v>
      </c>
    </row>
    <row r="1486" spans="1:15" x14ac:dyDescent="0.2">
      <c r="A1486">
        <v>1547</v>
      </c>
      <c r="B1486" t="s">
        <v>515</v>
      </c>
      <c r="C1486" t="s">
        <v>14</v>
      </c>
      <c r="D1486" s="48">
        <v>41636</v>
      </c>
      <c r="E1486" s="3">
        <v>5164784000</v>
      </c>
      <c r="F1486" s="3">
        <v>3411175000</v>
      </c>
      <c r="G1486" s="3">
        <f>Project_Data_NYSE[[#This Row],[ Total Revenue ]]-Project_Data_NYSE[[#This Row],[ Cost of Goods Sold ]]</f>
        <v>1753609000</v>
      </c>
      <c r="H1486" s="3">
        <v>1138934000</v>
      </c>
      <c r="I1486" s="3">
        <v>0</v>
      </c>
      <c r="J1486" s="3">
        <v>100025000</v>
      </c>
      <c r="K1486" s="3">
        <f>Project_Data_NYSE[[#This Row],[Gross Profit]]-Project_Data_NYSE[[#This Row],[ Sales, General and Admin. ]]-Project_Data_NYSE[[#This Row],[ Research and Development ]]-Project_Data_NYSE[[#This Row],[ Other Operating Items ]]</f>
        <v>514650000</v>
      </c>
      <c r="L1486" t="s">
        <v>18</v>
      </c>
      <c r="M1486" t="s">
        <v>516</v>
      </c>
      <c r="N1486" s="31">
        <f>Project_Data_NYSE[[#This Row],[Gross Profit]]/Project_Data_NYSE[[#This Row],[ Total Revenue ]]</f>
        <v>0.33953191459700927</v>
      </c>
      <c r="O1486" s="31">
        <f>Project_Data_NYSE[[#This Row],[Operating Profit]]/Project_Data_NYSE[[#This Row],[ Total Revenue ]]</f>
        <v>9.9645987131310815E-2</v>
      </c>
    </row>
    <row r="1487" spans="1:15" x14ac:dyDescent="0.2">
      <c r="A1487">
        <v>1548</v>
      </c>
      <c r="B1487" t="s">
        <v>515</v>
      </c>
      <c r="C1487" t="s">
        <v>15</v>
      </c>
      <c r="D1487" s="48">
        <v>42000</v>
      </c>
      <c r="E1487" s="3">
        <v>5711715000</v>
      </c>
      <c r="F1487" s="3">
        <v>3761300000</v>
      </c>
      <c r="G1487" s="3">
        <f>Project_Data_NYSE[[#This Row],[ Total Revenue ]]-Project_Data_NYSE[[#This Row],[ Cost of Goods Sold ]]</f>
        <v>1950415000</v>
      </c>
      <c r="H1487" s="3">
        <v>1246308000</v>
      </c>
      <c r="I1487" s="3">
        <v>0</v>
      </c>
      <c r="J1487" s="3">
        <v>114635000</v>
      </c>
      <c r="K1487" s="3">
        <f>Project_Data_NYSE[[#This Row],[Gross Profit]]-Project_Data_NYSE[[#This Row],[ Sales, General and Admin. ]]-Project_Data_NYSE[[#This Row],[ Research and Development ]]-Project_Data_NYSE[[#This Row],[ Other Operating Items ]]</f>
        <v>589472000</v>
      </c>
      <c r="L1487" t="s">
        <v>18</v>
      </c>
      <c r="M1487" t="s">
        <v>516</v>
      </c>
      <c r="N1487" s="31">
        <f>Project_Data_NYSE[[#This Row],[Gross Profit]]/Project_Data_NYSE[[#This Row],[ Total Revenue ]]</f>
        <v>0.3414762466264511</v>
      </c>
      <c r="O1487" s="31">
        <f>Project_Data_NYSE[[#This Row],[Operating Profit]]/Project_Data_NYSE[[#This Row],[ Total Revenue ]]</f>
        <v>0.10320402891250702</v>
      </c>
    </row>
    <row r="1488" spans="1:15" x14ac:dyDescent="0.2">
      <c r="A1488">
        <v>1549</v>
      </c>
      <c r="B1488" t="s">
        <v>515</v>
      </c>
      <c r="C1488" t="s">
        <v>16</v>
      </c>
      <c r="D1488" s="48">
        <v>42364</v>
      </c>
      <c r="E1488" s="3">
        <v>6226507000</v>
      </c>
      <c r="F1488" s="3">
        <v>4083333000</v>
      </c>
      <c r="G1488" s="3">
        <f>Project_Data_NYSE[[#This Row],[ Total Revenue ]]-Project_Data_NYSE[[#This Row],[ Cost of Goods Sold ]]</f>
        <v>2143174000</v>
      </c>
      <c r="H1488" s="3">
        <v>1369097000</v>
      </c>
      <c r="I1488" s="3">
        <v>0</v>
      </c>
      <c r="J1488" s="3">
        <v>123569000</v>
      </c>
      <c r="K1488" s="3">
        <f>Project_Data_NYSE[[#This Row],[Gross Profit]]-Project_Data_NYSE[[#This Row],[ Sales, General and Admin. ]]-Project_Data_NYSE[[#This Row],[ Research and Development ]]-Project_Data_NYSE[[#This Row],[ Other Operating Items ]]</f>
        <v>650508000</v>
      </c>
      <c r="L1488" t="s">
        <v>18</v>
      </c>
      <c r="M1488" t="s">
        <v>516</v>
      </c>
      <c r="N1488" s="31">
        <f>Project_Data_NYSE[[#This Row],[Gross Profit]]/Project_Data_NYSE[[#This Row],[ Total Revenue ]]</f>
        <v>0.34420165270833231</v>
      </c>
      <c r="O1488" s="31">
        <f>Project_Data_NYSE[[#This Row],[Operating Profit]]/Project_Data_NYSE[[#This Row],[ Total Revenue ]]</f>
        <v>0.10447398517338854</v>
      </c>
    </row>
    <row r="1489" spans="1:15" x14ac:dyDescent="0.2">
      <c r="A1489">
        <v>1550</v>
      </c>
      <c r="B1489" t="s">
        <v>517</v>
      </c>
      <c r="C1489" t="s">
        <v>11</v>
      </c>
      <c r="D1489" s="48">
        <v>41550</v>
      </c>
      <c r="E1489" s="3">
        <v>34374000000</v>
      </c>
      <c r="F1489" s="3">
        <v>32016000000</v>
      </c>
      <c r="G1489" s="3">
        <f>Project_Data_NYSE[[#This Row],[ Total Revenue ]]-Project_Data_NYSE[[#This Row],[ Cost of Goods Sold ]]</f>
        <v>2358000000</v>
      </c>
      <c r="H1489" s="3">
        <v>983000000</v>
      </c>
      <c r="I1489" s="3">
        <v>0</v>
      </c>
      <c r="J1489" s="3">
        <v>0</v>
      </c>
      <c r="K1489" s="3">
        <f>Project_Data_NYSE[[#This Row],[Gross Profit]]-Project_Data_NYSE[[#This Row],[ Sales, General and Admin. ]]-Project_Data_NYSE[[#This Row],[ Research and Development ]]-Project_Data_NYSE[[#This Row],[ Other Operating Items ]]</f>
        <v>1375000000</v>
      </c>
      <c r="L1489" t="s">
        <v>35</v>
      </c>
      <c r="M1489" t="s">
        <v>123</v>
      </c>
      <c r="N1489" s="31">
        <f>Project_Data_NYSE[[#This Row],[Gross Profit]]/Project_Data_NYSE[[#This Row],[ Total Revenue ]]</f>
        <v>6.8598359224995631E-2</v>
      </c>
      <c r="O1489" s="31">
        <f>Project_Data_NYSE[[#This Row],[Operating Profit]]/Project_Data_NYSE[[#This Row],[ Total Revenue ]]</f>
        <v>4.0001163670215861E-2</v>
      </c>
    </row>
    <row r="1490" spans="1:15" x14ac:dyDescent="0.2">
      <c r="A1490">
        <v>1551</v>
      </c>
      <c r="B1490" t="s">
        <v>517</v>
      </c>
      <c r="C1490" t="s">
        <v>14</v>
      </c>
      <c r="D1490" s="48">
        <v>41915</v>
      </c>
      <c r="E1490" s="3">
        <v>37580000000</v>
      </c>
      <c r="F1490" s="3">
        <v>34895000000</v>
      </c>
      <c r="G1490" s="3">
        <f>Project_Data_NYSE[[#This Row],[ Total Revenue ]]-Project_Data_NYSE[[#This Row],[ Cost of Goods Sold ]]</f>
        <v>2685000000</v>
      </c>
      <c r="H1490" s="3">
        <v>1255000000</v>
      </c>
      <c r="I1490" s="3">
        <v>0</v>
      </c>
      <c r="J1490" s="3">
        <v>0</v>
      </c>
      <c r="K1490" s="3">
        <f>Project_Data_NYSE[[#This Row],[Gross Profit]]-Project_Data_NYSE[[#This Row],[ Sales, General and Admin. ]]-Project_Data_NYSE[[#This Row],[ Research and Development ]]-Project_Data_NYSE[[#This Row],[ Other Operating Items ]]</f>
        <v>1430000000</v>
      </c>
      <c r="L1490" t="s">
        <v>35</v>
      </c>
      <c r="M1490" t="s">
        <v>123</v>
      </c>
      <c r="N1490" s="31">
        <f>Project_Data_NYSE[[#This Row],[Gross Profit]]/Project_Data_NYSE[[#This Row],[ Total Revenue ]]</f>
        <v>7.1447578499201705E-2</v>
      </c>
      <c r="O1490" s="31">
        <f>Project_Data_NYSE[[#This Row],[Operating Profit]]/Project_Data_NYSE[[#This Row],[ Total Revenue ]]</f>
        <v>3.8052155401809472E-2</v>
      </c>
    </row>
    <row r="1491" spans="1:15" x14ac:dyDescent="0.2">
      <c r="A1491">
        <v>1552</v>
      </c>
      <c r="B1491" t="s">
        <v>517</v>
      </c>
      <c r="C1491" t="s">
        <v>15</v>
      </c>
      <c r="D1491" s="48">
        <v>42280</v>
      </c>
      <c r="E1491" s="3">
        <v>41373000000</v>
      </c>
      <c r="F1491" s="3">
        <v>37456000000</v>
      </c>
      <c r="G1491" s="3">
        <f>Project_Data_NYSE[[#This Row],[ Total Revenue ]]-Project_Data_NYSE[[#This Row],[ Cost of Goods Sold ]]</f>
        <v>3917000000</v>
      </c>
      <c r="H1491" s="3">
        <v>1748000000</v>
      </c>
      <c r="I1491" s="3">
        <v>0</v>
      </c>
      <c r="J1491" s="3">
        <v>0</v>
      </c>
      <c r="K1491" s="3">
        <f>Project_Data_NYSE[[#This Row],[Gross Profit]]-Project_Data_NYSE[[#This Row],[ Sales, General and Admin. ]]-Project_Data_NYSE[[#This Row],[ Research and Development ]]-Project_Data_NYSE[[#This Row],[ Other Operating Items ]]</f>
        <v>2169000000</v>
      </c>
      <c r="L1491" t="s">
        <v>35</v>
      </c>
      <c r="M1491" t="s">
        <v>123</v>
      </c>
      <c r="N1491" s="31">
        <f>Project_Data_NYSE[[#This Row],[Gross Profit]]/Project_Data_NYSE[[#This Row],[ Total Revenue ]]</f>
        <v>9.4675271312208445E-2</v>
      </c>
      <c r="O1491" s="31">
        <f>Project_Data_NYSE[[#This Row],[Operating Profit]]/Project_Data_NYSE[[#This Row],[ Total Revenue ]]</f>
        <v>5.2425494887970416E-2</v>
      </c>
    </row>
    <row r="1492" spans="1:15" x14ac:dyDescent="0.2">
      <c r="A1492">
        <v>1553</v>
      </c>
      <c r="B1492" t="s">
        <v>517</v>
      </c>
      <c r="C1492" t="s">
        <v>16</v>
      </c>
      <c r="D1492" s="48">
        <v>42644</v>
      </c>
      <c r="E1492" s="3">
        <v>36881000000</v>
      </c>
      <c r="F1492" s="3">
        <v>32184000000</v>
      </c>
      <c r="G1492" s="3">
        <f>Project_Data_NYSE[[#This Row],[ Total Revenue ]]-Project_Data_NYSE[[#This Row],[ Cost of Goods Sold ]]</f>
        <v>4697000000</v>
      </c>
      <c r="H1492" s="3">
        <v>1864000000</v>
      </c>
      <c r="I1492" s="3">
        <v>0</v>
      </c>
      <c r="J1492" s="3">
        <v>0</v>
      </c>
      <c r="K1492" s="3">
        <f>Project_Data_NYSE[[#This Row],[Gross Profit]]-Project_Data_NYSE[[#This Row],[ Sales, General and Admin. ]]-Project_Data_NYSE[[#This Row],[ Research and Development ]]-Project_Data_NYSE[[#This Row],[ Other Operating Items ]]</f>
        <v>2833000000</v>
      </c>
      <c r="L1492" t="s">
        <v>35</v>
      </c>
      <c r="M1492" t="s">
        <v>123</v>
      </c>
      <c r="N1492" s="31">
        <f>Project_Data_NYSE[[#This Row],[Gross Profit]]/Project_Data_NYSE[[#This Row],[ Total Revenue ]]</f>
        <v>0.12735554892763212</v>
      </c>
      <c r="O1492" s="31">
        <f>Project_Data_NYSE[[#This Row],[Operating Profit]]/Project_Data_NYSE[[#This Row],[ Total Revenue ]]</f>
        <v>7.6814619994034869E-2</v>
      </c>
    </row>
    <row r="1493" spans="1:15" x14ac:dyDescent="0.2">
      <c r="A1493">
        <v>1554</v>
      </c>
      <c r="B1493" t="s">
        <v>518</v>
      </c>
      <c r="C1493" t="s">
        <v>11</v>
      </c>
      <c r="D1493" s="48">
        <v>41274</v>
      </c>
      <c r="E1493" s="3">
        <v>29809000000</v>
      </c>
      <c r="F1493" s="3">
        <v>26045000000</v>
      </c>
      <c r="G1493" s="3">
        <f>Project_Data_NYSE[[#This Row],[ Total Revenue ]]-Project_Data_NYSE[[#This Row],[ Cost of Goods Sold ]]</f>
        <v>3764000000</v>
      </c>
      <c r="H1493" s="3">
        <v>1702000000</v>
      </c>
      <c r="I1493" s="3">
        <v>0</v>
      </c>
      <c r="J1493" s="3">
        <v>418000000</v>
      </c>
      <c r="K1493" s="3">
        <f>Project_Data_NYSE[[#This Row],[Gross Profit]]-Project_Data_NYSE[[#This Row],[ Sales, General and Admin. ]]-Project_Data_NYSE[[#This Row],[ Research and Development ]]-Project_Data_NYSE[[#This Row],[ Other Operating Items ]]</f>
        <v>1644000000</v>
      </c>
      <c r="L1493" t="s">
        <v>82</v>
      </c>
      <c r="M1493" t="s">
        <v>340</v>
      </c>
      <c r="N1493" s="31">
        <f>Project_Data_NYSE[[#This Row],[Gross Profit]]/Project_Data_NYSE[[#This Row],[ Total Revenue ]]</f>
        <v>0.12627058941930289</v>
      </c>
      <c r="O1493" s="31">
        <f>Project_Data_NYSE[[#This Row],[Operating Profit]]/Project_Data_NYSE[[#This Row],[ Total Revenue ]]</f>
        <v>5.5151128853701901E-2</v>
      </c>
    </row>
    <row r="1494" spans="1:15" x14ac:dyDescent="0.2">
      <c r="A1494">
        <v>1555</v>
      </c>
      <c r="B1494" t="s">
        <v>518</v>
      </c>
      <c r="C1494" t="s">
        <v>14</v>
      </c>
      <c r="D1494" s="48">
        <v>41639</v>
      </c>
      <c r="E1494" s="3">
        <v>37601000000</v>
      </c>
      <c r="F1494" s="3">
        <v>34085000000</v>
      </c>
      <c r="G1494" s="3">
        <f>Project_Data_NYSE[[#This Row],[ Total Revenue ]]-Project_Data_NYSE[[#This Row],[ Cost of Goods Sold ]]</f>
        <v>3516000000</v>
      </c>
      <c r="H1494" s="3">
        <v>2248000000</v>
      </c>
      <c r="I1494" s="3">
        <v>0</v>
      </c>
      <c r="J1494" s="3">
        <v>489000000</v>
      </c>
      <c r="K1494" s="3">
        <f>Project_Data_NYSE[[#This Row],[Gross Profit]]-Project_Data_NYSE[[#This Row],[ Sales, General and Admin. ]]-Project_Data_NYSE[[#This Row],[ Research and Development ]]-Project_Data_NYSE[[#This Row],[ Other Operating Items ]]</f>
        <v>779000000</v>
      </c>
      <c r="L1494" t="s">
        <v>82</v>
      </c>
      <c r="M1494" t="s">
        <v>340</v>
      </c>
      <c r="N1494" s="31">
        <f>Project_Data_NYSE[[#This Row],[Gross Profit]]/Project_Data_NYSE[[#This Row],[ Total Revenue ]]</f>
        <v>9.3508151378952686E-2</v>
      </c>
      <c r="O1494" s="31">
        <f>Project_Data_NYSE[[#This Row],[Operating Profit]]/Project_Data_NYSE[[#This Row],[ Total Revenue ]]</f>
        <v>2.0717534108135423E-2</v>
      </c>
    </row>
    <row r="1495" spans="1:15" x14ac:dyDescent="0.2">
      <c r="A1495">
        <v>1556</v>
      </c>
      <c r="B1495" t="s">
        <v>518</v>
      </c>
      <c r="C1495" t="s">
        <v>15</v>
      </c>
      <c r="D1495" s="48">
        <v>42004</v>
      </c>
      <c r="E1495" s="3">
        <v>40633000000</v>
      </c>
      <c r="F1495" s="3">
        <v>35673000000</v>
      </c>
      <c r="G1495" s="3">
        <f>Project_Data_NYSE[[#This Row],[ Total Revenue ]]-Project_Data_NYSE[[#This Row],[ Cost of Goods Sold ]]</f>
        <v>4960000000</v>
      </c>
      <c r="H1495" s="3">
        <v>2762000000</v>
      </c>
      <c r="I1495" s="3">
        <v>0</v>
      </c>
      <c r="J1495" s="3">
        <v>562000000</v>
      </c>
      <c r="K1495" s="3">
        <f>Project_Data_NYSE[[#This Row],[Gross Profit]]-Project_Data_NYSE[[#This Row],[ Sales, General and Admin. ]]-Project_Data_NYSE[[#This Row],[ Research and Development ]]-Project_Data_NYSE[[#This Row],[ Other Operating Items ]]</f>
        <v>1636000000</v>
      </c>
      <c r="L1495" t="s">
        <v>82</v>
      </c>
      <c r="M1495" t="s">
        <v>340</v>
      </c>
      <c r="N1495" s="31">
        <f>Project_Data_NYSE[[#This Row],[Gross Profit]]/Project_Data_NYSE[[#This Row],[ Total Revenue ]]</f>
        <v>0.12206826963305688</v>
      </c>
      <c r="O1495" s="31">
        <f>Project_Data_NYSE[[#This Row],[Operating Profit]]/Project_Data_NYSE[[#This Row],[ Total Revenue ]]</f>
        <v>4.0262840548322791E-2</v>
      </c>
    </row>
    <row r="1496" spans="1:15" x14ac:dyDescent="0.2">
      <c r="A1496">
        <v>1557</v>
      </c>
      <c r="B1496" t="s">
        <v>518</v>
      </c>
      <c r="C1496" t="s">
        <v>16</v>
      </c>
      <c r="D1496" s="48">
        <v>42369</v>
      </c>
      <c r="E1496" s="3">
        <v>28711000000</v>
      </c>
      <c r="F1496" s="3">
        <v>22466000000</v>
      </c>
      <c r="G1496" s="3">
        <f>Project_Data_NYSE[[#This Row],[ Total Revenue ]]-Project_Data_NYSE[[#This Row],[ Cost of Goods Sold ]]</f>
        <v>6245000000</v>
      </c>
      <c r="H1496" s="3">
        <v>2620000000</v>
      </c>
      <c r="I1496" s="3">
        <v>0</v>
      </c>
      <c r="J1496" s="3">
        <v>756000000</v>
      </c>
      <c r="K1496" s="3">
        <f>Project_Data_NYSE[[#This Row],[Gross Profit]]-Project_Data_NYSE[[#This Row],[ Sales, General and Admin. ]]-Project_Data_NYSE[[#This Row],[ Research and Development ]]-Project_Data_NYSE[[#This Row],[ Other Operating Items ]]</f>
        <v>2869000000</v>
      </c>
      <c r="L1496" t="s">
        <v>82</v>
      </c>
      <c r="M1496" t="s">
        <v>340</v>
      </c>
      <c r="N1496" s="31">
        <f>Project_Data_NYSE[[#This Row],[Gross Profit]]/Project_Data_NYSE[[#This Row],[ Total Revenue ]]</f>
        <v>0.21751245167357458</v>
      </c>
      <c r="O1496" s="31">
        <f>Project_Data_NYSE[[#This Row],[Operating Profit]]/Project_Data_NYSE[[#This Row],[ Total Revenue ]]</f>
        <v>9.9926857302079342E-2</v>
      </c>
    </row>
    <row r="1497" spans="1:15" x14ac:dyDescent="0.2">
      <c r="A1497">
        <v>1558</v>
      </c>
      <c r="B1497" t="s">
        <v>519</v>
      </c>
      <c r="C1497" t="s">
        <v>11</v>
      </c>
      <c r="D1497" s="48">
        <v>41274</v>
      </c>
      <c r="E1497" s="3">
        <v>1793557000</v>
      </c>
      <c r="F1497" s="3">
        <v>1189341000</v>
      </c>
      <c r="G1497" s="3">
        <f>Project_Data_NYSE[[#This Row],[ Total Revenue ]]-Project_Data_NYSE[[#This Row],[ Cost of Goods Sold ]]</f>
        <v>604216000</v>
      </c>
      <c r="H1497" s="3">
        <v>247597000</v>
      </c>
      <c r="I1497" s="3">
        <v>0</v>
      </c>
      <c r="J1497" s="3">
        <v>0</v>
      </c>
      <c r="K1497" s="3">
        <f>Project_Data_NYSE[[#This Row],[Gross Profit]]-Project_Data_NYSE[[#This Row],[ Sales, General and Admin. ]]-Project_Data_NYSE[[#This Row],[ Research and Development ]]-Project_Data_NYSE[[#This Row],[ Other Operating Items ]]</f>
        <v>356619000</v>
      </c>
      <c r="L1497" t="s">
        <v>21</v>
      </c>
      <c r="M1497" t="s">
        <v>56</v>
      </c>
      <c r="N1497" s="31">
        <f>Project_Data_NYSE[[#This Row],[Gross Profit]]/Project_Data_NYSE[[#This Row],[ Total Revenue ]]</f>
        <v>0.33688140382491327</v>
      </c>
      <c r="O1497" s="31">
        <f>Project_Data_NYSE[[#This Row],[Operating Profit]]/Project_Data_NYSE[[#This Row],[ Total Revenue ]]</f>
        <v>0.19883337970301473</v>
      </c>
    </row>
    <row r="1498" spans="1:15" x14ac:dyDescent="0.2">
      <c r="A1498">
        <v>1559</v>
      </c>
      <c r="B1498" t="s">
        <v>519</v>
      </c>
      <c r="C1498" t="s">
        <v>14</v>
      </c>
      <c r="D1498" s="48">
        <v>41639</v>
      </c>
      <c r="E1498" s="3">
        <v>2064305000</v>
      </c>
      <c r="F1498" s="3">
        <v>1369438000</v>
      </c>
      <c r="G1498" s="3">
        <f>Project_Data_NYSE[[#This Row],[ Total Revenue ]]-Project_Data_NYSE[[#This Row],[ Cost of Goods Sold ]]</f>
        <v>694867000</v>
      </c>
      <c r="H1498" s="3">
        <v>312367000</v>
      </c>
      <c r="I1498" s="3">
        <v>0</v>
      </c>
      <c r="J1498" s="3">
        <v>0</v>
      </c>
      <c r="K1498" s="3">
        <f>Project_Data_NYSE[[#This Row],[Gross Profit]]-Project_Data_NYSE[[#This Row],[ Sales, General and Admin. ]]-Project_Data_NYSE[[#This Row],[ Research and Development ]]-Project_Data_NYSE[[#This Row],[ Other Operating Items ]]</f>
        <v>382500000</v>
      </c>
      <c r="L1498" t="s">
        <v>21</v>
      </c>
      <c r="M1498" t="s">
        <v>56</v>
      </c>
      <c r="N1498" s="31">
        <f>Project_Data_NYSE[[#This Row],[Gross Profit]]/Project_Data_NYSE[[#This Row],[ Total Revenue ]]</f>
        <v>0.33661062682113352</v>
      </c>
      <c r="O1498" s="31">
        <f>Project_Data_NYSE[[#This Row],[Operating Profit]]/Project_Data_NYSE[[#This Row],[ Total Revenue ]]</f>
        <v>0.18529238654171742</v>
      </c>
    </row>
    <row r="1499" spans="1:15" x14ac:dyDescent="0.2">
      <c r="A1499">
        <v>1560</v>
      </c>
      <c r="B1499" t="s">
        <v>519</v>
      </c>
      <c r="C1499" t="s">
        <v>15</v>
      </c>
      <c r="D1499" s="48">
        <v>42004</v>
      </c>
      <c r="E1499" s="3">
        <v>2446877000</v>
      </c>
      <c r="F1499" s="3">
        <v>1668892000</v>
      </c>
      <c r="G1499" s="3">
        <f>Project_Data_NYSE[[#This Row],[ Total Revenue ]]-Project_Data_NYSE[[#This Row],[ Cost of Goods Sold ]]</f>
        <v>777985000</v>
      </c>
      <c r="H1499" s="3">
        <v>346345000</v>
      </c>
      <c r="I1499" s="3">
        <v>0</v>
      </c>
      <c r="J1499" s="3">
        <v>0</v>
      </c>
      <c r="K1499" s="3">
        <f>Project_Data_NYSE[[#This Row],[Gross Profit]]-Project_Data_NYSE[[#This Row],[ Sales, General and Admin. ]]-Project_Data_NYSE[[#This Row],[ Research and Development ]]-Project_Data_NYSE[[#This Row],[ Other Operating Items ]]</f>
        <v>431640000</v>
      </c>
      <c r="L1499" t="s">
        <v>21</v>
      </c>
      <c r="M1499" t="s">
        <v>56</v>
      </c>
      <c r="N1499" s="31">
        <f>Project_Data_NYSE[[#This Row],[Gross Profit]]/Project_Data_NYSE[[#This Row],[ Total Revenue ]]</f>
        <v>0.31795018711606671</v>
      </c>
      <c r="O1499" s="31">
        <f>Project_Data_NYSE[[#This Row],[Operating Profit]]/Project_Data_NYSE[[#This Row],[ Total Revenue ]]</f>
        <v>0.17640445351360121</v>
      </c>
    </row>
    <row r="1500" spans="1:15" x14ac:dyDescent="0.2">
      <c r="A1500">
        <v>1561</v>
      </c>
      <c r="B1500" t="s">
        <v>519</v>
      </c>
      <c r="C1500" t="s">
        <v>16</v>
      </c>
      <c r="D1500" s="48">
        <v>42369</v>
      </c>
      <c r="E1500" s="3">
        <v>2779541000</v>
      </c>
      <c r="F1500" s="3">
        <v>1855181000</v>
      </c>
      <c r="G1500" s="3">
        <f>Project_Data_NYSE[[#This Row],[ Total Revenue ]]-Project_Data_NYSE[[#This Row],[ Cost of Goods Sold ]]</f>
        <v>924360000</v>
      </c>
      <c r="H1500" s="3">
        <v>390253000</v>
      </c>
      <c r="I1500" s="3">
        <v>0</v>
      </c>
      <c r="J1500" s="3">
        <v>0</v>
      </c>
      <c r="K1500" s="3">
        <f>Project_Data_NYSE[[#This Row],[Gross Profit]]-Project_Data_NYSE[[#This Row],[ Sales, General and Admin. ]]-Project_Data_NYSE[[#This Row],[ Research and Development ]]-Project_Data_NYSE[[#This Row],[ Other Operating Items ]]</f>
        <v>534107000</v>
      </c>
      <c r="L1500" t="s">
        <v>21</v>
      </c>
      <c r="M1500" t="s">
        <v>56</v>
      </c>
      <c r="N1500" s="31">
        <f>Project_Data_NYSE[[#This Row],[Gross Profit]]/Project_Data_NYSE[[#This Row],[ Total Revenue ]]</f>
        <v>0.33255850516326257</v>
      </c>
      <c r="O1500" s="31">
        <f>Project_Data_NYSE[[#This Row],[Operating Profit]]/Project_Data_NYSE[[#This Row],[ Total Revenue ]]</f>
        <v>0.1921565467104101</v>
      </c>
    </row>
    <row r="1501" spans="1:15" x14ac:dyDescent="0.2">
      <c r="A1501">
        <v>1562</v>
      </c>
      <c r="B1501" t="s">
        <v>520</v>
      </c>
      <c r="C1501" t="s">
        <v>11</v>
      </c>
      <c r="D1501" s="48">
        <v>41274</v>
      </c>
      <c r="E1501" s="3">
        <v>12825000000</v>
      </c>
      <c r="F1501" s="3">
        <v>6457000000</v>
      </c>
      <c r="G1501" s="3">
        <f>Project_Data_NYSE[[#This Row],[ Total Revenue ]]-Project_Data_NYSE[[#This Row],[ Cost of Goods Sold ]]</f>
        <v>6368000000</v>
      </c>
      <c r="H1501" s="3">
        <v>1804000000</v>
      </c>
      <c r="I1501" s="3">
        <v>1877000000</v>
      </c>
      <c r="J1501" s="3">
        <v>0</v>
      </c>
      <c r="K1501" s="3">
        <f>Project_Data_NYSE[[#This Row],[Gross Profit]]-Project_Data_NYSE[[#This Row],[ Sales, General and Admin. ]]-Project_Data_NYSE[[#This Row],[ Research and Development ]]-Project_Data_NYSE[[#This Row],[ Other Operating Items ]]</f>
        <v>2687000000</v>
      </c>
      <c r="L1501" t="s">
        <v>21</v>
      </c>
      <c r="M1501" t="s">
        <v>33</v>
      </c>
      <c r="N1501" s="31">
        <f>Project_Data_NYSE[[#This Row],[Gross Profit]]/Project_Data_NYSE[[#This Row],[ Total Revenue ]]</f>
        <v>0.49653021442495127</v>
      </c>
      <c r="O1501" s="31">
        <f>Project_Data_NYSE[[#This Row],[Operating Profit]]/Project_Data_NYSE[[#This Row],[ Total Revenue ]]</f>
        <v>0.20951267056530215</v>
      </c>
    </row>
    <row r="1502" spans="1:15" x14ac:dyDescent="0.2">
      <c r="A1502">
        <v>1563</v>
      </c>
      <c r="B1502" t="s">
        <v>520</v>
      </c>
      <c r="C1502" t="s">
        <v>14</v>
      </c>
      <c r="D1502" s="48">
        <v>41639</v>
      </c>
      <c r="E1502" s="3">
        <v>12205000000</v>
      </c>
      <c r="F1502" s="3">
        <v>5841000000</v>
      </c>
      <c r="G1502" s="3">
        <f>Project_Data_NYSE[[#This Row],[ Total Revenue ]]-Project_Data_NYSE[[#This Row],[ Cost of Goods Sold ]]</f>
        <v>6364000000</v>
      </c>
      <c r="H1502" s="3">
        <v>1858000000</v>
      </c>
      <c r="I1502" s="3">
        <v>1522000000</v>
      </c>
      <c r="J1502" s="3">
        <v>0</v>
      </c>
      <c r="K1502" s="3">
        <f>Project_Data_NYSE[[#This Row],[Gross Profit]]-Project_Data_NYSE[[#This Row],[ Sales, General and Admin. ]]-Project_Data_NYSE[[#This Row],[ Research and Development ]]-Project_Data_NYSE[[#This Row],[ Other Operating Items ]]</f>
        <v>2984000000</v>
      </c>
      <c r="L1502" t="s">
        <v>21</v>
      </c>
      <c r="M1502" t="s">
        <v>33</v>
      </c>
      <c r="N1502" s="31">
        <f>Project_Data_NYSE[[#This Row],[Gross Profit]]/Project_Data_NYSE[[#This Row],[ Total Revenue ]]</f>
        <v>0.52142564522736579</v>
      </c>
      <c r="O1502" s="31">
        <f>Project_Data_NYSE[[#This Row],[Operating Profit]]/Project_Data_NYSE[[#This Row],[ Total Revenue ]]</f>
        <v>0.24448996312986482</v>
      </c>
    </row>
    <row r="1503" spans="1:15" x14ac:dyDescent="0.2">
      <c r="A1503">
        <v>1564</v>
      </c>
      <c r="B1503" t="s">
        <v>520</v>
      </c>
      <c r="C1503" t="s">
        <v>15</v>
      </c>
      <c r="D1503" s="48">
        <v>42004</v>
      </c>
      <c r="E1503" s="3">
        <v>13045000000</v>
      </c>
      <c r="F1503" s="3">
        <v>5618000000</v>
      </c>
      <c r="G1503" s="3">
        <f>Project_Data_NYSE[[#This Row],[ Total Revenue ]]-Project_Data_NYSE[[#This Row],[ Cost of Goods Sold ]]</f>
        <v>7427000000</v>
      </c>
      <c r="H1503" s="3">
        <v>1843000000</v>
      </c>
      <c r="I1503" s="3">
        <v>1358000000</v>
      </c>
      <c r="J1503" s="3">
        <v>0</v>
      </c>
      <c r="K1503" s="3">
        <f>Project_Data_NYSE[[#This Row],[Gross Profit]]-Project_Data_NYSE[[#This Row],[ Sales, General and Admin. ]]-Project_Data_NYSE[[#This Row],[ Research and Development ]]-Project_Data_NYSE[[#This Row],[ Other Operating Items ]]</f>
        <v>4226000000</v>
      </c>
      <c r="L1503" t="s">
        <v>21</v>
      </c>
      <c r="M1503" t="s">
        <v>33</v>
      </c>
      <c r="N1503" s="31">
        <f>Project_Data_NYSE[[#This Row],[Gross Profit]]/Project_Data_NYSE[[#This Row],[ Total Revenue ]]</f>
        <v>0.56933691069375236</v>
      </c>
      <c r="O1503" s="31">
        <f>Project_Data_NYSE[[#This Row],[Operating Profit]]/Project_Data_NYSE[[#This Row],[ Total Revenue ]]</f>
        <v>0.32395553852050596</v>
      </c>
    </row>
    <row r="1504" spans="1:15" x14ac:dyDescent="0.2">
      <c r="A1504">
        <v>1565</v>
      </c>
      <c r="B1504" t="s">
        <v>520</v>
      </c>
      <c r="C1504" t="s">
        <v>16</v>
      </c>
      <c r="D1504" s="48">
        <v>42369</v>
      </c>
      <c r="E1504" s="3">
        <v>13000000000</v>
      </c>
      <c r="F1504" s="3">
        <v>5440000000</v>
      </c>
      <c r="G1504" s="3">
        <f>Project_Data_NYSE[[#This Row],[ Total Revenue ]]-Project_Data_NYSE[[#This Row],[ Cost of Goods Sold ]]</f>
        <v>7560000000</v>
      </c>
      <c r="H1504" s="3">
        <v>1748000000</v>
      </c>
      <c r="I1504" s="3">
        <v>1280000000</v>
      </c>
      <c r="J1504" s="3">
        <v>0</v>
      </c>
      <c r="K1504" s="3">
        <f>Project_Data_NYSE[[#This Row],[Gross Profit]]-Project_Data_NYSE[[#This Row],[ Sales, General and Admin. ]]-Project_Data_NYSE[[#This Row],[ Research and Development ]]-Project_Data_NYSE[[#This Row],[ Other Operating Items ]]</f>
        <v>4532000000</v>
      </c>
      <c r="L1504" t="s">
        <v>21</v>
      </c>
      <c r="M1504" t="s">
        <v>33</v>
      </c>
      <c r="N1504" s="31">
        <f>Project_Data_NYSE[[#This Row],[Gross Profit]]/Project_Data_NYSE[[#This Row],[ Total Revenue ]]</f>
        <v>0.58153846153846156</v>
      </c>
      <c r="O1504" s="31">
        <f>Project_Data_NYSE[[#This Row],[Operating Profit]]/Project_Data_NYSE[[#This Row],[ Total Revenue ]]</f>
        <v>0.3486153846153846</v>
      </c>
    </row>
    <row r="1505" spans="1:15" x14ac:dyDescent="0.2">
      <c r="A1505">
        <v>1566</v>
      </c>
      <c r="B1505" t="s">
        <v>521</v>
      </c>
      <c r="C1505" t="s">
        <v>11</v>
      </c>
      <c r="D1505" s="48">
        <v>41272</v>
      </c>
      <c r="E1505" s="3">
        <v>12237000000</v>
      </c>
      <c r="F1505" s="3">
        <v>10019000000</v>
      </c>
      <c r="G1505" s="3">
        <f>Project_Data_NYSE[[#This Row],[ Total Revenue ]]-Project_Data_NYSE[[#This Row],[ Cost of Goods Sold ]]</f>
        <v>2218000000</v>
      </c>
      <c r="H1505" s="3">
        <v>1165000000</v>
      </c>
      <c r="I1505" s="3">
        <v>0</v>
      </c>
      <c r="J1505" s="3">
        <v>0</v>
      </c>
      <c r="K1505" s="3">
        <f>Project_Data_NYSE[[#This Row],[Gross Profit]]-Project_Data_NYSE[[#This Row],[ Sales, General and Admin. ]]-Project_Data_NYSE[[#This Row],[ Research and Development ]]-Project_Data_NYSE[[#This Row],[ Other Operating Items ]]</f>
        <v>1053000000</v>
      </c>
      <c r="L1505" t="s">
        <v>12</v>
      </c>
      <c r="M1505" t="s">
        <v>163</v>
      </c>
      <c r="N1505" s="31">
        <f>Project_Data_NYSE[[#This Row],[Gross Profit]]/Project_Data_NYSE[[#This Row],[ Total Revenue ]]</f>
        <v>0.18125357522268529</v>
      </c>
      <c r="O1505" s="31">
        <f>Project_Data_NYSE[[#This Row],[Operating Profit]]/Project_Data_NYSE[[#This Row],[ Total Revenue ]]</f>
        <v>8.6050502574160331E-2</v>
      </c>
    </row>
    <row r="1506" spans="1:15" x14ac:dyDescent="0.2">
      <c r="A1506">
        <v>1567</v>
      </c>
      <c r="B1506" t="s">
        <v>521</v>
      </c>
      <c r="C1506" t="s">
        <v>14</v>
      </c>
      <c r="D1506" s="48">
        <v>41636</v>
      </c>
      <c r="E1506" s="3">
        <v>12104000000</v>
      </c>
      <c r="F1506" s="3">
        <v>10131000000</v>
      </c>
      <c r="G1506" s="3">
        <f>Project_Data_NYSE[[#This Row],[ Total Revenue ]]-Project_Data_NYSE[[#This Row],[ Cost of Goods Sold ]]</f>
        <v>1973000000</v>
      </c>
      <c r="H1506" s="3">
        <v>1126000000</v>
      </c>
      <c r="I1506" s="3">
        <v>0</v>
      </c>
      <c r="J1506" s="3">
        <v>0</v>
      </c>
      <c r="K1506" s="3">
        <f>Project_Data_NYSE[[#This Row],[Gross Profit]]-Project_Data_NYSE[[#This Row],[ Sales, General and Admin. ]]-Project_Data_NYSE[[#This Row],[ Research and Development ]]-Project_Data_NYSE[[#This Row],[ Other Operating Items ]]</f>
        <v>847000000</v>
      </c>
      <c r="L1506" t="s">
        <v>12</v>
      </c>
      <c r="M1506" t="s">
        <v>163</v>
      </c>
      <c r="N1506" s="31">
        <f>Project_Data_NYSE[[#This Row],[Gross Profit]]/Project_Data_NYSE[[#This Row],[ Total Revenue ]]</f>
        <v>0.16300396563119629</v>
      </c>
      <c r="O1506" s="31">
        <f>Project_Data_NYSE[[#This Row],[Operating Profit]]/Project_Data_NYSE[[#This Row],[ Total Revenue ]]</f>
        <v>6.9976867151354927E-2</v>
      </c>
    </row>
    <row r="1507" spans="1:15" x14ac:dyDescent="0.2">
      <c r="A1507">
        <v>1568</v>
      </c>
      <c r="B1507" t="s">
        <v>521</v>
      </c>
      <c r="C1507" t="s">
        <v>15</v>
      </c>
      <c r="D1507" s="48">
        <v>42007</v>
      </c>
      <c r="E1507" s="3">
        <v>13878000000</v>
      </c>
      <c r="F1507" s="3">
        <v>11421000000</v>
      </c>
      <c r="G1507" s="3">
        <f>Project_Data_NYSE[[#This Row],[ Total Revenue ]]-Project_Data_NYSE[[#This Row],[ Cost of Goods Sold ]]</f>
        <v>2457000000</v>
      </c>
      <c r="H1507" s="3">
        <v>1361000000</v>
      </c>
      <c r="I1507" s="3">
        <v>0</v>
      </c>
      <c r="J1507" s="3">
        <v>0</v>
      </c>
      <c r="K1507" s="3">
        <f>Project_Data_NYSE[[#This Row],[Gross Profit]]-Project_Data_NYSE[[#This Row],[ Sales, General and Admin. ]]-Project_Data_NYSE[[#This Row],[ Research and Development ]]-Project_Data_NYSE[[#This Row],[ Other Operating Items ]]</f>
        <v>1096000000</v>
      </c>
      <c r="L1507" t="s">
        <v>12</v>
      </c>
      <c r="M1507" t="s">
        <v>163</v>
      </c>
      <c r="N1507" s="31">
        <f>Project_Data_NYSE[[#This Row],[Gross Profit]]/Project_Data_NYSE[[#This Row],[ Total Revenue ]]</f>
        <v>0.17704280155642024</v>
      </c>
      <c r="O1507" s="31">
        <f>Project_Data_NYSE[[#This Row],[Operating Profit]]/Project_Data_NYSE[[#This Row],[ Total Revenue ]]</f>
        <v>7.8973915549791038E-2</v>
      </c>
    </row>
    <row r="1508" spans="1:15" x14ac:dyDescent="0.2">
      <c r="A1508">
        <v>1569</v>
      </c>
      <c r="B1508" t="s">
        <v>521</v>
      </c>
      <c r="C1508" t="s">
        <v>16</v>
      </c>
      <c r="D1508" s="48">
        <v>42371</v>
      </c>
      <c r="E1508" s="3">
        <v>13423000000</v>
      </c>
      <c r="F1508" s="3">
        <v>10979000000</v>
      </c>
      <c r="G1508" s="3">
        <f>Project_Data_NYSE[[#This Row],[ Total Revenue ]]-Project_Data_NYSE[[#This Row],[ Cost of Goods Sold ]]</f>
        <v>2444000000</v>
      </c>
      <c r="H1508" s="3">
        <v>1304000000</v>
      </c>
      <c r="I1508" s="3">
        <v>0</v>
      </c>
      <c r="J1508" s="3">
        <v>0</v>
      </c>
      <c r="K1508" s="3">
        <f>Project_Data_NYSE[[#This Row],[Gross Profit]]-Project_Data_NYSE[[#This Row],[ Sales, General and Admin. ]]-Project_Data_NYSE[[#This Row],[ Research and Development ]]-Project_Data_NYSE[[#This Row],[ Other Operating Items ]]</f>
        <v>1140000000</v>
      </c>
      <c r="L1508" t="s">
        <v>12</v>
      </c>
      <c r="M1508" t="s">
        <v>163</v>
      </c>
      <c r="N1508" s="31">
        <f>Project_Data_NYSE[[#This Row],[Gross Profit]]/Project_Data_NYSE[[#This Row],[ Total Revenue ]]</f>
        <v>0.18207554198018328</v>
      </c>
      <c r="O1508" s="31">
        <f>Project_Data_NYSE[[#This Row],[Operating Profit]]/Project_Data_NYSE[[#This Row],[ Total Revenue ]]</f>
        <v>8.4928853460478279E-2</v>
      </c>
    </row>
    <row r="1509" spans="1:15" x14ac:dyDescent="0.2">
      <c r="A1509">
        <v>1570</v>
      </c>
      <c r="B1509" t="s">
        <v>522</v>
      </c>
      <c r="C1509" t="s">
        <v>11</v>
      </c>
      <c r="D1509" s="48">
        <v>41274</v>
      </c>
      <c r="E1509" s="3">
        <v>1834921000</v>
      </c>
      <c r="F1509" s="3">
        <v>955624000</v>
      </c>
      <c r="G1509" s="3">
        <f>Project_Data_NYSE[[#This Row],[ Total Revenue ]]-Project_Data_NYSE[[#This Row],[ Cost of Goods Sold ]]</f>
        <v>879297000</v>
      </c>
      <c r="H1509" s="3">
        <v>670602000</v>
      </c>
      <c r="I1509" s="3">
        <v>0</v>
      </c>
      <c r="J1509" s="3">
        <v>0</v>
      </c>
      <c r="K1509" s="3">
        <f>Project_Data_NYSE[[#This Row],[Gross Profit]]-Project_Data_NYSE[[#This Row],[ Sales, General and Admin. ]]-Project_Data_NYSE[[#This Row],[ Research and Development ]]-Project_Data_NYSE[[#This Row],[ Other Operating Items ]]</f>
        <v>208695000</v>
      </c>
      <c r="L1509" t="s">
        <v>18</v>
      </c>
      <c r="M1509" t="s">
        <v>288</v>
      </c>
      <c r="N1509" s="31">
        <f>Project_Data_NYSE[[#This Row],[Gross Profit]]/Project_Data_NYSE[[#This Row],[ Total Revenue ]]</f>
        <v>0.47920155690626465</v>
      </c>
      <c r="O1509" s="31">
        <f>Project_Data_NYSE[[#This Row],[Operating Profit]]/Project_Data_NYSE[[#This Row],[ Total Revenue ]]</f>
        <v>0.11373514173089741</v>
      </c>
    </row>
    <row r="1510" spans="1:15" x14ac:dyDescent="0.2">
      <c r="A1510">
        <v>1571</v>
      </c>
      <c r="B1510" t="s">
        <v>522</v>
      </c>
      <c r="C1510" t="s">
        <v>14</v>
      </c>
      <c r="D1510" s="48">
        <v>41639</v>
      </c>
      <c r="E1510" s="3">
        <v>2332051000</v>
      </c>
      <c r="F1510" s="3">
        <v>1195381000</v>
      </c>
      <c r="G1510" s="3">
        <f>Project_Data_NYSE[[#This Row],[ Total Revenue ]]-Project_Data_NYSE[[#This Row],[ Cost of Goods Sold ]]</f>
        <v>1136670000</v>
      </c>
      <c r="H1510" s="3">
        <v>871572000</v>
      </c>
      <c r="I1510" s="3">
        <v>0</v>
      </c>
      <c r="J1510" s="3">
        <v>0</v>
      </c>
      <c r="K1510" s="3">
        <f>Project_Data_NYSE[[#This Row],[Gross Profit]]-Project_Data_NYSE[[#This Row],[ Sales, General and Admin. ]]-Project_Data_NYSE[[#This Row],[ Research and Development ]]-Project_Data_NYSE[[#This Row],[ Other Operating Items ]]</f>
        <v>265098000</v>
      </c>
      <c r="L1510" t="s">
        <v>18</v>
      </c>
      <c r="M1510" t="s">
        <v>288</v>
      </c>
      <c r="N1510" s="31">
        <f>Project_Data_NYSE[[#This Row],[Gross Profit]]/Project_Data_NYSE[[#This Row],[ Total Revenue ]]</f>
        <v>0.48741215350779205</v>
      </c>
      <c r="O1510" s="31">
        <f>Project_Data_NYSE[[#This Row],[Operating Profit]]/Project_Data_NYSE[[#This Row],[ Total Revenue ]]</f>
        <v>0.11367590159906452</v>
      </c>
    </row>
    <row r="1511" spans="1:15" x14ac:dyDescent="0.2">
      <c r="A1511">
        <v>1572</v>
      </c>
      <c r="B1511" t="s">
        <v>522</v>
      </c>
      <c r="C1511" t="s">
        <v>15</v>
      </c>
      <c r="D1511" s="48">
        <v>42004</v>
      </c>
      <c r="E1511" s="3">
        <v>3084370000</v>
      </c>
      <c r="F1511" s="3">
        <v>1572164000</v>
      </c>
      <c r="G1511" s="3">
        <f>Project_Data_NYSE[[#This Row],[ Total Revenue ]]-Project_Data_NYSE[[#This Row],[ Cost of Goods Sold ]]</f>
        <v>1512206000</v>
      </c>
      <c r="H1511" s="3">
        <v>1158251000</v>
      </c>
      <c r="I1511" s="3">
        <v>0</v>
      </c>
      <c r="J1511" s="3">
        <v>0</v>
      </c>
      <c r="K1511" s="3">
        <f>Project_Data_NYSE[[#This Row],[Gross Profit]]-Project_Data_NYSE[[#This Row],[ Sales, General and Admin. ]]-Project_Data_NYSE[[#This Row],[ Research and Development ]]-Project_Data_NYSE[[#This Row],[ Other Operating Items ]]</f>
        <v>353955000</v>
      </c>
      <c r="L1511" t="s">
        <v>18</v>
      </c>
      <c r="M1511" t="s">
        <v>288</v>
      </c>
      <c r="N1511" s="31">
        <f>Project_Data_NYSE[[#This Row],[Gross Profit]]/Project_Data_NYSE[[#This Row],[ Total Revenue ]]</f>
        <v>0.49028034898536815</v>
      </c>
      <c r="O1511" s="31">
        <f>Project_Data_NYSE[[#This Row],[Operating Profit]]/Project_Data_NYSE[[#This Row],[ Total Revenue ]]</f>
        <v>0.11475763283912112</v>
      </c>
    </row>
    <row r="1512" spans="1:15" x14ac:dyDescent="0.2">
      <c r="A1512">
        <v>1573</v>
      </c>
      <c r="B1512" t="s">
        <v>522</v>
      </c>
      <c r="C1512" t="s">
        <v>16</v>
      </c>
      <c r="D1512" s="48">
        <v>42369</v>
      </c>
      <c r="E1512" s="3">
        <v>3963313000</v>
      </c>
      <c r="F1512" s="3">
        <v>2057766000</v>
      </c>
      <c r="G1512" s="3">
        <f>Project_Data_NYSE[[#This Row],[ Total Revenue ]]-Project_Data_NYSE[[#This Row],[ Cost of Goods Sold ]]</f>
        <v>1905547000</v>
      </c>
      <c r="H1512" s="3">
        <v>1497000000</v>
      </c>
      <c r="I1512" s="3">
        <v>0</v>
      </c>
      <c r="J1512" s="3">
        <v>0</v>
      </c>
      <c r="K1512" s="3">
        <f>Project_Data_NYSE[[#This Row],[Gross Profit]]-Project_Data_NYSE[[#This Row],[ Sales, General and Admin. ]]-Project_Data_NYSE[[#This Row],[ Research and Development ]]-Project_Data_NYSE[[#This Row],[ Other Operating Items ]]</f>
        <v>408547000</v>
      </c>
      <c r="L1512" t="s">
        <v>18</v>
      </c>
      <c r="M1512" t="s">
        <v>288</v>
      </c>
      <c r="N1512" s="31">
        <f>Project_Data_NYSE[[#This Row],[Gross Profit]]/Project_Data_NYSE[[#This Row],[ Total Revenue ]]</f>
        <v>0.48079649525535834</v>
      </c>
      <c r="O1512" s="31">
        <f>Project_Data_NYSE[[#This Row],[Operating Profit]]/Project_Data_NYSE[[#This Row],[ Total Revenue ]]</f>
        <v>0.10308219411386384</v>
      </c>
    </row>
    <row r="1513" spans="1:15" x14ac:dyDescent="0.2">
      <c r="A1513">
        <v>1574</v>
      </c>
      <c r="B1513" t="s">
        <v>523</v>
      </c>
      <c r="C1513" t="s">
        <v>11</v>
      </c>
      <c r="D1513" s="48">
        <v>41274</v>
      </c>
      <c r="E1513" s="3">
        <v>1834921000</v>
      </c>
      <c r="F1513" s="3">
        <v>955624000</v>
      </c>
      <c r="G1513" s="3">
        <f>Project_Data_NYSE[[#This Row],[ Total Revenue ]]-Project_Data_NYSE[[#This Row],[ Cost of Goods Sold ]]</f>
        <v>879297000</v>
      </c>
      <c r="H1513" s="3">
        <v>670602000</v>
      </c>
      <c r="I1513" s="3">
        <v>0</v>
      </c>
      <c r="J1513" s="3">
        <v>0</v>
      </c>
      <c r="K1513" s="3">
        <f>Project_Data_NYSE[[#This Row],[Gross Profit]]-Project_Data_NYSE[[#This Row],[ Sales, General and Admin. ]]-Project_Data_NYSE[[#This Row],[ Research and Development ]]-Project_Data_NYSE[[#This Row],[ Other Operating Items ]]</f>
        <v>208695000</v>
      </c>
      <c r="L1513" t="s">
        <v>18</v>
      </c>
      <c r="M1513" t="s">
        <v>288</v>
      </c>
      <c r="N1513" s="31">
        <f>Project_Data_NYSE[[#This Row],[Gross Profit]]/Project_Data_NYSE[[#This Row],[ Total Revenue ]]</f>
        <v>0.47920155690626465</v>
      </c>
      <c r="O1513" s="31">
        <f>Project_Data_NYSE[[#This Row],[Operating Profit]]/Project_Data_NYSE[[#This Row],[ Total Revenue ]]</f>
        <v>0.11373514173089741</v>
      </c>
    </row>
    <row r="1514" spans="1:15" x14ac:dyDescent="0.2">
      <c r="A1514">
        <v>1575</v>
      </c>
      <c r="B1514" t="s">
        <v>523</v>
      </c>
      <c r="C1514" t="s">
        <v>14</v>
      </c>
      <c r="D1514" s="48">
        <v>41639</v>
      </c>
      <c r="E1514" s="3">
        <v>2332051000</v>
      </c>
      <c r="F1514" s="3">
        <v>1195381000</v>
      </c>
      <c r="G1514" s="3">
        <f>Project_Data_NYSE[[#This Row],[ Total Revenue ]]-Project_Data_NYSE[[#This Row],[ Cost of Goods Sold ]]</f>
        <v>1136670000</v>
      </c>
      <c r="H1514" s="3">
        <v>871572000</v>
      </c>
      <c r="I1514" s="3">
        <v>0</v>
      </c>
      <c r="J1514" s="3">
        <v>0</v>
      </c>
      <c r="K1514" s="3">
        <f>Project_Data_NYSE[[#This Row],[Gross Profit]]-Project_Data_NYSE[[#This Row],[ Sales, General and Admin. ]]-Project_Data_NYSE[[#This Row],[ Research and Development ]]-Project_Data_NYSE[[#This Row],[ Other Operating Items ]]</f>
        <v>265098000</v>
      </c>
      <c r="L1514" t="s">
        <v>18</v>
      </c>
      <c r="M1514" t="s">
        <v>288</v>
      </c>
      <c r="N1514" s="31">
        <f>Project_Data_NYSE[[#This Row],[Gross Profit]]/Project_Data_NYSE[[#This Row],[ Total Revenue ]]</f>
        <v>0.48741215350779205</v>
      </c>
      <c r="O1514" s="31">
        <f>Project_Data_NYSE[[#This Row],[Operating Profit]]/Project_Data_NYSE[[#This Row],[ Total Revenue ]]</f>
        <v>0.11367590159906452</v>
      </c>
    </row>
    <row r="1515" spans="1:15" x14ac:dyDescent="0.2">
      <c r="A1515">
        <v>1576</v>
      </c>
      <c r="B1515" t="s">
        <v>523</v>
      </c>
      <c r="C1515" t="s">
        <v>15</v>
      </c>
      <c r="D1515" s="48">
        <v>42004</v>
      </c>
      <c r="E1515" s="3">
        <v>3084370000</v>
      </c>
      <c r="F1515" s="3">
        <v>1572164000</v>
      </c>
      <c r="G1515" s="3">
        <f>Project_Data_NYSE[[#This Row],[ Total Revenue ]]-Project_Data_NYSE[[#This Row],[ Cost of Goods Sold ]]</f>
        <v>1512206000</v>
      </c>
      <c r="H1515" s="3">
        <v>1158251000</v>
      </c>
      <c r="I1515" s="3">
        <v>0</v>
      </c>
      <c r="J1515" s="3">
        <v>0</v>
      </c>
      <c r="K1515" s="3">
        <f>Project_Data_NYSE[[#This Row],[Gross Profit]]-Project_Data_NYSE[[#This Row],[ Sales, General and Admin. ]]-Project_Data_NYSE[[#This Row],[ Research and Development ]]-Project_Data_NYSE[[#This Row],[ Other Operating Items ]]</f>
        <v>353955000</v>
      </c>
      <c r="L1515" t="s">
        <v>18</v>
      </c>
      <c r="M1515" t="s">
        <v>288</v>
      </c>
      <c r="N1515" s="31">
        <f>Project_Data_NYSE[[#This Row],[Gross Profit]]/Project_Data_NYSE[[#This Row],[ Total Revenue ]]</f>
        <v>0.49028034898536815</v>
      </c>
      <c r="O1515" s="31">
        <f>Project_Data_NYSE[[#This Row],[Operating Profit]]/Project_Data_NYSE[[#This Row],[ Total Revenue ]]</f>
        <v>0.11475763283912112</v>
      </c>
    </row>
    <row r="1516" spans="1:15" x14ac:dyDescent="0.2">
      <c r="A1516">
        <v>1577</v>
      </c>
      <c r="B1516" t="s">
        <v>523</v>
      </c>
      <c r="C1516" t="s">
        <v>16</v>
      </c>
      <c r="D1516" s="48">
        <v>42369</v>
      </c>
      <c r="E1516" s="3">
        <v>3963313000</v>
      </c>
      <c r="F1516" s="3">
        <v>2057766000</v>
      </c>
      <c r="G1516" s="3">
        <f>Project_Data_NYSE[[#This Row],[ Total Revenue ]]-Project_Data_NYSE[[#This Row],[ Cost of Goods Sold ]]</f>
        <v>1905547000</v>
      </c>
      <c r="H1516" s="3">
        <v>1497000000</v>
      </c>
      <c r="I1516" s="3">
        <v>0</v>
      </c>
      <c r="J1516" s="3">
        <v>0</v>
      </c>
      <c r="K1516" s="3">
        <f>Project_Data_NYSE[[#This Row],[Gross Profit]]-Project_Data_NYSE[[#This Row],[ Sales, General and Admin. ]]-Project_Data_NYSE[[#This Row],[ Research and Development ]]-Project_Data_NYSE[[#This Row],[ Other Operating Items ]]</f>
        <v>408547000</v>
      </c>
      <c r="L1516" t="s">
        <v>18</v>
      </c>
      <c r="M1516" t="s">
        <v>288</v>
      </c>
      <c r="N1516" s="31">
        <f>Project_Data_NYSE[[#This Row],[Gross Profit]]/Project_Data_NYSE[[#This Row],[ Total Revenue ]]</f>
        <v>0.48079649525535834</v>
      </c>
      <c r="O1516" s="31">
        <f>Project_Data_NYSE[[#This Row],[Operating Profit]]/Project_Data_NYSE[[#This Row],[ Total Revenue ]]</f>
        <v>0.10308219411386384</v>
      </c>
    </row>
    <row r="1517" spans="1:15" x14ac:dyDescent="0.2">
      <c r="A1517">
        <v>1578</v>
      </c>
      <c r="B1517" t="s">
        <v>524</v>
      </c>
      <c r="C1517" t="s">
        <v>11</v>
      </c>
      <c r="D1517" s="48">
        <v>41274</v>
      </c>
      <c r="E1517" s="3">
        <v>37152000000</v>
      </c>
      <c r="F1517" s="3">
        <v>17820000000</v>
      </c>
      <c r="G1517" s="3">
        <f>Project_Data_NYSE[[#This Row],[ Total Revenue ]]-Project_Data_NYSE[[#This Row],[ Cost of Goods Sold ]]</f>
        <v>19332000000</v>
      </c>
      <c r="H1517" s="3">
        <v>16448000000</v>
      </c>
      <c r="I1517" s="3">
        <v>0</v>
      </c>
      <c r="J1517" s="3">
        <v>1522000000</v>
      </c>
      <c r="K1517" s="3">
        <f>Project_Data_NYSE[[#This Row],[Gross Profit]]-Project_Data_NYSE[[#This Row],[ Sales, General and Admin. ]]-Project_Data_NYSE[[#This Row],[ Research and Development ]]-Project_Data_NYSE[[#This Row],[ Other Operating Items ]]</f>
        <v>1362000000</v>
      </c>
      <c r="L1517" t="s">
        <v>12</v>
      </c>
      <c r="M1517" t="s">
        <v>13</v>
      </c>
      <c r="N1517" s="31">
        <f>Project_Data_NYSE[[#This Row],[Gross Profit]]/Project_Data_NYSE[[#This Row],[ Total Revenue ]]</f>
        <v>0.52034883720930236</v>
      </c>
      <c r="O1517" s="31">
        <f>Project_Data_NYSE[[#This Row],[Operating Profit]]/Project_Data_NYSE[[#This Row],[ Total Revenue ]]</f>
        <v>3.6660206718346251E-2</v>
      </c>
    </row>
    <row r="1518" spans="1:15" x14ac:dyDescent="0.2">
      <c r="A1518">
        <v>1579</v>
      </c>
      <c r="B1518" t="s">
        <v>524</v>
      </c>
      <c r="C1518" t="s">
        <v>14</v>
      </c>
      <c r="D1518" s="48">
        <v>41639</v>
      </c>
      <c r="E1518" s="3">
        <v>38279000000</v>
      </c>
      <c r="F1518" s="3">
        <v>17192000000</v>
      </c>
      <c r="G1518" s="3">
        <f>Project_Data_NYSE[[#This Row],[ Total Revenue ]]-Project_Data_NYSE[[#This Row],[ Cost of Goods Sold ]]</f>
        <v>21087000000</v>
      </c>
      <c r="H1518" s="3">
        <v>17629000000</v>
      </c>
      <c r="I1518" s="3">
        <v>0</v>
      </c>
      <c r="J1518" s="3">
        <v>1689000000</v>
      </c>
      <c r="K1518" s="3">
        <f>Project_Data_NYSE[[#This Row],[Gross Profit]]-Project_Data_NYSE[[#This Row],[ Sales, General and Admin. ]]-Project_Data_NYSE[[#This Row],[ Research and Development ]]-Project_Data_NYSE[[#This Row],[ Other Operating Items ]]</f>
        <v>1769000000</v>
      </c>
      <c r="L1518" t="s">
        <v>12</v>
      </c>
      <c r="M1518" t="s">
        <v>13</v>
      </c>
      <c r="N1518" s="31">
        <f>Project_Data_NYSE[[#This Row],[Gross Profit]]/Project_Data_NYSE[[#This Row],[ Total Revenue ]]</f>
        <v>0.55087645967762999</v>
      </c>
      <c r="O1518" s="31">
        <f>Project_Data_NYSE[[#This Row],[Operating Profit]]/Project_Data_NYSE[[#This Row],[ Total Revenue ]]</f>
        <v>4.6213328456856238E-2</v>
      </c>
    </row>
    <row r="1519" spans="1:15" x14ac:dyDescent="0.2">
      <c r="A1519">
        <v>1580</v>
      </c>
      <c r="B1519" t="s">
        <v>524</v>
      </c>
      <c r="C1519" t="s">
        <v>15</v>
      </c>
      <c r="D1519" s="48">
        <v>42004</v>
      </c>
      <c r="E1519" s="3">
        <v>38901000000</v>
      </c>
      <c r="F1519" s="3">
        <v>16611000000</v>
      </c>
      <c r="G1519" s="3">
        <f>Project_Data_NYSE[[#This Row],[ Total Revenue ]]-Project_Data_NYSE[[#This Row],[ Cost of Goods Sold ]]</f>
        <v>22290000000</v>
      </c>
      <c r="H1519" s="3">
        <v>17795000000</v>
      </c>
      <c r="I1519" s="3">
        <v>0</v>
      </c>
      <c r="J1519" s="3">
        <v>1679000000</v>
      </c>
      <c r="K1519" s="3">
        <f>Project_Data_NYSE[[#This Row],[Gross Profit]]-Project_Data_NYSE[[#This Row],[ Sales, General and Admin. ]]-Project_Data_NYSE[[#This Row],[ Research and Development ]]-Project_Data_NYSE[[#This Row],[ Other Operating Items ]]</f>
        <v>2816000000</v>
      </c>
      <c r="L1519" t="s">
        <v>12</v>
      </c>
      <c r="M1519" t="s">
        <v>13</v>
      </c>
      <c r="N1519" s="31">
        <f>Project_Data_NYSE[[#This Row],[Gross Profit]]/Project_Data_NYSE[[#This Row],[ Total Revenue ]]</f>
        <v>0.57299298218554795</v>
      </c>
      <c r="O1519" s="31">
        <f>Project_Data_NYSE[[#This Row],[Operating Profit]]/Project_Data_NYSE[[#This Row],[ Total Revenue ]]</f>
        <v>7.2388884604508888E-2</v>
      </c>
    </row>
    <row r="1520" spans="1:15" x14ac:dyDescent="0.2">
      <c r="A1520">
        <v>1581</v>
      </c>
      <c r="B1520" t="s">
        <v>524</v>
      </c>
      <c r="C1520" t="s">
        <v>16</v>
      </c>
      <c r="D1520" s="48">
        <v>42369</v>
      </c>
      <c r="E1520" s="3">
        <v>37864000000</v>
      </c>
      <c r="F1520" s="3">
        <v>12130000000</v>
      </c>
      <c r="G1520" s="3">
        <f>Project_Data_NYSE[[#This Row],[ Total Revenue ]]-Project_Data_NYSE[[#This Row],[ Cost of Goods Sold ]]</f>
        <v>25734000000</v>
      </c>
      <c r="H1520" s="3">
        <v>18423000000</v>
      </c>
      <c r="I1520" s="3">
        <v>0</v>
      </c>
      <c r="J1520" s="3">
        <v>1819000000</v>
      </c>
      <c r="K1520" s="3">
        <f>Project_Data_NYSE[[#This Row],[Gross Profit]]-Project_Data_NYSE[[#This Row],[ Sales, General and Admin. ]]-Project_Data_NYSE[[#This Row],[ Research and Development ]]-Project_Data_NYSE[[#This Row],[ Other Operating Items ]]</f>
        <v>5492000000</v>
      </c>
      <c r="L1520" t="s">
        <v>12</v>
      </c>
      <c r="M1520" t="s">
        <v>13</v>
      </c>
      <c r="N1520" s="31">
        <f>Project_Data_NYSE[[#This Row],[Gross Profit]]/Project_Data_NYSE[[#This Row],[ Total Revenue ]]</f>
        <v>0.67964293260088737</v>
      </c>
      <c r="O1520" s="31">
        <f>Project_Data_NYSE[[#This Row],[Operating Profit]]/Project_Data_NYSE[[#This Row],[ Total Revenue ]]</f>
        <v>0.14504542573420665</v>
      </c>
    </row>
    <row r="1521" spans="1:15" x14ac:dyDescent="0.2">
      <c r="A1521">
        <v>1582</v>
      </c>
      <c r="B1521" t="s">
        <v>525</v>
      </c>
      <c r="C1521" t="s">
        <v>11</v>
      </c>
      <c r="D1521" s="48">
        <v>41274</v>
      </c>
      <c r="E1521" s="3">
        <v>716612000</v>
      </c>
      <c r="F1521" s="3">
        <v>245316000</v>
      </c>
      <c r="G1521" s="3">
        <f>Project_Data_NYSE[[#This Row],[ Total Revenue ]]-Project_Data_NYSE[[#This Row],[ Cost of Goods Sold ]]</f>
        <v>471296000</v>
      </c>
      <c r="H1521" s="3">
        <v>58005000</v>
      </c>
      <c r="I1521" s="3">
        <v>0</v>
      </c>
      <c r="J1521" s="3">
        <v>346031000</v>
      </c>
      <c r="K1521" s="3">
        <f>Project_Data_NYSE[[#This Row],[Gross Profit]]-Project_Data_NYSE[[#This Row],[ Sales, General and Admin. ]]-Project_Data_NYSE[[#This Row],[ Research and Development ]]-Project_Data_NYSE[[#This Row],[ Other Operating Items ]]</f>
        <v>67260000</v>
      </c>
      <c r="L1521" t="s">
        <v>51</v>
      </c>
      <c r="M1521" t="s">
        <v>233</v>
      </c>
      <c r="N1521" s="31">
        <f>Project_Data_NYSE[[#This Row],[Gross Profit]]/Project_Data_NYSE[[#This Row],[ Total Revenue ]]</f>
        <v>0.65767249222731405</v>
      </c>
      <c r="O1521" s="31">
        <f>Project_Data_NYSE[[#This Row],[Operating Profit]]/Project_Data_NYSE[[#This Row],[ Total Revenue ]]</f>
        <v>9.3858322216206255E-2</v>
      </c>
    </row>
    <row r="1522" spans="1:15" x14ac:dyDescent="0.2">
      <c r="A1522">
        <v>1583</v>
      </c>
      <c r="B1522" t="s">
        <v>525</v>
      </c>
      <c r="C1522" t="s">
        <v>14</v>
      </c>
      <c r="D1522" s="48">
        <v>41639</v>
      </c>
      <c r="E1522" s="3">
        <v>758926000</v>
      </c>
      <c r="F1522" s="3">
        <v>258612000</v>
      </c>
      <c r="G1522" s="3">
        <f>Project_Data_NYSE[[#This Row],[ Total Revenue ]]-Project_Data_NYSE[[#This Row],[ Cost of Goods Sold ]]</f>
        <v>500314000</v>
      </c>
      <c r="H1522" s="3">
        <v>37121000</v>
      </c>
      <c r="I1522" s="3">
        <v>0</v>
      </c>
      <c r="J1522" s="3">
        <v>346273000</v>
      </c>
      <c r="K1522" s="3">
        <f>Project_Data_NYSE[[#This Row],[Gross Profit]]-Project_Data_NYSE[[#This Row],[ Sales, General and Admin. ]]-Project_Data_NYSE[[#This Row],[ Research and Development ]]-Project_Data_NYSE[[#This Row],[ Other Operating Items ]]</f>
        <v>116920000</v>
      </c>
      <c r="L1522" t="s">
        <v>51</v>
      </c>
      <c r="M1522" t="s">
        <v>233</v>
      </c>
      <c r="N1522" s="31">
        <f>Project_Data_NYSE[[#This Row],[Gross Profit]]/Project_Data_NYSE[[#This Row],[ Total Revenue ]]</f>
        <v>0.6592395042467909</v>
      </c>
      <c r="O1522" s="31">
        <f>Project_Data_NYSE[[#This Row],[Operating Profit]]/Project_Data_NYSE[[#This Row],[ Total Revenue ]]</f>
        <v>0.1540598161085534</v>
      </c>
    </row>
    <row r="1523" spans="1:15" x14ac:dyDescent="0.2">
      <c r="A1523">
        <v>1584</v>
      </c>
      <c r="B1523" t="s">
        <v>525</v>
      </c>
      <c r="C1523" t="s">
        <v>15</v>
      </c>
      <c r="D1523" s="48">
        <v>42004</v>
      </c>
      <c r="E1523" s="3">
        <v>818046000</v>
      </c>
      <c r="F1523" s="3">
        <v>270741000</v>
      </c>
      <c r="G1523" s="3">
        <f>Project_Data_NYSE[[#This Row],[ Total Revenue ]]-Project_Data_NYSE[[#This Row],[ Cost of Goods Sold ]]</f>
        <v>547305000</v>
      </c>
      <c r="H1523" s="3">
        <v>56612000</v>
      </c>
      <c r="I1523" s="3">
        <v>0</v>
      </c>
      <c r="J1523" s="3">
        <v>363929000</v>
      </c>
      <c r="K1523" s="3">
        <f>Project_Data_NYSE[[#This Row],[Gross Profit]]-Project_Data_NYSE[[#This Row],[ Sales, General and Admin. ]]-Project_Data_NYSE[[#This Row],[ Research and Development ]]-Project_Data_NYSE[[#This Row],[ Other Operating Items ]]</f>
        <v>126764000</v>
      </c>
      <c r="L1523" t="s">
        <v>51</v>
      </c>
      <c r="M1523" t="s">
        <v>233</v>
      </c>
      <c r="N1523" s="31">
        <f>Project_Data_NYSE[[#This Row],[Gross Profit]]/Project_Data_NYSE[[#This Row],[ Total Revenue ]]</f>
        <v>0.66903939387271616</v>
      </c>
      <c r="O1523" s="31">
        <f>Project_Data_NYSE[[#This Row],[Operating Profit]]/Project_Data_NYSE[[#This Row],[ Total Revenue ]]</f>
        <v>0.1549595010549529</v>
      </c>
    </row>
    <row r="1524" spans="1:15" x14ac:dyDescent="0.2">
      <c r="A1524">
        <v>1585</v>
      </c>
      <c r="B1524" t="s">
        <v>525</v>
      </c>
      <c r="C1524" t="s">
        <v>16</v>
      </c>
      <c r="D1524" s="48">
        <v>42369</v>
      </c>
      <c r="E1524" s="3">
        <v>894638000</v>
      </c>
      <c r="F1524" s="3">
        <v>282037000</v>
      </c>
      <c r="G1524" s="3">
        <f>Project_Data_NYSE[[#This Row],[ Total Revenue ]]-Project_Data_NYSE[[#This Row],[ Cost of Goods Sold ]]</f>
        <v>612601000</v>
      </c>
      <c r="H1524" s="3">
        <v>71733000</v>
      </c>
      <c r="I1524" s="3">
        <v>0</v>
      </c>
      <c r="J1524" s="3">
        <v>381277000</v>
      </c>
      <c r="K1524" s="3">
        <f>Project_Data_NYSE[[#This Row],[Gross Profit]]-Project_Data_NYSE[[#This Row],[ Sales, General and Admin. ]]-Project_Data_NYSE[[#This Row],[ Research and Development ]]-Project_Data_NYSE[[#This Row],[ Other Operating Items ]]</f>
        <v>159591000</v>
      </c>
      <c r="L1524" t="s">
        <v>51</v>
      </c>
      <c r="M1524" t="s">
        <v>233</v>
      </c>
      <c r="N1524" s="31">
        <f>Project_Data_NYSE[[#This Row],[Gross Profit]]/Project_Data_NYSE[[#This Row],[ Total Revenue ]]</f>
        <v>0.68474735032493594</v>
      </c>
      <c r="O1524" s="31">
        <f>Project_Data_NYSE[[#This Row],[Operating Profit]]/Project_Data_NYSE[[#This Row],[ Total Revenue ]]</f>
        <v>0.17838611818411471</v>
      </c>
    </row>
    <row r="1525" spans="1:15" x14ac:dyDescent="0.2">
      <c r="A1525">
        <v>1590</v>
      </c>
      <c r="B1525" t="s">
        <v>526</v>
      </c>
      <c r="C1525" t="s">
        <v>11</v>
      </c>
      <c r="D1525" s="48">
        <v>41307</v>
      </c>
      <c r="E1525" s="3">
        <v>2220256000</v>
      </c>
      <c r="F1525" s="3">
        <v>1436582000</v>
      </c>
      <c r="G1525" s="3">
        <f>Project_Data_NYSE[[#This Row],[ Total Revenue ]]-Project_Data_NYSE[[#This Row],[ Cost of Goods Sold ]]</f>
        <v>783674000</v>
      </c>
      <c r="H1525" s="3">
        <v>488880000</v>
      </c>
      <c r="I1525" s="3">
        <v>0</v>
      </c>
      <c r="J1525" s="3">
        <v>0</v>
      </c>
      <c r="K1525" s="3">
        <f>Project_Data_NYSE[[#This Row],[Gross Profit]]-Project_Data_NYSE[[#This Row],[ Sales, General and Admin. ]]-Project_Data_NYSE[[#This Row],[ Research and Development ]]-Project_Data_NYSE[[#This Row],[ Other Operating Items ]]</f>
        <v>294794000</v>
      </c>
      <c r="L1525" t="s">
        <v>18</v>
      </c>
      <c r="M1525" t="s">
        <v>78</v>
      </c>
      <c r="N1525" s="31">
        <f>Project_Data_NYSE[[#This Row],[Gross Profit]]/Project_Data_NYSE[[#This Row],[ Total Revenue ]]</f>
        <v>0.35296560396638949</v>
      </c>
      <c r="O1525" s="31">
        <f>Project_Data_NYSE[[#This Row],[Operating Profit]]/Project_Data_NYSE[[#This Row],[ Total Revenue ]]</f>
        <v>0.13277477912456942</v>
      </c>
    </row>
    <row r="1526" spans="1:15" x14ac:dyDescent="0.2">
      <c r="A1526">
        <v>1591</v>
      </c>
      <c r="B1526" t="s">
        <v>526</v>
      </c>
      <c r="C1526" t="s">
        <v>14</v>
      </c>
      <c r="D1526" s="48">
        <v>41672</v>
      </c>
      <c r="E1526" s="3">
        <v>2670573000</v>
      </c>
      <c r="F1526" s="3">
        <v>1729325000</v>
      </c>
      <c r="G1526" s="3">
        <f>Project_Data_NYSE[[#This Row],[ Total Revenue ]]-Project_Data_NYSE[[#This Row],[ Cost of Goods Sold ]]</f>
        <v>941248000</v>
      </c>
      <c r="H1526" s="3">
        <v>596390000</v>
      </c>
      <c r="I1526" s="3">
        <v>0</v>
      </c>
      <c r="J1526" s="3">
        <v>0</v>
      </c>
      <c r="K1526" s="3">
        <f>Project_Data_NYSE[[#This Row],[Gross Profit]]-Project_Data_NYSE[[#This Row],[ Sales, General and Admin. ]]-Project_Data_NYSE[[#This Row],[ Research and Development ]]-Project_Data_NYSE[[#This Row],[ Other Operating Items ]]</f>
        <v>344858000</v>
      </c>
      <c r="L1526" t="s">
        <v>18</v>
      </c>
      <c r="M1526" t="s">
        <v>78</v>
      </c>
      <c r="N1526" s="31">
        <f>Project_Data_NYSE[[#This Row],[Gross Profit]]/Project_Data_NYSE[[#This Row],[ Total Revenue ]]</f>
        <v>0.35245170231257489</v>
      </c>
      <c r="O1526" s="31">
        <f>Project_Data_NYSE[[#This Row],[Operating Profit]]/Project_Data_NYSE[[#This Row],[ Total Revenue ]]</f>
        <v>0.12913258690176227</v>
      </c>
    </row>
    <row r="1527" spans="1:15" x14ac:dyDescent="0.2">
      <c r="A1527">
        <v>1592</v>
      </c>
      <c r="B1527" t="s">
        <v>526</v>
      </c>
      <c r="C1527" t="s">
        <v>15</v>
      </c>
      <c r="D1527" s="48">
        <v>42035</v>
      </c>
      <c r="E1527" s="3">
        <v>3241369000</v>
      </c>
      <c r="F1527" s="3">
        <v>2104582000</v>
      </c>
      <c r="G1527" s="3">
        <f>Project_Data_NYSE[[#This Row],[ Total Revenue ]]-Project_Data_NYSE[[#This Row],[ Cost of Goods Sold ]]</f>
        <v>1136787000</v>
      </c>
      <c r="H1527" s="3">
        <v>712006000</v>
      </c>
      <c r="I1527" s="3">
        <v>0</v>
      </c>
      <c r="J1527" s="3">
        <v>0</v>
      </c>
      <c r="K1527" s="3">
        <f>Project_Data_NYSE[[#This Row],[Gross Profit]]-Project_Data_NYSE[[#This Row],[ Sales, General and Admin. ]]-Project_Data_NYSE[[#This Row],[ Research and Development ]]-Project_Data_NYSE[[#This Row],[ Other Operating Items ]]</f>
        <v>424781000</v>
      </c>
      <c r="L1527" t="s">
        <v>18</v>
      </c>
      <c r="M1527" t="s">
        <v>78</v>
      </c>
      <c r="N1527" s="31">
        <f>Project_Data_NYSE[[#This Row],[Gross Profit]]/Project_Data_NYSE[[#This Row],[ Total Revenue ]]</f>
        <v>0.35071199854135704</v>
      </c>
      <c r="O1527" s="31">
        <f>Project_Data_NYSE[[#This Row],[Operating Profit]]/Project_Data_NYSE[[#This Row],[ Total Revenue ]]</f>
        <v>0.13104987429694059</v>
      </c>
    </row>
    <row r="1528" spans="1:15" x14ac:dyDescent="0.2">
      <c r="A1528">
        <v>1593</v>
      </c>
      <c r="B1528" t="s">
        <v>526</v>
      </c>
      <c r="C1528" t="s">
        <v>16</v>
      </c>
      <c r="D1528" s="48">
        <v>42400</v>
      </c>
      <c r="E1528" s="3">
        <v>3924116000</v>
      </c>
      <c r="F1528" s="3">
        <v>2539783000</v>
      </c>
      <c r="G1528" s="3">
        <f>Project_Data_NYSE[[#This Row],[ Total Revenue ]]-Project_Data_NYSE[[#This Row],[ Cost of Goods Sold ]]</f>
        <v>1384333000</v>
      </c>
      <c r="H1528" s="3">
        <v>863354000</v>
      </c>
      <c r="I1528" s="3">
        <v>0</v>
      </c>
      <c r="J1528" s="3">
        <v>0</v>
      </c>
      <c r="K1528" s="3">
        <f>Project_Data_NYSE[[#This Row],[Gross Profit]]-Project_Data_NYSE[[#This Row],[ Sales, General and Admin. ]]-Project_Data_NYSE[[#This Row],[ Research and Development ]]-Project_Data_NYSE[[#This Row],[ Other Operating Items ]]</f>
        <v>520979000</v>
      </c>
      <c r="L1528" t="s">
        <v>18</v>
      </c>
      <c r="M1528" t="s">
        <v>78</v>
      </c>
      <c r="N1528" s="31">
        <f>Project_Data_NYSE[[#This Row],[Gross Profit]]/Project_Data_NYSE[[#This Row],[ Total Revenue ]]</f>
        <v>0.35277575892251911</v>
      </c>
      <c r="O1528" s="31">
        <f>Project_Data_NYSE[[#This Row],[Operating Profit]]/Project_Data_NYSE[[#This Row],[ Total Revenue ]]</f>
        <v>0.13276340454767394</v>
      </c>
    </row>
    <row r="1529" spans="1:15" x14ac:dyDescent="0.2">
      <c r="A1529">
        <v>1771</v>
      </c>
      <c r="B1529" t="s">
        <v>572</v>
      </c>
      <c r="C1529" t="s">
        <v>15</v>
      </c>
      <c r="D1529" s="48">
        <v>42004</v>
      </c>
      <c r="E1529" s="3">
        <v>4673300000</v>
      </c>
      <c r="F1529" s="3">
        <v>1242800000</v>
      </c>
      <c r="G1529" s="3">
        <f>Project_Data_NYSE[[#This Row],[ Total Revenue ]]-Project_Data_NYSE[[#This Row],[ Cost of Goods Sold ]]</f>
        <v>3430500000</v>
      </c>
      <c r="H1529" s="3">
        <v>1772200000</v>
      </c>
      <c r="I1529" s="3">
        <v>187400000</v>
      </c>
      <c r="J1529" s="3">
        <v>92500000</v>
      </c>
      <c r="K1529" s="3">
        <f>Project_Data_NYSE[[#This Row],[Gross Profit]]-Project_Data_NYSE[[#This Row],[ Sales, General and Admin. ]]-Project_Data_NYSE[[#This Row],[ Research and Development ]]-Project_Data_NYSE[[#This Row],[ Other Operating Items ]]</f>
        <v>1378400000</v>
      </c>
      <c r="L1529" t="s">
        <v>24</v>
      </c>
      <c r="M1529" t="s">
        <v>29</v>
      </c>
      <c r="N1529" s="31">
        <f>Project_Data_NYSE[[#This Row],[Gross Profit]]/Project_Data_NYSE[[#This Row],[ Total Revenue ]]</f>
        <v>0.73406372370701645</v>
      </c>
      <c r="O1529" s="31">
        <f>Project_Data_NYSE[[#This Row],[Operating Profit]]/Project_Data_NYSE[[#This Row],[ Total Revenue ]]</f>
        <v>0.29495217512250443</v>
      </c>
    </row>
    <row r="1530" spans="1:15" x14ac:dyDescent="0.2">
      <c r="A1530">
        <v>282</v>
      </c>
      <c r="B1530" t="s">
        <v>133</v>
      </c>
      <c r="C1530" t="s">
        <v>11</v>
      </c>
      <c r="D1530" s="48">
        <v>41639</v>
      </c>
      <c r="E1530" s="3">
        <v>6493900000</v>
      </c>
      <c r="F1530" s="3">
        <v>340400000</v>
      </c>
      <c r="G1530" s="3">
        <f>Project_Data_NYSE[[#This Row],[ Total Revenue ]]-Project_Data_NYSE[[#This Row],[ Cost of Goods Sold ]]</f>
        <v>6153500000</v>
      </c>
      <c r="H1530" s="3">
        <v>1684500000</v>
      </c>
      <c r="I1530" s="3">
        <v>2226200000</v>
      </c>
      <c r="J1530" s="3">
        <v>262800000</v>
      </c>
      <c r="K1530" s="3">
        <f>Project_Data_NYSE[[#This Row],[Gross Profit]]-Project_Data_NYSE[[#This Row],[ Sales, General and Admin. ]]-Project_Data_NYSE[[#This Row],[ Research and Development ]]-Project_Data_NYSE[[#This Row],[ Other Operating Items ]]</f>
        <v>1980000000</v>
      </c>
      <c r="L1530" t="s">
        <v>24</v>
      </c>
      <c r="M1530" t="s">
        <v>65</v>
      </c>
      <c r="N1530" s="31">
        <f>Project_Data_NYSE[[#This Row],[Gross Profit]]/Project_Data_NYSE[[#This Row],[ Total Revenue ]]</f>
        <v>0.94758157655646069</v>
      </c>
      <c r="O1530" s="31">
        <f>Project_Data_NYSE[[#This Row],[Operating Profit]]/Project_Data_NYSE[[#This Row],[ Total Revenue ]]</f>
        <v>0.30490152296770817</v>
      </c>
    </row>
    <row r="1531" spans="1:15" x14ac:dyDescent="0.2">
      <c r="A1531">
        <v>1348</v>
      </c>
      <c r="B1531" t="s">
        <v>459</v>
      </c>
      <c r="C1531" t="s">
        <v>15</v>
      </c>
      <c r="D1531" s="48">
        <v>42369</v>
      </c>
      <c r="E1531" s="3">
        <v>4103728000</v>
      </c>
      <c r="F1531" s="3">
        <v>392709000</v>
      </c>
      <c r="G1531" s="3">
        <f>Project_Data_NYSE[[#This Row],[ Total Revenue ]]-Project_Data_NYSE[[#This Row],[ Cost of Goods Sold ]]</f>
        <v>3711019000</v>
      </c>
      <c r="H1531" s="3">
        <v>838526000</v>
      </c>
      <c r="I1531" s="3">
        <v>1620577000</v>
      </c>
      <c r="J1531" s="3">
        <v>0</v>
      </c>
      <c r="K1531" s="3">
        <f>Project_Data_NYSE[[#This Row],[Gross Profit]]-Project_Data_NYSE[[#This Row],[ Sales, General and Admin. ]]-Project_Data_NYSE[[#This Row],[ Research and Development ]]-Project_Data_NYSE[[#This Row],[ Other Operating Items ]]</f>
        <v>1251916000</v>
      </c>
      <c r="L1531" t="s">
        <v>24</v>
      </c>
      <c r="M1531" t="s">
        <v>65</v>
      </c>
      <c r="N1531" s="31">
        <f>Project_Data_NYSE[[#This Row],[Gross Profit]]/Project_Data_NYSE[[#This Row],[ Total Revenue ]]</f>
        <v>0.90430433011154732</v>
      </c>
      <c r="O1531" s="31">
        <f>Project_Data_NYSE[[#This Row],[Operating Profit]]/Project_Data_NYSE[[#This Row],[ Total Revenue ]]</f>
        <v>0.30506797721486412</v>
      </c>
    </row>
    <row r="1532" spans="1:15" x14ac:dyDescent="0.2">
      <c r="A1532">
        <v>109</v>
      </c>
      <c r="B1532" t="s">
        <v>70</v>
      </c>
      <c r="C1532" t="s">
        <v>14</v>
      </c>
      <c r="D1532" s="48">
        <v>42004</v>
      </c>
      <c r="E1532" s="3">
        <v>20063000000</v>
      </c>
      <c r="F1532" s="3">
        <v>4422000000</v>
      </c>
      <c r="G1532" s="3">
        <f>Project_Data_NYSE[[#This Row],[ Total Revenue ]]-Project_Data_NYSE[[#This Row],[ Cost of Goods Sold ]]</f>
        <v>15641000000</v>
      </c>
      <c r="H1532" s="3">
        <v>5153000000</v>
      </c>
      <c r="I1532" s="3">
        <v>4297000000</v>
      </c>
      <c r="J1532" s="3">
        <v>0</v>
      </c>
      <c r="K1532" s="3">
        <f>Project_Data_NYSE[[#This Row],[Gross Profit]]-Project_Data_NYSE[[#This Row],[ Sales, General and Admin. ]]-Project_Data_NYSE[[#This Row],[ Research and Development ]]-Project_Data_NYSE[[#This Row],[ Other Operating Items ]]</f>
        <v>6191000000</v>
      </c>
      <c r="L1532" t="s">
        <v>24</v>
      </c>
      <c r="M1532" t="s">
        <v>65</v>
      </c>
      <c r="N1532" s="31">
        <f>Project_Data_NYSE[[#This Row],[Gross Profit]]/Project_Data_NYSE[[#This Row],[ Total Revenue ]]</f>
        <v>0.77959427802422365</v>
      </c>
      <c r="O1532" s="31">
        <f>Project_Data_NYSE[[#This Row],[Operating Profit]]/Project_Data_NYSE[[#This Row],[ Total Revenue ]]</f>
        <v>0.30857797936500025</v>
      </c>
    </row>
    <row r="1533" spans="1:15" x14ac:dyDescent="0.2">
      <c r="A1533">
        <v>1598</v>
      </c>
      <c r="B1533" t="s">
        <v>528</v>
      </c>
      <c r="C1533" t="s">
        <v>11</v>
      </c>
      <c r="D1533" s="48">
        <v>41274</v>
      </c>
      <c r="E1533" s="3">
        <v>10515400000</v>
      </c>
      <c r="F1533" s="3">
        <v>7172100000</v>
      </c>
      <c r="G1533" s="3">
        <f>Project_Data_NYSE[[#This Row],[ Total Revenue ]]-Project_Data_NYSE[[#This Row],[ Cost of Goods Sold ]]</f>
        <v>3343300000</v>
      </c>
      <c r="H1533" s="3">
        <v>786800000</v>
      </c>
      <c r="I1533" s="3">
        <v>0</v>
      </c>
      <c r="J1533" s="3">
        <v>1161600000</v>
      </c>
      <c r="K1533" s="3">
        <f>Project_Data_NYSE[[#This Row],[Gross Profit]]-Project_Data_NYSE[[#This Row],[ Sales, General and Admin. ]]-Project_Data_NYSE[[#This Row],[ Research and Development ]]-Project_Data_NYSE[[#This Row],[ Other Operating Items ]]</f>
        <v>1394900000</v>
      </c>
      <c r="L1533" t="s">
        <v>46</v>
      </c>
      <c r="M1533" t="s">
        <v>378</v>
      </c>
      <c r="N1533" s="31">
        <f>Project_Data_NYSE[[#This Row],[Gross Profit]]/Project_Data_NYSE[[#This Row],[ Total Revenue ]]</f>
        <v>0.31794320710576868</v>
      </c>
      <c r="O1533" s="31">
        <f>Project_Data_NYSE[[#This Row],[Operating Profit]]/Project_Data_NYSE[[#This Row],[ Total Revenue ]]</f>
        <v>0.1326530612244898</v>
      </c>
    </row>
    <row r="1534" spans="1:15" x14ac:dyDescent="0.2">
      <c r="A1534">
        <v>1599</v>
      </c>
      <c r="B1534" t="s">
        <v>528</v>
      </c>
      <c r="C1534" t="s">
        <v>14</v>
      </c>
      <c r="D1534" s="48">
        <v>41639</v>
      </c>
      <c r="E1534" s="3">
        <v>10368600000</v>
      </c>
      <c r="F1534" s="3">
        <v>7038400000</v>
      </c>
      <c r="G1534" s="3">
        <f>Project_Data_NYSE[[#This Row],[ Total Revenue ]]-Project_Data_NYSE[[#This Row],[ Cost of Goods Sold ]]</f>
        <v>3330200000</v>
      </c>
      <c r="H1534" s="3">
        <v>790400000</v>
      </c>
      <c r="I1534" s="3">
        <v>0</v>
      </c>
      <c r="J1534" s="3">
        <v>1170400000</v>
      </c>
      <c r="K1534" s="3">
        <f>Project_Data_NYSE[[#This Row],[Gross Profit]]-Project_Data_NYSE[[#This Row],[ Sales, General and Admin. ]]-Project_Data_NYSE[[#This Row],[ Research and Development ]]-Project_Data_NYSE[[#This Row],[ Other Operating Items ]]</f>
        <v>1369400000</v>
      </c>
      <c r="L1534" t="s">
        <v>46</v>
      </c>
      <c r="M1534" t="s">
        <v>378</v>
      </c>
      <c r="N1534" s="31">
        <f>Project_Data_NYSE[[#This Row],[Gross Profit]]/Project_Data_NYSE[[#This Row],[ Total Revenue ]]</f>
        <v>0.32118125880060955</v>
      </c>
      <c r="O1534" s="31">
        <f>Project_Data_NYSE[[#This Row],[Operating Profit]]/Project_Data_NYSE[[#This Row],[ Total Revenue ]]</f>
        <v>0.13207183226279343</v>
      </c>
    </row>
    <row r="1535" spans="1:15" x14ac:dyDescent="0.2">
      <c r="A1535">
        <v>1600</v>
      </c>
      <c r="B1535" t="s">
        <v>528</v>
      </c>
      <c r="C1535" t="s">
        <v>15</v>
      </c>
      <c r="D1535" s="48">
        <v>42004</v>
      </c>
      <c r="E1535" s="3">
        <v>10524500000</v>
      </c>
      <c r="F1535" s="3">
        <v>7722100000</v>
      </c>
      <c r="G1535" s="3">
        <f>Project_Data_NYSE[[#This Row],[ Total Revenue ]]-Project_Data_NYSE[[#This Row],[ Cost of Goods Sold ]]</f>
        <v>2802400000</v>
      </c>
      <c r="H1535" s="3">
        <v>820900000</v>
      </c>
      <c r="I1535" s="3">
        <v>0</v>
      </c>
      <c r="J1535" s="3">
        <v>1272000000</v>
      </c>
      <c r="K1535" s="3">
        <f>Project_Data_NYSE[[#This Row],[Gross Profit]]-Project_Data_NYSE[[#This Row],[ Sales, General and Admin. ]]-Project_Data_NYSE[[#This Row],[ Research and Development ]]-Project_Data_NYSE[[#This Row],[ Other Operating Items ]]</f>
        <v>709500000</v>
      </c>
      <c r="L1535" t="s">
        <v>46</v>
      </c>
      <c r="M1535" t="s">
        <v>378</v>
      </c>
      <c r="N1535" s="31">
        <f>Project_Data_NYSE[[#This Row],[Gross Profit]]/Project_Data_NYSE[[#This Row],[ Total Revenue ]]</f>
        <v>0.26627393225331369</v>
      </c>
      <c r="O1535" s="31">
        <f>Project_Data_NYSE[[#This Row],[Operating Profit]]/Project_Data_NYSE[[#This Row],[ Total Revenue ]]</f>
        <v>6.7414128937241677E-2</v>
      </c>
    </row>
    <row r="1536" spans="1:15" x14ac:dyDescent="0.2">
      <c r="A1536">
        <v>1601</v>
      </c>
      <c r="B1536" t="s">
        <v>528</v>
      </c>
      <c r="C1536" t="s">
        <v>16</v>
      </c>
      <c r="D1536" s="48">
        <v>42369</v>
      </c>
      <c r="E1536" s="3">
        <v>10731300000</v>
      </c>
      <c r="F1536" s="3">
        <v>7209400000</v>
      </c>
      <c r="G1536" s="3">
        <f>Project_Data_NYSE[[#This Row],[ Total Revenue ]]-Project_Data_NYSE[[#This Row],[ Cost of Goods Sold ]]</f>
        <v>3521900000</v>
      </c>
      <c r="H1536" s="3">
        <v>835100000</v>
      </c>
      <c r="I1536" s="3">
        <v>0</v>
      </c>
      <c r="J1536" s="3">
        <v>1295700000</v>
      </c>
      <c r="K1536" s="3">
        <f>Project_Data_NYSE[[#This Row],[Gross Profit]]-Project_Data_NYSE[[#This Row],[ Sales, General and Admin. ]]-Project_Data_NYSE[[#This Row],[ Research and Development ]]-Project_Data_NYSE[[#This Row],[ Other Operating Items ]]</f>
        <v>1391100000</v>
      </c>
      <c r="L1536" t="s">
        <v>46</v>
      </c>
      <c r="M1536" t="s">
        <v>378</v>
      </c>
      <c r="N1536" s="31">
        <f>Project_Data_NYSE[[#This Row],[Gross Profit]]/Project_Data_NYSE[[#This Row],[ Total Revenue ]]</f>
        <v>0.3281895017379069</v>
      </c>
      <c r="O1536" s="31">
        <f>Project_Data_NYSE[[#This Row],[Operating Profit]]/Project_Data_NYSE[[#This Row],[ Total Revenue ]]</f>
        <v>0.12963014732604625</v>
      </c>
    </row>
    <row r="1537" spans="1:15" x14ac:dyDescent="0.2">
      <c r="A1537">
        <v>1602</v>
      </c>
      <c r="B1537" t="s">
        <v>529</v>
      </c>
      <c r="C1537" t="s">
        <v>11</v>
      </c>
      <c r="D1537" s="48">
        <v>41639</v>
      </c>
      <c r="E1537" s="3">
        <v>21963000000</v>
      </c>
      <c r="F1537" s="3">
        <v>5849000000</v>
      </c>
      <c r="G1537" s="3">
        <f>Project_Data_NYSE[[#This Row],[ Total Revenue ]]-Project_Data_NYSE[[#This Row],[ Cost of Goods Sold ]]</f>
        <v>16114000000</v>
      </c>
      <c r="H1537" s="3">
        <v>6891000000</v>
      </c>
      <c r="I1537" s="3">
        <v>0</v>
      </c>
      <c r="J1537" s="3">
        <v>1777000000</v>
      </c>
      <c r="K1537" s="3">
        <f>Project_Data_NYSE[[#This Row],[Gross Profit]]-Project_Data_NYSE[[#This Row],[ Sales, General and Admin. ]]-Project_Data_NYSE[[#This Row],[ Research and Development ]]-Project_Data_NYSE[[#This Row],[ Other Operating Items ]]</f>
        <v>7446000000</v>
      </c>
      <c r="L1537" t="s">
        <v>12</v>
      </c>
      <c r="M1537" t="s">
        <v>177</v>
      </c>
      <c r="N1537" s="31">
        <f>Project_Data_NYSE[[#This Row],[Gross Profit]]/Project_Data_NYSE[[#This Row],[ Total Revenue ]]</f>
        <v>0.73368847607339616</v>
      </c>
      <c r="O1537" s="31">
        <f>Project_Data_NYSE[[#This Row],[Operating Profit]]/Project_Data_NYSE[[#This Row],[ Total Revenue ]]</f>
        <v>0.33902472339844286</v>
      </c>
    </row>
    <row r="1538" spans="1:15" x14ac:dyDescent="0.2">
      <c r="A1538">
        <v>1603</v>
      </c>
      <c r="B1538" t="s">
        <v>529</v>
      </c>
      <c r="C1538" t="s">
        <v>14</v>
      </c>
      <c r="D1538" s="48">
        <v>42004</v>
      </c>
      <c r="E1538" s="3">
        <v>23988000000</v>
      </c>
      <c r="F1538" s="3">
        <v>6097000000</v>
      </c>
      <c r="G1538" s="3">
        <f>Project_Data_NYSE[[#This Row],[ Total Revenue ]]-Project_Data_NYSE[[#This Row],[ Cost of Goods Sold ]]</f>
        <v>17891000000</v>
      </c>
      <c r="H1538" s="3">
        <v>7234000000</v>
      </c>
      <c r="I1538" s="3">
        <v>0</v>
      </c>
      <c r="J1538" s="3">
        <v>1904000000</v>
      </c>
      <c r="K1538" s="3">
        <f>Project_Data_NYSE[[#This Row],[Gross Profit]]-Project_Data_NYSE[[#This Row],[ Sales, General and Admin. ]]-Project_Data_NYSE[[#This Row],[ Research and Development ]]-Project_Data_NYSE[[#This Row],[ Other Operating Items ]]</f>
        <v>8753000000</v>
      </c>
      <c r="L1538" t="s">
        <v>12</v>
      </c>
      <c r="M1538" t="s">
        <v>177</v>
      </c>
      <c r="N1538" s="31">
        <f>Project_Data_NYSE[[#This Row],[Gross Profit]]/Project_Data_NYSE[[#This Row],[ Total Revenue ]]</f>
        <v>0.74583124895781228</v>
      </c>
      <c r="O1538" s="31">
        <f>Project_Data_NYSE[[#This Row],[Operating Profit]]/Project_Data_NYSE[[#This Row],[ Total Revenue ]]</f>
        <v>0.36489077872269465</v>
      </c>
    </row>
    <row r="1539" spans="1:15" x14ac:dyDescent="0.2">
      <c r="A1539">
        <v>1604</v>
      </c>
      <c r="B1539" t="s">
        <v>529</v>
      </c>
      <c r="C1539" t="s">
        <v>15</v>
      </c>
      <c r="D1539" s="48">
        <v>42369</v>
      </c>
      <c r="E1539" s="3">
        <v>21813000000</v>
      </c>
      <c r="F1539" s="3">
        <v>4434000000</v>
      </c>
      <c r="G1539" s="3">
        <f>Project_Data_NYSE[[#This Row],[ Total Revenue ]]-Project_Data_NYSE[[#This Row],[ Cost of Goods Sold ]]</f>
        <v>17379000000</v>
      </c>
      <c r="H1539" s="3">
        <v>7315000000</v>
      </c>
      <c r="I1539" s="3">
        <v>0</v>
      </c>
      <c r="J1539" s="3">
        <v>2012000000</v>
      </c>
      <c r="K1539" s="3">
        <f>Project_Data_NYSE[[#This Row],[Gross Profit]]-Project_Data_NYSE[[#This Row],[ Sales, General and Admin. ]]-Project_Data_NYSE[[#This Row],[ Research and Development ]]-Project_Data_NYSE[[#This Row],[ Other Operating Items ]]</f>
        <v>8052000000</v>
      </c>
      <c r="L1539" t="s">
        <v>12</v>
      </c>
      <c r="M1539" t="s">
        <v>177</v>
      </c>
      <c r="N1539" s="31">
        <f>Project_Data_NYSE[[#This Row],[Gross Profit]]/Project_Data_NYSE[[#This Row],[ Total Revenue ]]</f>
        <v>0.7967267225966167</v>
      </c>
      <c r="O1539" s="31">
        <f>Project_Data_NYSE[[#This Row],[Operating Profit]]/Project_Data_NYSE[[#This Row],[ Total Revenue ]]</f>
        <v>0.36913767019667171</v>
      </c>
    </row>
    <row r="1540" spans="1:15" x14ac:dyDescent="0.2">
      <c r="A1540">
        <v>1605</v>
      </c>
      <c r="B1540" t="s">
        <v>529</v>
      </c>
      <c r="C1540" t="s">
        <v>16</v>
      </c>
      <c r="D1540" s="48">
        <v>42735</v>
      </c>
      <c r="E1540" s="3">
        <v>19941000000</v>
      </c>
      <c r="F1540" s="3">
        <v>3747000000</v>
      </c>
      <c r="G1540" s="3">
        <f>Project_Data_NYSE[[#This Row],[ Total Revenue ]]-Project_Data_NYSE[[#This Row],[ Cost of Goods Sold ]]</f>
        <v>16194000000</v>
      </c>
      <c r="H1540" s="3">
        <v>6884000000</v>
      </c>
      <c r="I1540" s="3">
        <v>0</v>
      </c>
      <c r="J1540" s="3">
        <v>2038000000</v>
      </c>
      <c r="K1540" s="3">
        <f>Project_Data_NYSE[[#This Row],[Gross Profit]]-Project_Data_NYSE[[#This Row],[ Sales, General and Admin. ]]-Project_Data_NYSE[[#This Row],[ Research and Development ]]-Project_Data_NYSE[[#This Row],[ Other Operating Items ]]</f>
        <v>7272000000</v>
      </c>
      <c r="L1540" t="s">
        <v>12</v>
      </c>
      <c r="M1540" t="s">
        <v>177</v>
      </c>
      <c r="N1540" s="31">
        <f>Project_Data_NYSE[[#This Row],[Gross Profit]]/Project_Data_NYSE[[#This Row],[ Total Revenue ]]</f>
        <v>0.81209568226267492</v>
      </c>
      <c r="O1540" s="31">
        <f>Project_Data_NYSE[[#This Row],[Operating Profit]]/Project_Data_NYSE[[#This Row],[ Total Revenue ]]</f>
        <v>0.3646757935910937</v>
      </c>
    </row>
    <row r="1541" spans="1:15" x14ac:dyDescent="0.2">
      <c r="A1541">
        <v>1606</v>
      </c>
      <c r="B1541" t="s">
        <v>530</v>
      </c>
      <c r="C1541" t="s">
        <v>11</v>
      </c>
      <c r="D1541" s="48">
        <v>41274</v>
      </c>
      <c r="E1541" s="3">
        <v>54127000000</v>
      </c>
      <c r="F1541" s="3">
        <v>13574000000</v>
      </c>
      <c r="G1541" s="3">
        <f>Project_Data_NYSE[[#This Row],[ Total Revenue ]]-Project_Data_NYSE[[#This Row],[ Cost of Goods Sold ]]</f>
        <v>40553000000</v>
      </c>
      <c r="H1541" s="3">
        <v>37352000000</v>
      </c>
      <c r="I1541" s="3">
        <v>0</v>
      </c>
      <c r="J1541" s="3">
        <v>1858000000</v>
      </c>
      <c r="K1541" s="3">
        <f>Project_Data_NYSE[[#This Row],[Gross Profit]]-Project_Data_NYSE[[#This Row],[ Sales, General and Admin. ]]-Project_Data_NYSE[[#This Row],[ Research and Development ]]-Project_Data_NYSE[[#This Row],[ Other Operating Items ]]</f>
        <v>1343000000</v>
      </c>
      <c r="L1541" t="s">
        <v>12</v>
      </c>
      <c r="M1541" t="s">
        <v>145</v>
      </c>
      <c r="N1541" s="31">
        <f>Project_Data_NYSE[[#This Row],[Gross Profit]]/Project_Data_NYSE[[#This Row],[ Total Revenue ]]</f>
        <v>0.74921942838139932</v>
      </c>
      <c r="O1541" s="31">
        <f>Project_Data_NYSE[[#This Row],[Operating Profit]]/Project_Data_NYSE[[#This Row],[ Total Revenue ]]</f>
        <v>2.4812016184159475E-2</v>
      </c>
    </row>
    <row r="1542" spans="1:15" x14ac:dyDescent="0.2">
      <c r="A1542">
        <v>1607</v>
      </c>
      <c r="B1542" t="s">
        <v>530</v>
      </c>
      <c r="C1542" t="s">
        <v>14</v>
      </c>
      <c r="D1542" s="48">
        <v>41639</v>
      </c>
      <c r="E1542" s="3">
        <v>55438000000</v>
      </c>
      <c r="F1542" s="3">
        <v>13703000000</v>
      </c>
      <c r="G1542" s="3">
        <f>Project_Data_NYSE[[#This Row],[ Total Revenue ]]-Project_Data_NYSE[[#This Row],[ Cost of Goods Sold ]]</f>
        <v>41735000000</v>
      </c>
      <c r="H1542" s="3">
        <v>32834000000</v>
      </c>
      <c r="I1542" s="3">
        <v>0</v>
      </c>
      <c r="J1542" s="3">
        <v>1867000000</v>
      </c>
      <c r="K1542" s="3">
        <f>Project_Data_NYSE[[#This Row],[Gross Profit]]-Project_Data_NYSE[[#This Row],[ Sales, General and Admin. ]]-Project_Data_NYSE[[#This Row],[ Research and Development ]]-Project_Data_NYSE[[#This Row],[ Other Operating Items ]]</f>
        <v>7034000000</v>
      </c>
      <c r="L1542" t="s">
        <v>12</v>
      </c>
      <c r="M1542" t="s">
        <v>145</v>
      </c>
      <c r="N1542" s="31">
        <f>Project_Data_NYSE[[#This Row],[Gross Profit]]/Project_Data_NYSE[[#This Row],[ Total Revenue ]]</f>
        <v>0.7528229734117392</v>
      </c>
      <c r="O1542" s="31">
        <f>Project_Data_NYSE[[#This Row],[Operating Profit]]/Project_Data_NYSE[[#This Row],[ Total Revenue ]]</f>
        <v>0.1268804790937624</v>
      </c>
    </row>
    <row r="1543" spans="1:15" x14ac:dyDescent="0.2">
      <c r="A1543">
        <v>1608</v>
      </c>
      <c r="B1543" t="s">
        <v>530</v>
      </c>
      <c r="C1543" t="s">
        <v>15</v>
      </c>
      <c r="D1543" s="48">
        <v>42004</v>
      </c>
      <c r="E1543" s="3">
        <v>58232000000</v>
      </c>
      <c r="F1543" s="3">
        <v>14758000000</v>
      </c>
      <c r="G1543" s="3">
        <f>Project_Data_NYSE[[#This Row],[ Total Revenue ]]-Project_Data_NYSE[[#This Row],[ Cost of Goods Sold ]]</f>
        <v>43474000000</v>
      </c>
      <c r="H1543" s="3">
        <v>36583000000</v>
      </c>
      <c r="I1543" s="3">
        <v>0</v>
      </c>
      <c r="J1543" s="3">
        <v>1923000000</v>
      </c>
      <c r="K1543" s="3">
        <f>Project_Data_NYSE[[#This Row],[Gross Profit]]-Project_Data_NYSE[[#This Row],[ Sales, General and Admin. ]]-Project_Data_NYSE[[#This Row],[ Research and Development ]]-Project_Data_NYSE[[#This Row],[ Other Operating Items ]]</f>
        <v>4968000000</v>
      </c>
      <c r="L1543" t="s">
        <v>12</v>
      </c>
      <c r="M1543" t="s">
        <v>145</v>
      </c>
      <c r="N1543" s="31">
        <f>Project_Data_NYSE[[#This Row],[Gross Profit]]/Project_Data_NYSE[[#This Row],[ Total Revenue ]]</f>
        <v>0.74656546228877596</v>
      </c>
      <c r="O1543" s="31">
        <f>Project_Data_NYSE[[#This Row],[Operating Profit]]/Project_Data_NYSE[[#This Row],[ Total Revenue ]]</f>
        <v>8.5313916746805885E-2</v>
      </c>
    </row>
    <row r="1544" spans="1:15" x14ac:dyDescent="0.2">
      <c r="A1544">
        <v>1609</v>
      </c>
      <c r="B1544" t="s">
        <v>530</v>
      </c>
      <c r="C1544" t="s">
        <v>16</v>
      </c>
      <c r="D1544" s="48">
        <v>42369</v>
      </c>
      <c r="E1544" s="3">
        <v>58363000000</v>
      </c>
      <c r="F1544" s="3">
        <v>12947000000</v>
      </c>
      <c r="G1544" s="3">
        <f>Project_Data_NYSE[[#This Row],[ Total Revenue ]]-Project_Data_NYSE[[#This Row],[ Cost of Goods Sold ]]</f>
        <v>45416000000</v>
      </c>
      <c r="H1544" s="3">
        <v>35664000000</v>
      </c>
      <c r="I1544" s="3">
        <v>0</v>
      </c>
      <c r="J1544" s="3">
        <v>2084000000</v>
      </c>
      <c r="K1544" s="3">
        <f>Project_Data_NYSE[[#This Row],[Gross Profit]]-Project_Data_NYSE[[#This Row],[ Sales, General and Admin. ]]-Project_Data_NYSE[[#This Row],[ Research and Development ]]-Project_Data_NYSE[[#This Row],[ Other Operating Items ]]</f>
        <v>7668000000</v>
      </c>
      <c r="L1544" t="s">
        <v>12</v>
      </c>
      <c r="M1544" t="s">
        <v>145</v>
      </c>
      <c r="N1544" s="31">
        <f>Project_Data_NYSE[[#This Row],[Gross Profit]]/Project_Data_NYSE[[#This Row],[ Total Revenue ]]</f>
        <v>0.77816424789678396</v>
      </c>
      <c r="O1544" s="31">
        <f>Project_Data_NYSE[[#This Row],[Operating Profit]]/Project_Data_NYSE[[#This Row],[ Total Revenue ]]</f>
        <v>0.13138461011257133</v>
      </c>
    </row>
    <row r="1545" spans="1:15" x14ac:dyDescent="0.2">
      <c r="A1545">
        <v>1610</v>
      </c>
      <c r="B1545" t="s">
        <v>531</v>
      </c>
      <c r="C1545" t="s">
        <v>11</v>
      </c>
      <c r="D1545" s="48">
        <v>41305</v>
      </c>
      <c r="E1545" s="3">
        <v>2794925000</v>
      </c>
      <c r="F1545" s="3">
        <v>1763394000</v>
      </c>
      <c r="G1545" s="3">
        <f>Project_Data_NYSE[[#This Row],[ Total Revenue ]]-Project_Data_NYSE[[#This Row],[ Cost of Goods Sold ]]</f>
        <v>1031531000</v>
      </c>
      <c r="H1545" s="3">
        <v>657246000</v>
      </c>
      <c r="I1545" s="3">
        <v>0</v>
      </c>
      <c r="J1545" s="3">
        <v>0</v>
      </c>
      <c r="K1545" s="3">
        <f>Project_Data_NYSE[[#This Row],[Gross Profit]]-Project_Data_NYSE[[#This Row],[ Sales, General and Admin. ]]-Project_Data_NYSE[[#This Row],[ Research and Development ]]-Project_Data_NYSE[[#This Row],[ Other Operating Items ]]</f>
        <v>374285000</v>
      </c>
      <c r="L1545" t="s">
        <v>18</v>
      </c>
      <c r="M1545" t="s">
        <v>256</v>
      </c>
      <c r="N1545" s="31">
        <f>Project_Data_NYSE[[#This Row],[Gross Profit]]/Project_Data_NYSE[[#This Row],[ Total Revenue ]]</f>
        <v>0.36907287315402021</v>
      </c>
      <c r="O1545" s="31">
        <f>Project_Data_NYSE[[#This Row],[Operating Profit]]/Project_Data_NYSE[[#This Row],[ Total Revenue ]]</f>
        <v>0.13391593692138429</v>
      </c>
    </row>
    <row r="1546" spans="1:15" x14ac:dyDescent="0.2">
      <c r="A1546">
        <v>1611</v>
      </c>
      <c r="B1546" t="s">
        <v>531</v>
      </c>
      <c r="C1546" t="s">
        <v>14</v>
      </c>
      <c r="D1546" s="48">
        <v>41670</v>
      </c>
      <c r="E1546" s="3">
        <v>3086608000</v>
      </c>
      <c r="F1546" s="3">
        <v>1925266000</v>
      </c>
      <c r="G1546" s="3">
        <f>Project_Data_NYSE[[#This Row],[ Total Revenue ]]-Project_Data_NYSE[[#This Row],[ Cost of Goods Sold ]]</f>
        <v>1161342000</v>
      </c>
      <c r="H1546" s="3">
        <v>734511000</v>
      </c>
      <c r="I1546" s="3">
        <v>0</v>
      </c>
      <c r="J1546" s="3">
        <v>0</v>
      </c>
      <c r="K1546" s="3">
        <f>Project_Data_NYSE[[#This Row],[Gross Profit]]-Project_Data_NYSE[[#This Row],[ Sales, General and Admin. ]]-Project_Data_NYSE[[#This Row],[ Research and Development ]]-Project_Data_NYSE[[#This Row],[ Other Operating Items ]]</f>
        <v>426831000</v>
      </c>
      <c r="L1546" t="s">
        <v>18</v>
      </c>
      <c r="M1546" t="s">
        <v>256</v>
      </c>
      <c r="N1546" s="31">
        <f>Project_Data_NYSE[[#This Row],[Gross Profit]]/Project_Data_NYSE[[#This Row],[ Total Revenue ]]</f>
        <v>0.37625185964657643</v>
      </c>
      <c r="O1546" s="31">
        <f>Project_Data_NYSE[[#This Row],[Operating Profit]]/Project_Data_NYSE[[#This Row],[ Total Revenue ]]</f>
        <v>0.13828480973288476</v>
      </c>
    </row>
    <row r="1547" spans="1:15" x14ac:dyDescent="0.2">
      <c r="A1547">
        <v>1612</v>
      </c>
      <c r="B1547" t="s">
        <v>531</v>
      </c>
      <c r="C1547" t="s">
        <v>15</v>
      </c>
      <c r="D1547" s="48">
        <v>42035</v>
      </c>
      <c r="E1547" s="3">
        <v>3323077000</v>
      </c>
      <c r="F1547" s="3">
        <v>2148147000</v>
      </c>
      <c r="G1547" s="3">
        <f>Project_Data_NYSE[[#This Row],[ Total Revenue ]]-Project_Data_NYSE[[#This Row],[ Cost of Goods Sold ]]</f>
        <v>1174930000</v>
      </c>
      <c r="H1547" s="3">
        <v>809545000</v>
      </c>
      <c r="I1547" s="3">
        <v>0</v>
      </c>
      <c r="J1547" s="3">
        <v>0</v>
      </c>
      <c r="K1547" s="3">
        <f>Project_Data_NYSE[[#This Row],[Gross Profit]]-Project_Data_NYSE[[#This Row],[ Sales, General and Admin. ]]-Project_Data_NYSE[[#This Row],[ Research and Development ]]-Project_Data_NYSE[[#This Row],[ Other Operating Items ]]</f>
        <v>365385000</v>
      </c>
      <c r="L1547" t="s">
        <v>18</v>
      </c>
      <c r="M1547" t="s">
        <v>256</v>
      </c>
      <c r="N1547" s="31">
        <f>Project_Data_NYSE[[#This Row],[Gross Profit]]/Project_Data_NYSE[[#This Row],[ Total Revenue ]]</f>
        <v>0.35356688996372942</v>
      </c>
      <c r="O1547" s="31">
        <f>Project_Data_NYSE[[#This Row],[Operating Profit]]/Project_Data_NYSE[[#This Row],[ Total Revenue ]]</f>
        <v>0.1099538168992172</v>
      </c>
    </row>
    <row r="1548" spans="1:15" x14ac:dyDescent="0.2">
      <c r="A1548">
        <v>1613</v>
      </c>
      <c r="B1548" t="s">
        <v>531</v>
      </c>
      <c r="C1548" t="s">
        <v>16</v>
      </c>
      <c r="D1548" s="48">
        <v>42400</v>
      </c>
      <c r="E1548" s="3">
        <v>3445134000</v>
      </c>
      <c r="F1548" s="3">
        <v>2243232000</v>
      </c>
      <c r="G1548" s="3">
        <f>Project_Data_NYSE[[#This Row],[ Total Revenue ]]-Project_Data_NYSE[[#This Row],[ Cost of Goods Sold ]]</f>
        <v>1201902000</v>
      </c>
      <c r="H1548" s="3">
        <v>848323000</v>
      </c>
      <c r="I1548" s="3">
        <v>0</v>
      </c>
      <c r="J1548" s="3">
        <v>0</v>
      </c>
      <c r="K1548" s="3">
        <f>Project_Data_NYSE[[#This Row],[Gross Profit]]-Project_Data_NYSE[[#This Row],[ Sales, General and Admin. ]]-Project_Data_NYSE[[#This Row],[ Research and Development ]]-Project_Data_NYSE[[#This Row],[ Other Operating Items ]]</f>
        <v>353579000</v>
      </c>
      <c r="L1548" t="s">
        <v>18</v>
      </c>
      <c r="M1548" t="s">
        <v>256</v>
      </c>
      <c r="N1548" s="31">
        <f>Project_Data_NYSE[[#This Row],[Gross Profit]]/Project_Data_NYSE[[#This Row],[ Total Revenue ]]</f>
        <v>0.34886944890967958</v>
      </c>
      <c r="O1548" s="31">
        <f>Project_Data_NYSE[[#This Row],[Operating Profit]]/Project_Data_NYSE[[#This Row],[ Total Revenue ]]</f>
        <v>0.10263142159347068</v>
      </c>
    </row>
    <row r="1549" spans="1:15" x14ac:dyDescent="0.2">
      <c r="A1549">
        <v>1614</v>
      </c>
      <c r="B1549" t="s">
        <v>532</v>
      </c>
      <c r="C1549" t="s">
        <v>11</v>
      </c>
      <c r="D1549" s="48">
        <v>41486</v>
      </c>
      <c r="E1549" s="3">
        <v>2436948000</v>
      </c>
      <c r="F1549" s="3">
        <v>1589821000</v>
      </c>
      <c r="G1549" s="3">
        <f>Project_Data_NYSE[[#This Row],[ Total Revenue ]]-Project_Data_NYSE[[#This Row],[ Cost of Goods Sold ]]</f>
        <v>847127000</v>
      </c>
      <c r="H1549" s="3">
        <v>441168000</v>
      </c>
      <c r="I1549" s="3">
        <v>62630000</v>
      </c>
      <c r="J1549" s="3">
        <v>0</v>
      </c>
      <c r="K1549" s="3">
        <f>Project_Data_NYSE[[#This Row],[Gross Profit]]-Project_Data_NYSE[[#This Row],[ Sales, General and Admin. ]]-Project_Data_NYSE[[#This Row],[ Research and Development ]]-Project_Data_NYSE[[#This Row],[ Other Operating Items ]]</f>
        <v>343329000</v>
      </c>
      <c r="L1549" t="s">
        <v>46</v>
      </c>
      <c r="M1549" t="s">
        <v>104</v>
      </c>
      <c r="N1549" s="31">
        <f>Project_Data_NYSE[[#This Row],[Gross Profit]]/Project_Data_NYSE[[#This Row],[ Total Revenue ]]</f>
        <v>0.34761800415930089</v>
      </c>
      <c r="O1549" s="31">
        <f>Project_Data_NYSE[[#This Row],[Operating Profit]]/Project_Data_NYSE[[#This Row],[ Total Revenue ]]</f>
        <v>0.14088482807183411</v>
      </c>
    </row>
    <row r="1550" spans="1:15" x14ac:dyDescent="0.2">
      <c r="A1550">
        <v>1615</v>
      </c>
      <c r="B1550" t="s">
        <v>532</v>
      </c>
      <c r="C1550" t="s">
        <v>14</v>
      </c>
      <c r="D1550" s="48">
        <v>41851</v>
      </c>
      <c r="E1550" s="3">
        <v>2473500000</v>
      </c>
      <c r="F1550" s="3">
        <v>1595700000</v>
      </c>
      <c r="G1550" s="3">
        <f>Project_Data_NYSE[[#This Row],[ Total Revenue ]]-Project_Data_NYSE[[#This Row],[ Cost of Goods Sold ]]</f>
        <v>877800000</v>
      </c>
      <c r="H1550" s="3">
        <v>460300000</v>
      </c>
      <c r="I1550" s="3">
        <v>61800000</v>
      </c>
      <c r="J1550" s="3">
        <v>0</v>
      </c>
      <c r="K1550" s="3">
        <f>Project_Data_NYSE[[#This Row],[Gross Profit]]-Project_Data_NYSE[[#This Row],[ Sales, General and Admin. ]]-Project_Data_NYSE[[#This Row],[ Research and Development ]]-Project_Data_NYSE[[#This Row],[ Other Operating Items ]]</f>
        <v>355700000</v>
      </c>
      <c r="L1550" t="s">
        <v>46</v>
      </c>
      <c r="M1550" t="s">
        <v>104</v>
      </c>
      <c r="N1550" s="31">
        <f>Project_Data_NYSE[[#This Row],[Gross Profit]]/Project_Data_NYSE[[#This Row],[ Total Revenue ]]</f>
        <v>0.35488174651303822</v>
      </c>
      <c r="O1550" s="31">
        <f>Project_Data_NYSE[[#This Row],[Operating Profit]]/Project_Data_NYSE[[#This Row],[ Total Revenue ]]</f>
        <v>0.14380432585405295</v>
      </c>
    </row>
    <row r="1551" spans="1:15" x14ac:dyDescent="0.2">
      <c r="A1551">
        <v>1616</v>
      </c>
      <c r="B1551" t="s">
        <v>532</v>
      </c>
      <c r="C1551" t="s">
        <v>15</v>
      </c>
      <c r="D1551" s="48">
        <v>42216</v>
      </c>
      <c r="E1551" s="3">
        <v>2371200000</v>
      </c>
      <c r="F1551" s="3">
        <v>1562600000</v>
      </c>
      <c r="G1551" s="3">
        <f>Project_Data_NYSE[[#This Row],[ Total Revenue ]]-Project_Data_NYSE[[#This Row],[ Cost of Goods Sold ]]</f>
        <v>808600000</v>
      </c>
      <c r="H1551" s="3">
        <v>460100000</v>
      </c>
      <c r="I1551" s="3">
        <v>60200000</v>
      </c>
      <c r="J1551" s="3">
        <v>0</v>
      </c>
      <c r="K1551" s="3">
        <f>Project_Data_NYSE[[#This Row],[Gross Profit]]-Project_Data_NYSE[[#This Row],[ Sales, General and Admin. ]]-Project_Data_NYSE[[#This Row],[ Research and Development ]]-Project_Data_NYSE[[#This Row],[ Other Operating Items ]]</f>
        <v>288300000</v>
      </c>
      <c r="L1551" t="s">
        <v>46</v>
      </c>
      <c r="M1551" t="s">
        <v>104</v>
      </c>
      <c r="N1551" s="31">
        <f>Project_Data_NYSE[[#This Row],[Gross Profit]]/Project_Data_NYSE[[#This Row],[ Total Revenue ]]</f>
        <v>0.34100877192982454</v>
      </c>
      <c r="O1551" s="31">
        <f>Project_Data_NYSE[[#This Row],[Operating Profit]]/Project_Data_NYSE[[#This Row],[ Total Revenue ]]</f>
        <v>0.12158400809716599</v>
      </c>
    </row>
    <row r="1552" spans="1:15" x14ac:dyDescent="0.2">
      <c r="A1552">
        <v>1617</v>
      </c>
      <c r="B1552" t="s">
        <v>532</v>
      </c>
      <c r="C1552" t="s">
        <v>16</v>
      </c>
      <c r="D1552" s="48">
        <v>42582</v>
      </c>
      <c r="E1552" s="3">
        <v>2220300000</v>
      </c>
      <c r="F1552" s="3">
        <v>1465500000</v>
      </c>
      <c r="G1552" s="3">
        <f>Project_Data_NYSE[[#This Row],[ Total Revenue ]]-Project_Data_NYSE[[#This Row],[ Cost of Goods Sold ]]</f>
        <v>754800000</v>
      </c>
      <c r="H1552" s="3">
        <v>425100000</v>
      </c>
      <c r="I1552" s="3">
        <v>55500000</v>
      </c>
      <c r="J1552" s="3">
        <v>0</v>
      </c>
      <c r="K1552" s="3">
        <f>Project_Data_NYSE[[#This Row],[Gross Profit]]-Project_Data_NYSE[[#This Row],[ Sales, General and Admin. ]]-Project_Data_NYSE[[#This Row],[ Research and Development ]]-Project_Data_NYSE[[#This Row],[ Other Operating Items ]]</f>
        <v>274200000</v>
      </c>
      <c r="L1552" t="s">
        <v>46</v>
      </c>
      <c r="M1552" t="s">
        <v>104</v>
      </c>
      <c r="N1552" s="31">
        <f>Project_Data_NYSE[[#This Row],[Gross Profit]]/Project_Data_NYSE[[#This Row],[ Total Revenue ]]</f>
        <v>0.33995406026212677</v>
      </c>
      <c r="O1552" s="31">
        <f>Project_Data_NYSE[[#This Row],[Operating Profit]]/Project_Data_NYSE[[#This Row],[ Total Revenue ]]</f>
        <v>0.1234968247534117</v>
      </c>
    </row>
    <row r="1553" spans="1:15" x14ac:dyDescent="0.2">
      <c r="A1553">
        <v>1618</v>
      </c>
      <c r="B1553" t="s">
        <v>533</v>
      </c>
      <c r="C1553" t="s">
        <v>11</v>
      </c>
      <c r="D1553" s="48">
        <v>41639</v>
      </c>
      <c r="E1553" s="3">
        <v>56600000000</v>
      </c>
      <c r="F1553" s="3">
        <v>40468000000</v>
      </c>
      <c r="G1553" s="3">
        <f>Project_Data_NYSE[[#This Row],[ Total Revenue ]]-Project_Data_NYSE[[#This Row],[ Cost of Goods Sold ]]</f>
        <v>16132000000</v>
      </c>
      <c r="H1553" s="3">
        <v>5241000000</v>
      </c>
      <c r="I1553" s="3">
        <v>2342000000</v>
      </c>
      <c r="J1553" s="3">
        <v>0</v>
      </c>
      <c r="K1553" s="3">
        <f>Project_Data_NYSE[[#This Row],[Gross Profit]]-Project_Data_NYSE[[#This Row],[ Sales, General and Admin. ]]-Project_Data_NYSE[[#This Row],[ Research and Development ]]-Project_Data_NYSE[[#This Row],[ Other Operating Items ]]</f>
        <v>8549000000</v>
      </c>
      <c r="L1553" t="s">
        <v>12</v>
      </c>
      <c r="M1553" t="s">
        <v>163</v>
      </c>
      <c r="N1553" s="31">
        <f>Project_Data_NYSE[[#This Row],[Gross Profit]]/Project_Data_NYSE[[#This Row],[ Total Revenue ]]</f>
        <v>0.28501766784452298</v>
      </c>
      <c r="O1553" s="31">
        <f>Project_Data_NYSE[[#This Row],[Operating Profit]]/Project_Data_NYSE[[#This Row],[ Total Revenue ]]</f>
        <v>0.15104240282685513</v>
      </c>
    </row>
    <row r="1554" spans="1:15" x14ac:dyDescent="0.2">
      <c r="A1554">
        <v>1619</v>
      </c>
      <c r="B1554" t="s">
        <v>533</v>
      </c>
      <c r="C1554" t="s">
        <v>14</v>
      </c>
      <c r="D1554" s="48">
        <v>42004</v>
      </c>
      <c r="E1554" s="3">
        <v>57900000000</v>
      </c>
      <c r="F1554" s="3">
        <v>40898000000</v>
      </c>
      <c r="G1554" s="3">
        <f>Project_Data_NYSE[[#This Row],[ Total Revenue ]]-Project_Data_NYSE[[#This Row],[ Cost of Goods Sold ]]</f>
        <v>17002000000</v>
      </c>
      <c r="H1554" s="3">
        <v>4934000000</v>
      </c>
      <c r="I1554" s="3">
        <v>2475000000</v>
      </c>
      <c r="J1554" s="3">
        <v>0</v>
      </c>
      <c r="K1554" s="3">
        <f>Project_Data_NYSE[[#This Row],[Gross Profit]]-Project_Data_NYSE[[#This Row],[ Sales, General and Admin. ]]-Project_Data_NYSE[[#This Row],[ Research and Development ]]-Project_Data_NYSE[[#This Row],[ Other Operating Items ]]</f>
        <v>9593000000</v>
      </c>
      <c r="L1554" t="s">
        <v>12</v>
      </c>
      <c r="M1554" t="s">
        <v>163</v>
      </c>
      <c r="N1554" s="31">
        <f>Project_Data_NYSE[[#This Row],[Gross Profit]]/Project_Data_NYSE[[#This Row],[ Total Revenue ]]</f>
        <v>0.29364421416234887</v>
      </c>
      <c r="O1554" s="31">
        <f>Project_Data_NYSE[[#This Row],[Operating Profit]]/Project_Data_NYSE[[#This Row],[ Total Revenue ]]</f>
        <v>0.16568221070811745</v>
      </c>
    </row>
    <row r="1555" spans="1:15" x14ac:dyDescent="0.2">
      <c r="A1555">
        <v>1620</v>
      </c>
      <c r="B1555" t="s">
        <v>533</v>
      </c>
      <c r="C1555" t="s">
        <v>15</v>
      </c>
      <c r="D1555" s="48">
        <v>42369</v>
      </c>
      <c r="E1555" s="3">
        <v>56098000000</v>
      </c>
      <c r="F1555" s="3">
        <v>40431000000</v>
      </c>
      <c r="G1555" s="3">
        <f>Project_Data_NYSE[[#This Row],[ Total Revenue ]]-Project_Data_NYSE[[#This Row],[ Cost of Goods Sold ]]</f>
        <v>15667000000</v>
      </c>
      <c r="H1555" s="3">
        <v>6097000000</v>
      </c>
      <c r="I1555" s="3">
        <v>2279000000</v>
      </c>
      <c r="J1555" s="3">
        <v>0</v>
      </c>
      <c r="K1555" s="3">
        <f>Project_Data_NYSE[[#This Row],[Gross Profit]]-Project_Data_NYSE[[#This Row],[ Sales, General and Admin. ]]-Project_Data_NYSE[[#This Row],[ Research and Development ]]-Project_Data_NYSE[[#This Row],[ Other Operating Items ]]</f>
        <v>7291000000</v>
      </c>
      <c r="L1555" t="s">
        <v>12</v>
      </c>
      <c r="M1555" t="s">
        <v>163</v>
      </c>
      <c r="N1555" s="31">
        <f>Project_Data_NYSE[[#This Row],[Gross Profit]]/Project_Data_NYSE[[#This Row],[ Total Revenue ]]</f>
        <v>0.27927911868515809</v>
      </c>
      <c r="O1555" s="31">
        <f>Project_Data_NYSE[[#This Row],[Operating Profit]]/Project_Data_NYSE[[#This Row],[ Total Revenue ]]</f>
        <v>0.12996898285143854</v>
      </c>
    </row>
    <row r="1556" spans="1:15" x14ac:dyDescent="0.2">
      <c r="A1556">
        <v>1621</v>
      </c>
      <c r="B1556" t="s">
        <v>533</v>
      </c>
      <c r="C1556" t="s">
        <v>16</v>
      </c>
      <c r="D1556" s="48">
        <v>42735</v>
      </c>
      <c r="E1556" s="3">
        <v>57244000000</v>
      </c>
      <c r="F1556" s="3">
        <v>41460000000</v>
      </c>
      <c r="G1556" s="3">
        <f>Project_Data_NYSE[[#This Row],[ Total Revenue ]]-Project_Data_NYSE[[#This Row],[ Cost of Goods Sold ]]</f>
        <v>15784000000</v>
      </c>
      <c r="H1556" s="3">
        <v>5275000000</v>
      </c>
      <c r="I1556" s="3">
        <v>2337000000</v>
      </c>
      <c r="J1556" s="3">
        <v>0</v>
      </c>
      <c r="K1556" s="3">
        <f>Project_Data_NYSE[[#This Row],[Gross Profit]]-Project_Data_NYSE[[#This Row],[ Sales, General and Admin. ]]-Project_Data_NYSE[[#This Row],[ Research and Development ]]-Project_Data_NYSE[[#This Row],[ Other Operating Items ]]</f>
        <v>8172000000</v>
      </c>
      <c r="L1556" t="s">
        <v>12</v>
      </c>
      <c r="M1556" t="s">
        <v>163</v>
      </c>
      <c r="N1556" s="31">
        <f>Project_Data_NYSE[[#This Row],[Gross Profit]]/Project_Data_NYSE[[#This Row],[ Total Revenue ]]</f>
        <v>0.27573195444064008</v>
      </c>
      <c r="O1556" s="31">
        <f>Project_Data_NYSE[[#This Row],[Operating Profit]]/Project_Data_NYSE[[#This Row],[ Total Revenue ]]</f>
        <v>0.1427573195444064</v>
      </c>
    </row>
    <row r="1557" spans="1:15" x14ac:dyDescent="0.2">
      <c r="A1557">
        <v>1622</v>
      </c>
      <c r="B1557" t="s">
        <v>534</v>
      </c>
      <c r="C1557" t="s">
        <v>11</v>
      </c>
      <c r="D1557" s="48">
        <v>41547</v>
      </c>
      <c r="E1557" s="3">
        <v>11778000000</v>
      </c>
      <c r="F1557" s="3">
        <v>1932000000</v>
      </c>
      <c r="G1557" s="3">
        <f>Project_Data_NYSE[[#This Row],[ Total Revenue ]]-Project_Data_NYSE[[#This Row],[ Cost of Goods Sold ]]</f>
        <v>9846000000</v>
      </c>
      <c r="H1557" s="3">
        <v>2207000000</v>
      </c>
      <c r="I1557" s="3">
        <v>0</v>
      </c>
      <c r="J1557" s="3">
        <v>397000000</v>
      </c>
      <c r="K1557" s="3">
        <f>Project_Data_NYSE[[#This Row],[Gross Profit]]-Project_Data_NYSE[[#This Row],[ Sales, General and Admin. ]]-Project_Data_NYSE[[#This Row],[ Research and Development ]]-Project_Data_NYSE[[#This Row],[ Other Operating Items ]]</f>
        <v>7242000000</v>
      </c>
      <c r="L1557" t="s">
        <v>21</v>
      </c>
      <c r="M1557" t="s">
        <v>56</v>
      </c>
      <c r="N1557" s="31">
        <f>Project_Data_NYSE[[#This Row],[Gross Profit]]/Project_Data_NYSE[[#This Row],[ Total Revenue ]]</f>
        <v>0.83596535914416714</v>
      </c>
      <c r="O1557" s="31">
        <f>Project_Data_NYSE[[#This Row],[Operating Profit]]/Project_Data_NYSE[[#This Row],[ Total Revenue ]]</f>
        <v>0.61487519103413146</v>
      </c>
    </row>
    <row r="1558" spans="1:15" x14ac:dyDescent="0.2">
      <c r="A1558">
        <v>1623</v>
      </c>
      <c r="B1558" t="s">
        <v>534</v>
      </c>
      <c r="C1558" t="s">
        <v>14</v>
      </c>
      <c r="D1558" s="48">
        <v>41912</v>
      </c>
      <c r="E1558" s="3">
        <v>12702000000</v>
      </c>
      <c r="F1558" s="3">
        <v>1875000000</v>
      </c>
      <c r="G1558" s="3">
        <f>Project_Data_NYSE[[#This Row],[ Total Revenue ]]-Project_Data_NYSE[[#This Row],[ Cost of Goods Sold ]]</f>
        <v>10827000000</v>
      </c>
      <c r="H1558" s="3">
        <v>2242000000</v>
      </c>
      <c r="I1558" s="3">
        <v>0</v>
      </c>
      <c r="J1558" s="3">
        <v>435000000</v>
      </c>
      <c r="K1558" s="3">
        <f>Project_Data_NYSE[[#This Row],[Gross Profit]]-Project_Data_NYSE[[#This Row],[ Sales, General and Admin. ]]-Project_Data_NYSE[[#This Row],[ Research and Development ]]-Project_Data_NYSE[[#This Row],[ Other Operating Items ]]</f>
        <v>8150000000</v>
      </c>
      <c r="L1558" t="s">
        <v>21</v>
      </c>
      <c r="M1558" t="s">
        <v>56</v>
      </c>
      <c r="N1558" s="31">
        <f>Project_Data_NYSE[[#This Row],[Gross Profit]]/Project_Data_NYSE[[#This Row],[ Total Revenue ]]</f>
        <v>0.85238545111006137</v>
      </c>
      <c r="O1558" s="31">
        <f>Project_Data_NYSE[[#This Row],[Operating Profit]]/Project_Data_NYSE[[#This Row],[ Total Revenue ]]</f>
        <v>0.64163123917493303</v>
      </c>
    </row>
    <row r="1559" spans="1:15" x14ac:dyDescent="0.2">
      <c r="A1559">
        <v>1624</v>
      </c>
      <c r="B1559" t="s">
        <v>534</v>
      </c>
      <c r="C1559" t="s">
        <v>15</v>
      </c>
      <c r="D1559" s="48">
        <v>42277</v>
      </c>
      <c r="E1559" s="3">
        <v>13880000000</v>
      </c>
      <c r="F1559" s="3">
        <v>2079000000</v>
      </c>
      <c r="G1559" s="3">
        <f>Project_Data_NYSE[[#This Row],[ Total Revenue ]]-Project_Data_NYSE[[#This Row],[ Cost of Goods Sold ]]</f>
        <v>11801000000</v>
      </c>
      <c r="H1559" s="3">
        <v>2229000000</v>
      </c>
      <c r="I1559" s="3">
        <v>0</v>
      </c>
      <c r="J1559" s="3">
        <v>494000000</v>
      </c>
      <c r="K1559" s="3">
        <f>Project_Data_NYSE[[#This Row],[Gross Profit]]-Project_Data_NYSE[[#This Row],[ Sales, General and Admin. ]]-Project_Data_NYSE[[#This Row],[ Research and Development ]]-Project_Data_NYSE[[#This Row],[ Other Operating Items ]]</f>
        <v>9078000000</v>
      </c>
      <c r="L1559" t="s">
        <v>21</v>
      </c>
      <c r="M1559" t="s">
        <v>56</v>
      </c>
      <c r="N1559" s="31">
        <f>Project_Data_NYSE[[#This Row],[Gross Profit]]/Project_Data_NYSE[[#This Row],[ Total Revenue ]]</f>
        <v>0.85021613832853027</v>
      </c>
      <c r="O1559" s="31">
        <f>Project_Data_NYSE[[#This Row],[Operating Profit]]/Project_Data_NYSE[[#This Row],[ Total Revenue ]]</f>
        <v>0.65403458213256482</v>
      </c>
    </row>
    <row r="1560" spans="1:15" x14ac:dyDescent="0.2">
      <c r="A1560">
        <v>1625</v>
      </c>
      <c r="B1560" t="s">
        <v>534</v>
      </c>
      <c r="C1560" t="s">
        <v>16</v>
      </c>
      <c r="D1560" s="48">
        <v>42643</v>
      </c>
      <c r="E1560" s="3">
        <v>15082000000</v>
      </c>
      <c r="F1560" s="3">
        <v>2226000000</v>
      </c>
      <c r="G1560" s="3">
        <f>Project_Data_NYSE[[#This Row],[ Total Revenue ]]-Project_Data_NYSE[[#This Row],[ Cost of Goods Sold ]]</f>
        <v>12856000000</v>
      </c>
      <c r="H1560" s="3">
        <v>4469000000</v>
      </c>
      <c r="I1560" s="3">
        <v>0</v>
      </c>
      <c r="J1560" s="3">
        <v>502000000</v>
      </c>
      <c r="K1560" s="3">
        <f>Project_Data_NYSE[[#This Row],[Gross Profit]]-Project_Data_NYSE[[#This Row],[ Sales, General and Admin. ]]-Project_Data_NYSE[[#This Row],[ Research and Development ]]-Project_Data_NYSE[[#This Row],[ Other Operating Items ]]</f>
        <v>7885000000</v>
      </c>
      <c r="L1560" t="s">
        <v>21</v>
      </c>
      <c r="M1560" t="s">
        <v>56</v>
      </c>
      <c r="N1560" s="31">
        <f>Project_Data_NYSE[[#This Row],[Gross Profit]]/Project_Data_NYSE[[#This Row],[ Total Revenue ]]</f>
        <v>0.85240684259382049</v>
      </c>
      <c r="O1560" s="31">
        <f>Project_Data_NYSE[[#This Row],[Operating Profit]]/Project_Data_NYSE[[#This Row],[ Total Revenue ]]</f>
        <v>0.52280864606816069</v>
      </c>
    </row>
    <row r="1561" spans="1:15" x14ac:dyDescent="0.2">
      <c r="A1561">
        <v>861</v>
      </c>
      <c r="B1561" t="s">
        <v>324</v>
      </c>
      <c r="C1561" t="s">
        <v>15</v>
      </c>
      <c r="D1561" s="48">
        <v>42369</v>
      </c>
      <c r="E1561" s="3">
        <v>2384400000</v>
      </c>
      <c r="F1561" s="3">
        <v>806500000</v>
      </c>
      <c r="G1561" s="3">
        <f>Project_Data_NYSE[[#This Row],[ Total Revenue ]]-Project_Data_NYSE[[#This Row],[ Cost of Goods Sold ]]</f>
        <v>1577900000</v>
      </c>
      <c r="H1561" s="3">
        <v>640500000</v>
      </c>
      <c r="I1561" s="3">
        <v>197400000</v>
      </c>
      <c r="J1561" s="3">
        <v>0</v>
      </c>
      <c r="K1561" s="3">
        <f>Project_Data_NYSE[[#This Row],[Gross Profit]]-Project_Data_NYSE[[#This Row],[ Sales, General and Admin. ]]-Project_Data_NYSE[[#This Row],[ Research and Development ]]-Project_Data_NYSE[[#This Row],[ Other Operating Items ]]</f>
        <v>740000000</v>
      </c>
      <c r="L1561" t="s">
        <v>24</v>
      </c>
      <c r="M1561" t="s">
        <v>29</v>
      </c>
      <c r="N1561" s="31">
        <f>Project_Data_NYSE[[#This Row],[Gross Profit]]/Project_Data_NYSE[[#This Row],[ Total Revenue ]]</f>
        <v>0.66175977185036072</v>
      </c>
      <c r="O1561" s="31">
        <f>Project_Data_NYSE[[#This Row],[Operating Profit]]/Project_Data_NYSE[[#This Row],[ Total Revenue ]]</f>
        <v>0.31035061231337024</v>
      </c>
    </row>
    <row r="1562" spans="1:15" x14ac:dyDescent="0.2">
      <c r="A1562">
        <v>1256</v>
      </c>
      <c r="B1562" t="s">
        <v>437</v>
      </c>
      <c r="C1562" t="s">
        <v>11</v>
      </c>
      <c r="D1562" s="48">
        <v>41274</v>
      </c>
      <c r="E1562" s="3">
        <v>54657000000</v>
      </c>
      <c r="F1562" s="3">
        <v>9821000000</v>
      </c>
      <c r="G1562" s="3">
        <f>Project_Data_NYSE[[#This Row],[ Total Revenue ]]-Project_Data_NYSE[[#This Row],[ Cost of Goods Sold ]]</f>
        <v>44836000000</v>
      </c>
      <c r="H1562" s="3">
        <v>15171000000</v>
      </c>
      <c r="I1562" s="3">
        <v>7482000000</v>
      </c>
      <c r="J1562" s="3">
        <v>5109000000</v>
      </c>
      <c r="K1562" s="3">
        <f>Project_Data_NYSE[[#This Row],[Gross Profit]]-Project_Data_NYSE[[#This Row],[ Sales, General and Admin. ]]-Project_Data_NYSE[[#This Row],[ Research and Development ]]-Project_Data_NYSE[[#This Row],[ Other Operating Items ]]</f>
        <v>17074000000</v>
      </c>
      <c r="L1562" t="s">
        <v>24</v>
      </c>
      <c r="M1562" t="s">
        <v>25</v>
      </c>
      <c r="N1562" s="31">
        <f>Project_Data_NYSE[[#This Row],[Gross Profit]]/Project_Data_NYSE[[#This Row],[ Total Revenue ]]</f>
        <v>0.8203157875477981</v>
      </c>
      <c r="O1562" s="31">
        <f>Project_Data_NYSE[[#This Row],[Operating Profit]]/Project_Data_NYSE[[#This Row],[ Total Revenue ]]</f>
        <v>0.31238450701648462</v>
      </c>
    </row>
    <row r="1563" spans="1:15" x14ac:dyDescent="0.2">
      <c r="A1563">
        <v>108</v>
      </c>
      <c r="B1563" t="s">
        <v>70</v>
      </c>
      <c r="C1563" t="s">
        <v>11</v>
      </c>
      <c r="D1563" s="48">
        <v>41639</v>
      </c>
      <c r="E1563" s="3">
        <v>18676000000</v>
      </c>
      <c r="F1563" s="3">
        <v>3346000000</v>
      </c>
      <c r="G1563" s="3">
        <f>Project_Data_NYSE[[#This Row],[ Total Revenue ]]-Project_Data_NYSE[[#This Row],[ Cost of Goods Sold ]]</f>
        <v>15330000000</v>
      </c>
      <c r="H1563" s="3">
        <v>5380000000</v>
      </c>
      <c r="I1563" s="3">
        <v>4083000000</v>
      </c>
      <c r="J1563" s="3">
        <v>0</v>
      </c>
      <c r="K1563" s="3">
        <f>Project_Data_NYSE[[#This Row],[Gross Profit]]-Project_Data_NYSE[[#This Row],[ Sales, General and Admin. ]]-Project_Data_NYSE[[#This Row],[ Research and Development ]]-Project_Data_NYSE[[#This Row],[ Other Operating Items ]]</f>
        <v>5867000000</v>
      </c>
      <c r="L1563" t="s">
        <v>24</v>
      </c>
      <c r="M1563" t="s">
        <v>65</v>
      </c>
      <c r="N1563" s="31">
        <f>Project_Data_NYSE[[#This Row],[Gross Profit]]/Project_Data_NYSE[[#This Row],[ Total Revenue ]]</f>
        <v>0.820839580209895</v>
      </c>
      <c r="O1563" s="31">
        <f>Project_Data_NYSE[[#This Row],[Operating Profit]]/Project_Data_NYSE[[#This Row],[ Total Revenue ]]</f>
        <v>0.3141464981794817</v>
      </c>
    </row>
    <row r="1564" spans="1:15" x14ac:dyDescent="0.2">
      <c r="A1564">
        <v>1257</v>
      </c>
      <c r="B1564" t="s">
        <v>437</v>
      </c>
      <c r="C1564" t="s">
        <v>14</v>
      </c>
      <c r="D1564" s="48">
        <v>41639</v>
      </c>
      <c r="E1564" s="3">
        <v>51584000000</v>
      </c>
      <c r="F1564" s="3">
        <v>9586000000</v>
      </c>
      <c r="G1564" s="3">
        <f>Project_Data_NYSE[[#This Row],[ Total Revenue ]]-Project_Data_NYSE[[#This Row],[ Cost of Goods Sold ]]</f>
        <v>41998000000</v>
      </c>
      <c r="H1564" s="3">
        <v>14355000000</v>
      </c>
      <c r="I1564" s="3">
        <v>6678000000</v>
      </c>
      <c r="J1564" s="3">
        <v>4599000000</v>
      </c>
      <c r="K1564" s="3">
        <f>Project_Data_NYSE[[#This Row],[Gross Profit]]-Project_Data_NYSE[[#This Row],[ Sales, General and Admin. ]]-Project_Data_NYSE[[#This Row],[ Research and Development ]]-Project_Data_NYSE[[#This Row],[ Other Operating Items ]]</f>
        <v>16366000000</v>
      </c>
      <c r="L1564" t="s">
        <v>24</v>
      </c>
      <c r="M1564" t="s">
        <v>25</v>
      </c>
      <c r="N1564" s="31">
        <f>Project_Data_NYSE[[#This Row],[Gross Profit]]/Project_Data_NYSE[[#This Row],[ Total Revenue ]]</f>
        <v>0.81416718362282881</v>
      </c>
      <c r="O1564" s="31">
        <f>Project_Data_NYSE[[#This Row],[Operating Profit]]/Project_Data_NYSE[[#This Row],[ Total Revenue ]]</f>
        <v>0.31726892059553352</v>
      </c>
    </row>
    <row r="1565" spans="1:15" x14ac:dyDescent="0.2">
      <c r="A1565">
        <v>1630</v>
      </c>
      <c r="B1565" t="s">
        <v>536</v>
      </c>
      <c r="C1565" t="s">
        <v>11</v>
      </c>
      <c r="D1565" s="48">
        <v>41274</v>
      </c>
      <c r="E1565" s="3">
        <v>10879855000</v>
      </c>
      <c r="F1565" s="3">
        <v>5817880000</v>
      </c>
      <c r="G1565" s="3">
        <f>Project_Data_NYSE[[#This Row],[ Total Revenue ]]-Project_Data_NYSE[[#This Row],[ Cost of Goods Sold ]]</f>
        <v>5061975000</v>
      </c>
      <c r="H1565" s="3">
        <v>3596708000</v>
      </c>
      <c r="I1565" s="3">
        <v>0</v>
      </c>
      <c r="J1565" s="3">
        <v>0</v>
      </c>
      <c r="K1565" s="3">
        <f>Project_Data_NYSE[[#This Row],[Gross Profit]]-Project_Data_NYSE[[#This Row],[ Sales, General and Admin. ]]-Project_Data_NYSE[[#This Row],[ Research and Development ]]-Project_Data_NYSE[[#This Row],[ Other Operating Items ]]</f>
        <v>1465267000</v>
      </c>
      <c r="L1565" t="s">
        <v>18</v>
      </c>
      <c r="M1565" t="s">
        <v>288</v>
      </c>
      <c r="N1565" s="31">
        <f>Project_Data_NYSE[[#This Row],[Gross Profit]]/Project_Data_NYSE[[#This Row],[ Total Revenue ]]</f>
        <v>0.4652612557796037</v>
      </c>
      <c r="O1565" s="31">
        <f>Project_Data_NYSE[[#This Row],[Operating Profit]]/Project_Data_NYSE[[#This Row],[ Total Revenue ]]</f>
        <v>0.1346770706043417</v>
      </c>
    </row>
    <row r="1566" spans="1:15" x14ac:dyDescent="0.2">
      <c r="A1566">
        <v>1631</v>
      </c>
      <c r="B1566" t="s">
        <v>536</v>
      </c>
      <c r="C1566" t="s">
        <v>14</v>
      </c>
      <c r="D1566" s="48">
        <v>41639</v>
      </c>
      <c r="E1566" s="3">
        <v>11419648000</v>
      </c>
      <c r="F1566" s="3">
        <v>5931469000</v>
      </c>
      <c r="G1566" s="3">
        <f>Project_Data_NYSE[[#This Row],[ Total Revenue ]]-Project_Data_NYSE[[#This Row],[ Cost of Goods Sold ]]</f>
        <v>5488179000</v>
      </c>
      <c r="H1566" s="3">
        <v>3841032000</v>
      </c>
      <c r="I1566" s="3">
        <v>0</v>
      </c>
      <c r="J1566" s="3">
        <v>0</v>
      </c>
      <c r="K1566" s="3">
        <f>Project_Data_NYSE[[#This Row],[Gross Profit]]-Project_Data_NYSE[[#This Row],[ Sales, General and Admin. ]]-Project_Data_NYSE[[#This Row],[ Research and Development ]]-Project_Data_NYSE[[#This Row],[ Other Operating Items ]]</f>
        <v>1647147000</v>
      </c>
      <c r="L1566" t="s">
        <v>18</v>
      </c>
      <c r="M1566" t="s">
        <v>288</v>
      </c>
      <c r="N1566" s="31">
        <f>Project_Data_NYSE[[#This Row],[Gross Profit]]/Project_Data_NYSE[[#This Row],[ Total Revenue ]]</f>
        <v>0.48059090788087339</v>
      </c>
      <c r="O1566" s="31">
        <f>Project_Data_NYSE[[#This Row],[Operating Profit]]/Project_Data_NYSE[[#This Row],[ Total Revenue ]]</f>
        <v>0.14423798351753048</v>
      </c>
    </row>
    <row r="1567" spans="1:15" x14ac:dyDescent="0.2">
      <c r="A1567">
        <v>1632</v>
      </c>
      <c r="B1567" t="s">
        <v>536</v>
      </c>
      <c r="C1567" t="s">
        <v>15</v>
      </c>
      <c r="D1567" s="48">
        <v>42007</v>
      </c>
      <c r="E1567" s="3">
        <v>12282161000</v>
      </c>
      <c r="F1567" s="3">
        <v>6288190000</v>
      </c>
      <c r="G1567" s="3">
        <f>Project_Data_NYSE[[#This Row],[ Total Revenue ]]-Project_Data_NYSE[[#This Row],[ Cost of Goods Sold ]]</f>
        <v>5993971000</v>
      </c>
      <c r="H1567" s="3">
        <v>4159885000</v>
      </c>
      <c r="I1567" s="3">
        <v>0</v>
      </c>
      <c r="J1567" s="3">
        <v>0</v>
      </c>
      <c r="K1567" s="3">
        <f>Project_Data_NYSE[[#This Row],[Gross Profit]]-Project_Data_NYSE[[#This Row],[ Sales, General and Admin. ]]-Project_Data_NYSE[[#This Row],[ Research and Development ]]-Project_Data_NYSE[[#This Row],[ Other Operating Items ]]</f>
        <v>1834086000</v>
      </c>
      <c r="L1567" t="s">
        <v>18</v>
      </c>
      <c r="M1567" t="s">
        <v>288</v>
      </c>
      <c r="N1567" s="31">
        <f>Project_Data_NYSE[[#This Row],[Gross Profit]]/Project_Data_NYSE[[#This Row],[ Total Revenue ]]</f>
        <v>0.48802250678850406</v>
      </c>
      <c r="O1567" s="31">
        <f>Project_Data_NYSE[[#This Row],[Operating Profit]]/Project_Data_NYSE[[#This Row],[ Total Revenue ]]</f>
        <v>0.1493292589146161</v>
      </c>
    </row>
    <row r="1568" spans="1:15" x14ac:dyDescent="0.2">
      <c r="A1568">
        <v>1633</v>
      </c>
      <c r="B1568" t="s">
        <v>536</v>
      </c>
      <c r="C1568" t="s">
        <v>16</v>
      </c>
      <c r="D1568" s="48">
        <v>42371</v>
      </c>
      <c r="E1568" s="3">
        <v>12376744000</v>
      </c>
      <c r="F1568" s="3">
        <v>6393800000</v>
      </c>
      <c r="G1568" s="3">
        <f>Project_Data_NYSE[[#This Row],[ Total Revenue ]]-Project_Data_NYSE[[#This Row],[ Cost of Goods Sold ]]</f>
        <v>5982944000</v>
      </c>
      <c r="H1568" s="3">
        <v>4178386000</v>
      </c>
      <c r="I1568" s="3">
        <v>0</v>
      </c>
      <c r="J1568" s="3">
        <v>0</v>
      </c>
      <c r="K1568" s="3">
        <f>Project_Data_NYSE[[#This Row],[Gross Profit]]-Project_Data_NYSE[[#This Row],[ Sales, General and Admin. ]]-Project_Data_NYSE[[#This Row],[ Research and Development ]]-Project_Data_NYSE[[#This Row],[ Other Operating Items ]]</f>
        <v>1804558000</v>
      </c>
      <c r="L1568" t="s">
        <v>18</v>
      </c>
      <c r="M1568" t="s">
        <v>288</v>
      </c>
      <c r="N1568" s="31">
        <f>Project_Data_NYSE[[#This Row],[Gross Profit]]/Project_Data_NYSE[[#This Row],[ Total Revenue ]]</f>
        <v>0.48340209670653284</v>
      </c>
      <c r="O1568" s="31">
        <f>Project_Data_NYSE[[#This Row],[Operating Profit]]/Project_Data_NYSE[[#This Row],[ Total Revenue ]]</f>
        <v>0.14580232086888117</v>
      </c>
    </row>
    <row r="1569" spans="1:15" x14ac:dyDescent="0.2">
      <c r="A1569">
        <v>1634</v>
      </c>
      <c r="B1569" t="s">
        <v>537</v>
      </c>
      <c r="C1569" t="s">
        <v>11</v>
      </c>
      <c r="D1569" s="48">
        <v>41547</v>
      </c>
      <c r="E1569" s="3">
        <v>13794000000</v>
      </c>
      <c r="F1569" s="3">
        <v>6799000000</v>
      </c>
      <c r="G1569" s="3">
        <f>Project_Data_NYSE[[#This Row],[ Total Revenue ]]-Project_Data_NYSE[[#This Row],[ Cost of Goods Sold ]]</f>
        <v>6995000000</v>
      </c>
      <c r="H1569" s="3">
        <v>2829000000</v>
      </c>
      <c r="I1569" s="3">
        <v>0</v>
      </c>
      <c r="J1569" s="3">
        <v>237000000</v>
      </c>
      <c r="K1569" s="3">
        <f>Project_Data_NYSE[[#This Row],[Gross Profit]]-Project_Data_NYSE[[#This Row],[ Sales, General and Admin. ]]-Project_Data_NYSE[[#This Row],[ Research and Development ]]-Project_Data_NYSE[[#This Row],[ Other Operating Items ]]</f>
        <v>3929000000</v>
      </c>
      <c r="L1569" t="s">
        <v>18</v>
      </c>
      <c r="M1569" t="s">
        <v>203</v>
      </c>
      <c r="N1569" s="31">
        <f>Project_Data_NYSE[[#This Row],[Gross Profit]]/Project_Data_NYSE[[#This Row],[ Total Revenue ]]</f>
        <v>0.50710453820501666</v>
      </c>
      <c r="O1569" s="31">
        <f>Project_Data_NYSE[[#This Row],[Operating Profit]]/Project_Data_NYSE[[#This Row],[ Total Revenue ]]</f>
        <v>0.28483398579092362</v>
      </c>
    </row>
    <row r="1570" spans="1:15" x14ac:dyDescent="0.2">
      <c r="A1570">
        <v>1635</v>
      </c>
      <c r="B1570" t="s">
        <v>537</v>
      </c>
      <c r="C1570" t="s">
        <v>14</v>
      </c>
      <c r="D1570" s="48">
        <v>41912</v>
      </c>
      <c r="E1570" s="3">
        <v>13783000000</v>
      </c>
      <c r="F1570" s="3">
        <v>6542000000</v>
      </c>
      <c r="G1570" s="3">
        <f>Project_Data_NYSE[[#This Row],[ Total Revenue ]]-Project_Data_NYSE[[#This Row],[ Cost of Goods Sold ]]</f>
        <v>7241000000</v>
      </c>
      <c r="H1570" s="3">
        <v>2899000000</v>
      </c>
      <c r="I1570" s="3">
        <v>0</v>
      </c>
      <c r="J1570" s="3">
        <v>217000000</v>
      </c>
      <c r="K1570" s="3">
        <f>Project_Data_NYSE[[#This Row],[Gross Profit]]-Project_Data_NYSE[[#This Row],[ Sales, General and Admin. ]]-Project_Data_NYSE[[#This Row],[ Research and Development ]]-Project_Data_NYSE[[#This Row],[ Other Operating Items ]]</f>
        <v>4125000000</v>
      </c>
      <c r="L1570" t="s">
        <v>18</v>
      </c>
      <c r="M1570" t="s">
        <v>203</v>
      </c>
      <c r="N1570" s="31">
        <f>Project_Data_NYSE[[#This Row],[Gross Profit]]/Project_Data_NYSE[[#This Row],[ Total Revenue ]]</f>
        <v>0.52535732424000581</v>
      </c>
      <c r="O1570" s="31">
        <f>Project_Data_NYSE[[#This Row],[Operating Profit]]/Project_Data_NYSE[[#This Row],[ Total Revenue ]]</f>
        <v>0.29928172386272944</v>
      </c>
    </row>
    <row r="1571" spans="1:15" x14ac:dyDescent="0.2">
      <c r="A1571">
        <v>1636</v>
      </c>
      <c r="B1571" t="s">
        <v>537</v>
      </c>
      <c r="C1571" t="s">
        <v>15</v>
      </c>
      <c r="D1571" s="48">
        <v>42277</v>
      </c>
      <c r="E1571" s="3">
        <v>13268000000</v>
      </c>
      <c r="F1571" s="3">
        <v>6868000000</v>
      </c>
      <c r="G1571" s="3">
        <f>Project_Data_NYSE[[#This Row],[ Total Revenue ]]-Project_Data_NYSE[[#This Row],[ Cost of Goods Sold ]]</f>
        <v>6400000000</v>
      </c>
      <c r="H1571" s="3">
        <v>2860000000</v>
      </c>
      <c r="I1571" s="3">
        <v>0</v>
      </c>
      <c r="J1571" s="3">
        <v>222000000</v>
      </c>
      <c r="K1571" s="3">
        <f>Project_Data_NYSE[[#This Row],[Gross Profit]]-Project_Data_NYSE[[#This Row],[ Sales, General and Admin. ]]-Project_Data_NYSE[[#This Row],[ Research and Development ]]-Project_Data_NYSE[[#This Row],[ Other Operating Items ]]</f>
        <v>3318000000</v>
      </c>
      <c r="L1571" t="s">
        <v>18</v>
      </c>
      <c r="M1571" t="s">
        <v>203</v>
      </c>
      <c r="N1571" s="31">
        <f>Project_Data_NYSE[[#This Row],[Gross Profit]]/Project_Data_NYSE[[#This Row],[ Total Revenue ]]</f>
        <v>0.48236358154959302</v>
      </c>
      <c r="O1571" s="31">
        <f>Project_Data_NYSE[[#This Row],[Operating Profit]]/Project_Data_NYSE[[#This Row],[ Total Revenue ]]</f>
        <v>0.2500753693096171</v>
      </c>
    </row>
    <row r="1572" spans="1:15" x14ac:dyDescent="0.2">
      <c r="A1572">
        <v>1637</v>
      </c>
      <c r="B1572" t="s">
        <v>537</v>
      </c>
      <c r="C1572" t="s">
        <v>16</v>
      </c>
      <c r="D1572" s="48">
        <v>42643</v>
      </c>
      <c r="E1572" s="3">
        <v>12488000000</v>
      </c>
      <c r="F1572" s="3">
        <v>6684000000</v>
      </c>
      <c r="G1572" s="3">
        <f>Project_Data_NYSE[[#This Row],[ Total Revenue ]]-Project_Data_NYSE[[#This Row],[ Cost of Goods Sold ]]</f>
        <v>5804000000</v>
      </c>
      <c r="H1572" s="3">
        <v>2851000000</v>
      </c>
      <c r="I1572" s="3">
        <v>0</v>
      </c>
      <c r="J1572" s="3">
        <v>221000000</v>
      </c>
      <c r="K1572" s="3">
        <f>Project_Data_NYSE[[#This Row],[Gross Profit]]-Project_Data_NYSE[[#This Row],[ Sales, General and Admin. ]]-Project_Data_NYSE[[#This Row],[ Research and Development ]]-Project_Data_NYSE[[#This Row],[ Other Operating Items ]]</f>
        <v>2732000000</v>
      </c>
      <c r="L1572" t="s">
        <v>18</v>
      </c>
      <c r="M1572" t="s">
        <v>203</v>
      </c>
      <c r="N1572" s="31">
        <f>Project_Data_NYSE[[#This Row],[Gross Profit]]/Project_Data_NYSE[[#This Row],[ Total Revenue ]]</f>
        <v>0.46476617552850735</v>
      </c>
      <c r="O1572" s="31">
        <f>Project_Data_NYSE[[#This Row],[Operating Profit]]/Project_Data_NYSE[[#This Row],[ Total Revenue ]]</f>
        <v>0.21877001921844971</v>
      </c>
    </row>
    <row r="1573" spans="1:15" x14ac:dyDescent="0.2">
      <c r="A1573">
        <v>1638</v>
      </c>
      <c r="B1573" t="s">
        <v>538</v>
      </c>
      <c r="C1573" t="s">
        <v>11</v>
      </c>
      <c r="D1573" s="48">
        <v>41274</v>
      </c>
      <c r="E1573" s="3">
        <v>138393000000</v>
      </c>
      <c r="F1573" s="3">
        <v>126485000000</v>
      </c>
      <c r="G1573" s="3">
        <f>Project_Data_NYSE[[#This Row],[ Total Revenue ]]-Project_Data_NYSE[[#This Row],[ Cost of Goods Sold ]]</f>
        <v>11908000000</v>
      </c>
      <c r="H1573" s="3">
        <v>5229000000</v>
      </c>
      <c r="I1573" s="3">
        <v>0</v>
      </c>
      <c r="J1573" s="3">
        <v>1549000000</v>
      </c>
      <c r="K1573" s="3">
        <f>Project_Data_NYSE[[#This Row],[Gross Profit]]-Project_Data_NYSE[[#This Row],[ Sales, General and Admin. ]]-Project_Data_NYSE[[#This Row],[ Research and Development ]]-Project_Data_NYSE[[#This Row],[ Other Operating Items ]]</f>
        <v>5130000000</v>
      </c>
      <c r="L1573" t="s">
        <v>82</v>
      </c>
      <c r="M1573" t="s">
        <v>340</v>
      </c>
      <c r="N1573" s="31">
        <f>Project_Data_NYSE[[#This Row],[Gross Profit]]/Project_Data_NYSE[[#This Row],[ Total Revenue ]]</f>
        <v>8.6044814405352874E-2</v>
      </c>
      <c r="O1573" s="31">
        <f>Project_Data_NYSE[[#This Row],[Operating Profit]]/Project_Data_NYSE[[#This Row],[ Total Revenue ]]</f>
        <v>3.7068348832672175E-2</v>
      </c>
    </row>
    <row r="1574" spans="1:15" x14ac:dyDescent="0.2">
      <c r="A1574">
        <v>1639</v>
      </c>
      <c r="B1574" t="s">
        <v>538</v>
      </c>
      <c r="C1574" t="s">
        <v>14</v>
      </c>
      <c r="D1574" s="48">
        <v>41639</v>
      </c>
      <c r="E1574" s="3">
        <v>138074000000</v>
      </c>
      <c r="F1574" s="3">
        <v>127316000000</v>
      </c>
      <c r="G1574" s="3">
        <f>Project_Data_NYSE[[#This Row],[ Total Revenue ]]-Project_Data_NYSE[[#This Row],[ Cost of Goods Sold ]]</f>
        <v>10758000000</v>
      </c>
      <c r="H1574" s="3">
        <v>5081000000</v>
      </c>
      <c r="I1574" s="3">
        <v>0</v>
      </c>
      <c r="J1574" s="3">
        <v>1720000000</v>
      </c>
      <c r="K1574" s="3">
        <f>Project_Data_NYSE[[#This Row],[Gross Profit]]-Project_Data_NYSE[[#This Row],[ Sales, General and Admin. ]]-Project_Data_NYSE[[#This Row],[ Research and Development ]]-Project_Data_NYSE[[#This Row],[ Other Operating Items ]]</f>
        <v>3957000000</v>
      </c>
      <c r="L1574" t="s">
        <v>82</v>
      </c>
      <c r="M1574" t="s">
        <v>340</v>
      </c>
      <c r="N1574" s="31">
        <f>Project_Data_NYSE[[#This Row],[Gross Profit]]/Project_Data_NYSE[[#This Row],[ Total Revenue ]]</f>
        <v>7.7914741370569404E-2</v>
      </c>
      <c r="O1574" s="31">
        <f>Project_Data_NYSE[[#This Row],[Operating Profit]]/Project_Data_NYSE[[#This Row],[ Total Revenue ]]</f>
        <v>2.8658545417674579E-2</v>
      </c>
    </row>
    <row r="1575" spans="1:15" x14ac:dyDescent="0.2">
      <c r="A1575">
        <v>1640</v>
      </c>
      <c r="B1575" t="s">
        <v>538</v>
      </c>
      <c r="C1575" t="s">
        <v>15</v>
      </c>
      <c r="D1575" s="48">
        <v>42004</v>
      </c>
      <c r="E1575" s="3">
        <v>130844000000</v>
      </c>
      <c r="F1575" s="3">
        <v>118141000000</v>
      </c>
      <c r="G1575" s="3">
        <f>Project_Data_NYSE[[#This Row],[ Total Revenue ]]-Project_Data_NYSE[[#This Row],[ Cost of Goods Sold ]]</f>
        <v>12703000000</v>
      </c>
      <c r="H1575" s="3">
        <v>5111000000</v>
      </c>
      <c r="I1575" s="3">
        <v>0</v>
      </c>
      <c r="J1575" s="3">
        <v>1690000000</v>
      </c>
      <c r="K1575" s="3">
        <f>Project_Data_NYSE[[#This Row],[Gross Profit]]-Project_Data_NYSE[[#This Row],[ Sales, General and Admin. ]]-Project_Data_NYSE[[#This Row],[ Research and Development ]]-Project_Data_NYSE[[#This Row],[ Other Operating Items ]]</f>
        <v>5902000000</v>
      </c>
      <c r="L1575" t="s">
        <v>82</v>
      </c>
      <c r="M1575" t="s">
        <v>340</v>
      </c>
      <c r="N1575" s="31">
        <f>Project_Data_NYSE[[#This Row],[Gross Profit]]/Project_Data_NYSE[[#This Row],[ Total Revenue ]]</f>
        <v>9.7085078413989181E-2</v>
      </c>
      <c r="O1575" s="31">
        <f>Project_Data_NYSE[[#This Row],[Operating Profit]]/Project_Data_NYSE[[#This Row],[ Total Revenue ]]</f>
        <v>4.5107150499831862E-2</v>
      </c>
    </row>
    <row r="1576" spans="1:15" x14ac:dyDescent="0.2">
      <c r="A1576">
        <v>1641</v>
      </c>
      <c r="B1576" t="s">
        <v>538</v>
      </c>
      <c r="C1576" t="s">
        <v>16</v>
      </c>
      <c r="D1576" s="48">
        <v>42369</v>
      </c>
      <c r="E1576" s="3">
        <v>87804000000</v>
      </c>
      <c r="F1576" s="3">
        <v>74651000000</v>
      </c>
      <c r="G1576" s="3">
        <f>Project_Data_NYSE[[#This Row],[ Total Revenue ]]-Project_Data_NYSE[[#This Row],[ Cost of Goods Sold ]]</f>
        <v>13153000000</v>
      </c>
      <c r="H1576" s="3">
        <v>4953000000</v>
      </c>
      <c r="I1576" s="3">
        <v>0</v>
      </c>
      <c r="J1576" s="3">
        <v>1842000000</v>
      </c>
      <c r="K1576" s="3">
        <f>Project_Data_NYSE[[#This Row],[Gross Profit]]-Project_Data_NYSE[[#This Row],[ Sales, General and Admin. ]]-Project_Data_NYSE[[#This Row],[ Research and Development ]]-Project_Data_NYSE[[#This Row],[ Other Operating Items ]]</f>
        <v>6358000000</v>
      </c>
      <c r="L1576" t="s">
        <v>82</v>
      </c>
      <c r="M1576" t="s">
        <v>340</v>
      </c>
      <c r="N1576" s="31">
        <f>Project_Data_NYSE[[#This Row],[Gross Profit]]/Project_Data_NYSE[[#This Row],[ Total Revenue ]]</f>
        <v>0.14979955355109106</v>
      </c>
      <c r="O1576" s="31">
        <f>Project_Data_NYSE[[#This Row],[Operating Profit]]/Project_Data_NYSE[[#This Row],[ Total Revenue ]]</f>
        <v>7.2411279668352244E-2</v>
      </c>
    </row>
    <row r="1577" spans="1:15" x14ac:dyDescent="0.2">
      <c r="A1577">
        <v>1642</v>
      </c>
      <c r="B1577" t="s">
        <v>539</v>
      </c>
      <c r="C1577" t="s">
        <v>11</v>
      </c>
      <c r="D1577" s="48">
        <v>41274</v>
      </c>
      <c r="E1577" s="3">
        <v>2567310000</v>
      </c>
      <c r="F1577" s="3">
        <v>2233284000</v>
      </c>
      <c r="G1577" s="3">
        <f>Project_Data_NYSE[[#This Row],[ Total Revenue ]]-Project_Data_NYSE[[#This Row],[ Cost of Goods Sold ]]</f>
        <v>334026000</v>
      </c>
      <c r="H1577" s="3">
        <v>308143000</v>
      </c>
      <c r="I1577" s="3">
        <v>0</v>
      </c>
      <c r="J1577" s="3">
        <v>0</v>
      </c>
      <c r="K1577" s="3">
        <f>Project_Data_NYSE[[#This Row],[Gross Profit]]-Project_Data_NYSE[[#This Row],[ Sales, General and Admin. ]]-Project_Data_NYSE[[#This Row],[ Research and Development ]]-Project_Data_NYSE[[#This Row],[ Other Operating Items ]]</f>
        <v>25883000</v>
      </c>
      <c r="L1577" t="s">
        <v>58</v>
      </c>
      <c r="M1577" t="s">
        <v>386</v>
      </c>
      <c r="N1577" s="31">
        <f>Project_Data_NYSE[[#This Row],[Gross Profit]]/Project_Data_NYSE[[#This Row],[ Total Revenue ]]</f>
        <v>0.13010738866751581</v>
      </c>
      <c r="O1577" s="31">
        <f>Project_Data_NYSE[[#This Row],[Operating Profit]]/Project_Data_NYSE[[#This Row],[ Total Revenue ]]</f>
        <v>1.0081758728007135E-2</v>
      </c>
    </row>
    <row r="1578" spans="1:15" x14ac:dyDescent="0.2">
      <c r="A1578">
        <v>1643</v>
      </c>
      <c r="B1578" t="s">
        <v>539</v>
      </c>
      <c r="C1578" t="s">
        <v>14</v>
      </c>
      <c r="D1578" s="48">
        <v>41639</v>
      </c>
      <c r="E1578" s="3">
        <v>2770709000</v>
      </c>
      <c r="F1578" s="3">
        <v>2343829000</v>
      </c>
      <c r="G1578" s="3">
        <f>Project_Data_NYSE[[#This Row],[ Total Revenue ]]-Project_Data_NYSE[[#This Row],[ Cost of Goods Sold ]]</f>
        <v>426880000</v>
      </c>
      <c r="H1578" s="3">
        <v>274217000</v>
      </c>
      <c r="I1578" s="3">
        <v>0</v>
      </c>
      <c r="J1578" s="3">
        <v>0</v>
      </c>
      <c r="K1578" s="3">
        <f>Project_Data_NYSE[[#This Row],[Gross Profit]]-Project_Data_NYSE[[#This Row],[ Sales, General and Admin. ]]-Project_Data_NYSE[[#This Row],[ Research and Development ]]-Project_Data_NYSE[[#This Row],[ Other Operating Items ]]</f>
        <v>152663000</v>
      </c>
      <c r="L1578" t="s">
        <v>58</v>
      </c>
      <c r="M1578" t="s">
        <v>386</v>
      </c>
      <c r="N1578" s="31">
        <f>Project_Data_NYSE[[#This Row],[Gross Profit]]/Project_Data_NYSE[[#This Row],[ Total Revenue ]]</f>
        <v>0.15406886829327801</v>
      </c>
      <c r="O1578" s="31">
        <f>Project_Data_NYSE[[#This Row],[Operating Profit]]/Project_Data_NYSE[[#This Row],[ Total Revenue ]]</f>
        <v>5.5098893460121576E-2</v>
      </c>
    </row>
    <row r="1579" spans="1:15" x14ac:dyDescent="0.2">
      <c r="A1579">
        <v>1644</v>
      </c>
      <c r="B1579" t="s">
        <v>539</v>
      </c>
      <c r="C1579" t="s">
        <v>15</v>
      </c>
      <c r="D1579" s="48">
        <v>42004</v>
      </c>
      <c r="E1579" s="3">
        <v>2994169000</v>
      </c>
      <c r="F1579" s="3">
        <v>2406587000</v>
      </c>
      <c r="G1579" s="3">
        <f>Project_Data_NYSE[[#This Row],[ Total Revenue ]]-Project_Data_NYSE[[#This Row],[ Cost of Goods Sold ]]</f>
        <v>587582000</v>
      </c>
      <c r="H1579" s="3">
        <v>292358000</v>
      </c>
      <c r="I1579" s="3">
        <v>0</v>
      </c>
      <c r="J1579" s="3">
        <v>0</v>
      </c>
      <c r="K1579" s="3">
        <f>Project_Data_NYSE[[#This Row],[Gross Profit]]-Project_Data_NYSE[[#This Row],[ Sales, General and Admin. ]]-Project_Data_NYSE[[#This Row],[ Research and Development ]]-Project_Data_NYSE[[#This Row],[ Other Operating Items ]]</f>
        <v>295224000</v>
      </c>
      <c r="L1579" t="s">
        <v>58</v>
      </c>
      <c r="M1579" t="s">
        <v>386</v>
      </c>
      <c r="N1579" s="31">
        <f>Project_Data_NYSE[[#This Row],[Gross Profit]]/Project_Data_NYSE[[#This Row],[ Total Revenue ]]</f>
        <v>0.19624209588703911</v>
      </c>
      <c r="O1579" s="31">
        <f>Project_Data_NYSE[[#This Row],[Operating Profit]]/Project_Data_NYSE[[#This Row],[ Total Revenue ]]</f>
        <v>9.8599644843026565E-2</v>
      </c>
    </row>
    <row r="1580" spans="1:15" x14ac:dyDescent="0.2">
      <c r="A1580">
        <v>1645</v>
      </c>
      <c r="B1580" t="s">
        <v>539</v>
      </c>
      <c r="C1580" t="s">
        <v>16</v>
      </c>
      <c r="D1580" s="48">
        <v>42369</v>
      </c>
      <c r="E1580" s="3">
        <v>3422181000</v>
      </c>
      <c r="F1580" s="3">
        <v>2564648000</v>
      </c>
      <c r="G1580" s="3">
        <f>Project_Data_NYSE[[#This Row],[ Total Revenue ]]-Project_Data_NYSE[[#This Row],[ Cost of Goods Sold ]]</f>
        <v>857533000</v>
      </c>
      <c r="H1580" s="3">
        <v>312694000</v>
      </c>
      <c r="I1580" s="3">
        <v>0</v>
      </c>
      <c r="J1580" s="3">
        <v>0</v>
      </c>
      <c r="K1580" s="3">
        <f>Project_Data_NYSE[[#This Row],[Gross Profit]]-Project_Data_NYSE[[#This Row],[ Sales, General and Admin. ]]-Project_Data_NYSE[[#This Row],[ Research and Development ]]-Project_Data_NYSE[[#This Row],[ Other Operating Items ]]</f>
        <v>544839000</v>
      </c>
      <c r="L1580" t="s">
        <v>58</v>
      </c>
      <c r="M1580" t="s">
        <v>386</v>
      </c>
      <c r="N1580" s="31">
        <f>Project_Data_NYSE[[#This Row],[Gross Profit]]/Project_Data_NYSE[[#This Row],[ Total Revenue ]]</f>
        <v>0.25058084303547939</v>
      </c>
      <c r="O1580" s="31">
        <f>Project_Data_NYSE[[#This Row],[Operating Profit]]/Project_Data_NYSE[[#This Row],[ Total Revenue ]]</f>
        <v>0.15920811903286239</v>
      </c>
    </row>
    <row r="1581" spans="1:15" x14ac:dyDescent="0.2">
      <c r="A1581">
        <v>1646</v>
      </c>
      <c r="B1581" t="s">
        <v>540</v>
      </c>
      <c r="C1581" t="s">
        <v>11</v>
      </c>
      <c r="D1581" s="48">
        <v>41639</v>
      </c>
      <c r="E1581" s="3">
        <v>2299176000</v>
      </c>
      <c r="F1581" s="3">
        <v>928565000</v>
      </c>
      <c r="G1581" s="3">
        <f>Project_Data_NYSE[[#This Row],[ Total Revenue ]]-Project_Data_NYSE[[#This Row],[ Cost of Goods Sold ]]</f>
        <v>1370611000</v>
      </c>
      <c r="H1581" s="3">
        <v>177366000</v>
      </c>
      <c r="I1581" s="3">
        <v>32210000</v>
      </c>
      <c r="J1581" s="3">
        <v>461627000</v>
      </c>
      <c r="K1581" s="3">
        <f>Project_Data_NYSE[[#This Row],[Gross Profit]]-Project_Data_NYSE[[#This Row],[ Sales, General and Admin. ]]-Project_Data_NYSE[[#This Row],[ Research and Development ]]-Project_Data_NYSE[[#This Row],[ Other Operating Items ]]</f>
        <v>699408000</v>
      </c>
      <c r="L1581" t="s">
        <v>51</v>
      </c>
      <c r="M1581" t="s">
        <v>52</v>
      </c>
      <c r="N1581" s="31">
        <f>Project_Data_NYSE[[#This Row],[Gross Profit]]/Project_Data_NYSE[[#This Row],[ Total Revenue ]]</f>
        <v>0.59613139663949166</v>
      </c>
      <c r="O1581" s="31">
        <f>Project_Data_NYSE[[#This Row],[Operating Profit]]/Project_Data_NYSE[[#This Row],[ Total Revenue ]]</f>
        <v>0.30419941753045437</v>
      </c>
    </row>
    <row r="1582" spans="1:15" x14ac:dyDescent="0.2">
      <c r="A1582">
        <v>1647</v>
      </c>
      <c r="B1582" t="s">
        <v>540</v>
      </c>
      <c r="C1582" t="s">
        <v>14</v>
      </c>
      <c r="D1582" s="48">
        <v>42004</v>
      </c>
      <c r="E1582" s="3">
        <v>2312512000</v>
      </c>
      <c r="F1582" s="3">
        <v>953611000</v>
      </c>
      <c r="G1582" s="3">
        <f>Project_Data_NYSE[[#This Row],[ Total Revenue ]]-Project_Data_NYSE[[#This Row],[ Cost of Goods Sold ]]</f>
        <v>1358901000</v>
      </c>
      <c r="H1582" s="3">
        <v>169270000</v>
      </c>
      <c r="I1582" s="3">
        <v>0</v>
      </c>
      <c r="J1582" s="3">
        <v>481303000</v>
      </c>
      <c r="K1582" s="3">
        <f>Project_Data_NYSE[[#This Row],[Gross Profit]]-Project_Data_NYSE[[#This Row],[ Sales, General and Admin. ]]-Project_Data_NYSE[[#This Row],[ Research and Development ]]-Project_Data_NYSE[[#This Row],[ Other Operating Items ]]</f>
        <v>708328000</v>
      </c>
      <c r="L1582" t="s">
        <v>51</v>
      </c>
      <c r="M1582" t="s">
        <v>52</v>
      </c>
      <c r="N1582" s="31">
        <f>Project_Data_NYSE[[#This Row],[Gross Profit]]/Project_Data_NYSE[[#This Row],[ Total Revenue ]]</f>
        <v>0.58762981554257876</v>
      </c>
      <c r="O1582" s="31">
        <f>Project_Data_NYSE[[#This Row],[Operating Profit]]/Project_Data_NYSE[[#This Row],[ Total Revenue ]]</f>
        <v>0.30630241053884261</v>
      </c>
    </row>
    <row r="1583" spans="1:15" x14ac:dyDescent="0.2">
      <c r="A1583">
        <v>1648</v>
      </c>
      <c r="B1583" t="s">
        <v>540</v>
      </c>
      <c r="C1583" t="s">
        <v>15</v>
      </c>
      <c r="D1583" s="48">
        <v>42369</v>
      </c>
      <c r="E1583" s="3">
        <v>2502267000</v>
      </c>
      <c r="F1583" s="3">
        <v>1011249000</v>
      </c>
      <c r="G1583" s="3">
        <f>Project_Data_NYSE[[#This Row],[ Total Revenue ]]-Project_Data_NYSE[[#This Row],[ Cost of Goods Sold ]]</f>
        <v>1491018000</v>
      </c>
      <c r="H1583" s="3">
        <v>175307000</v>
      </c>
      <c r="I1583" s="3">
        <v>0</v>
      </c>
      <c r="J1583" s="3">
        <v>542952000</v>
      </c>
      <c r="K1583" s="3">
        <f>Project_Data_NYSE[[#This Row],[Gross Profit]]-Project_Data_NYSE[[#This Row],[ Sales, General and Admin. ]]-Project_Data_NYSE[[#This Row],[ Research and Development ]]-Project_Data_NYSE[[#This Row],[ Other Operating Items ]]</f>
        <v>772759000</v>
      </c>
      <c r="L1583" t="s">
        <v>51</v>
      </c>
      <c r="M1583" t="s">
        <v>52</v>
      </c>
      <c r="N1583" s="31">
        <f>Project_Data_NYSE[[#This Row],[Gross Profit]]/Project_Data_NYSE[[#This Row],[ Total Revenue ]]</f>
        <v>0.59586686792416632</v>
      </c>
      <c r="O1583" s="31">
        <f>Project_Data_NYSE[[#This Row],[Operating Profit]]/Project_Data_NYSE[[#This Row],[ Total Revenue ]]</f>
        <v>0.308823558796883</v>
      </c>
    </row>
    <row r="1584" spans="1:15" x14ac:dyDescent="0.2">
      <c r="A1584">
        <v>1649</v>
      </c>
      <c r="B1584" t="s">
        <v>540</v>
      </c>
      <c r="C1584" t="s">
        <v>16</v>
      </c>
      <c r="D1584" s="48">
        <v>42735</v>
      </c>
      <c r="E1584" s="3">
        <v>2506202000</v>
      </c>
      <c r="F1584" s="3">
        <v>1024336000</v>
      </c>
      <c r="G1584" s="3">
        <f>Project_Data_NYSE[[#This Row],[ Total Revenue ]]-Project_Data_NYSE[[#This Row],[ Cost of Goods Sold ]]</f>
        <v>1481866000</v>
      </c>
      <c r="H1584" s="3">
        <v>179279000</v>
      </c>
      <c r="I1584" s="3">
        <v>0</v>
      </c>
      <c r="J1584" s="3">
        <v>565059000</v>
      </c>
      <c r="K1584" s="3">
        <f>Project_Data_NYSE[[#This Row],[Gross Profit]]-Project_Data_NYSE[[#This Row],[ Sales, General and Admin. ]]-Project_Data_NYSE[[#This Row],[ Research and Development ]]-Project_Data_NYSE[[#This Row],[ Other Operating Items ]]</f>
        <v>737528000</v>
      </c>
      <c r="L1584" t="s">
        <v>51</v>
      </c>
      <c r="M1584" t="s">
        <v>52</v>
      </c>
      <c r="N1584" s="31">
        <f>Project_Data_NYSE[[#This Row],[Gross Profit]]/Project_Data_NYSE[[#This Row],[ Total Revenue ]]</f>
        <v>0.59127955368322271</v>
      </c>
      <c r="O1584" s="31">
        <f>Project_Data_NYSE[[#This Row],[Operating Profit]]/Project_Data_NYSE[[#This Row],[ Total Revenue ]]</f>
        <v>0.29428114732970445</v>
      </c>
    </row>
    <row r="1585" spans="1:15" x14ac:dyDescent="0.2">
      <c r="A1585">
        <v>1650</v>
      </c>
      <c r="B1585" t="s">
        <v>541</v>
      </c>
      <c r="C1585" t="s">
        <v>11</v>
      </c>
      <c r="D1585" s="48">
        <v>41274</v>
      </c>
      <c r="E1585" s="3">
        <v>1407848000</v>
      </c>
      <c r="F1585" s="3">
        <v>516708000</v>
      </c>
      <c r="G1585" s="3">
        <f>Project_Data_NYSE[[#This Row],[ Total Revenue ]]-Project_Data_NYSE[[#This Row],[ Cost of Goods Sold ]]</f>
        <v>891140000</v>
      </c>
      <c r="H1585" s="3">
        <v>220068000</v>
      </c>
      <c r="I1585" s="3">
        <v>0</v>
      </c>
      <c r="J1585" s="3">
        <v>98844000</v>
      </c>
      <c r="K1585" s="3">
        <f>Project_Data_NYSE[[#This Row],[Gross Profit]]-Project_Data_NYSE[[#This Row],[ Sales, General and Admin. ]]-Project_Data_NYSE[[#This Row],[ Research and Development ]]-Project_Data_NYSE[[#This Row],[ Other Operating Items ]]</f>
        <v>572228000</v>
      </c>
      <c r="L1585" t="s">
        <v>12</v>
      </c>
      <c r="M1585" t="s">
        <v>210</v>
      </c>
      <c r="N1585" s="31">
        <f>Project_Data_NYSE[[#This Row],[Gross Profit]]/Project_Data_NYSE[[#This Row],[ Total Revenue ]]</f>
        <v>0.6329802649149624</v>
      </c>
      <c r="O1585" s="31">
        <f>Project_Data_NYSE[[#This Row],[Operating Profit]]/Project_Data_NYSE[[#This Row],[ Total Revenue ]]</f>
        <v>0.40645581057045932</v>
      </c>
    </row>
    <row r="1586" spans="1:15" x14ac:dyDescent="0.2">
      <c r="A1586">
        <v>1651</v>
      </c>
      <c r="B1586" t="s">
        <v>541</v>
      </c>
      <c r="C1586" t="s">
        <v>14</v>
      </c>
      <c r="D1586" s="48">
        <v>41639</v>
      </c>
      <c r="E1586" s="3">
        <v>1595703000</v>
      </c>
      <c r="F1586" s="3">
        <v>622523000</v>
      </c>
      <c r="G1586" s="3">
        <f>Project_Data_NYSE[[#This Row],[ Total Revenue ]]-Project_Data_NYSE[[#This Row],[ Cost of Goods Sold ]]</f>
        <v>973180000</v>
      </c>
      <c r="H1586" s="3">
        <v>228982000</v>
      </c>
      <c r="I1586" s="3">
        <v>0</v>
      </c>
      <c r="J1586" s="3">
        <v>129931000</v>
      </c>
      <c r="K1586" s="3">
        <f>Project_Data_NYSE[[#This Row],[Gross Profit]]-Project_Data_NYSE[[#This Row],[ Sales, General and Admin. ]]-Project_Data_NYSE[[#This Row],[ Research and Development ]]-Project_Data_NYSE[[#This Row],[ Other Operating Items ]]</f>
        <v>614267000</v>
      </c>
      <c r="L1586" t="s">
        <v>12</v>
      </c>
      <c r="M1586" t="s">
        <v>210</v>
      </c>
      <c r="N1586" s="31">
        <f>Project_Data_NYSE[[#This Row],[Gross Profit]]/Project_Data_NYSE[[#This Row],[ Total Revenue ]]</f>
        <v>0.60987539661202617</v>
      </c>
      <c r="O1586" s="31">
        <f>Project_Data_NYSE[[#This Row],[Operating Profit]]/Project_Data_NYSE[[#This Row],[ Total Revenue ]]</f>
        <v>0.38495070824583272</v>
      </c>
    </row>
    <row r="1587" spans="1:15" x14ac:dyDescent="0.2">
      <c r="A1587">
        <v>1652</v>
      </c>
      <c r="B1587" t="s">
        <v>541</v>
      </c>
      <c r="C1587" t="s">
        <v>15</v>
      </c>
      <c r="D1587" s="48">
        <v>42004</v>
      </c>
      <c r="E1587" s="3">
        <v>1746726000</v>
      </c>
      <c r="F1587" s="3">
        <v>716598000</v>
      </c>
      <c r="G1587" s="3">
        <f>Project_Data_NYSE[[#This Row],[ Total Revenue ]]-Project_Data_NYSE[[#This Row],[ Cost of Goods Sold ]]</f>
        <v>1030128000</v>
      </c>
      <c r="H1587" s="3">
        <v>227306000</v>
      </c>
      <c r="I1587" s="3">
        <v>0</v>
      </c>
      <c r="J1587" s="3">
        <v>142376000</v>
      </c>
      <c r="K1587" s="3">
        <f>Project_Data_NYSE[[#This Row],[Gross Profit]]-Project_Data_NYSE[[#This Row],[ Sales, General and Admin. ]]-Project_Data_NYSE[[#This Row],[ Research and Development ]]-Project_Data_NYSE[[#This Row],[ Other Operating Items ]]</f>
        <v>660446000</v>
      </c>
      <c r="L1587" t="s">
        <v>12</v>
      </c>
      <c r="M1587" t="s">
        <v>210</v>
      </c>
      <c r="N1587" s="31">
        <f>Project_Data_NYSE[[#This Row],[Gross Profit]]/Project_Data_NYSE[[#This Row],[ Total Revenue ]]</f>
        <v>0.58974790551008005</v>
      </c>
      <c r="O1587" s="31">
        <f>Project_Data_NYSE[[#This Row],[Operating Profit]]/Project_Data_NYSE[[#This Row],[ Total Revenue ]]</f>
        <v>0.37810509490326472</v>
      </c>
    </row>
    <row r="1588" spans="1:15" x14ac:dyDescent="0.2">
      <c r="A1588">
        <v>1653</v>
      </c>
      <c r="B1588" t="s">
        <v>541</v>
      </c>
      <c r="C1588" t="s">
        <v>16</v>
      </c>
      <c r="D1588" s="48">
        <v>42369</v>
      </c>
      <c r="E1588" s="3">
        <v>2068010000</v>
      </c>
      <c r="F1588" s="3">
        <v>803274000</v>
      </c>
      <c r="G1588" s="3">
        <f>Project_Data_NYSE[[#This Row],[ Total Revenue ]]-Project_Data_NYSE[[#This Row],[ Cost of Goods Sold ]]</f>
        <v>1264736000</v>
      </c>
      <c r="H1588" s="3">
        <v>312690000</v>
      </c>
      <c r="I1588" s="3">
        <v>0</v>
      </c>
      <c r="J1588" s="3">
        <v>215484000</v>
      </c>
      <c r="K1588" s="3">
        <f>Project_Data_NYSE[[#This Row],[Gross Profit]]-Project_Data_NYSE[[#This Row],[ Sales, General and Admin. ]]-Project_Data_NYSE[[#This Row],[ Research and Development ]]-Project_Data_NYSE[[#This Row],[ Other Operating Items ]]</f>
        <v>736562000</v>
      </c>
      <c r="L1588" t="s">
        <v>12</v>
      </c>
      <c r="M1588" t="s">
        <v>210</v>
      </c>
      <c r="N1588" s="31">
        <f>Project_Data_NYSE[[#This Row],[Gross Profit]]/Project_Data_NYSE[[#This Row],[ Total Revenue ]]</f>
        <v>0.61157151077606009</v>
      </c>
      <c r="O1588" s="31">
        <f>Project_Data_NYSE[[#This Row],[Operating Profit]]/Project_Data_NYSE[[#This Row],[ Total Revenue ]]</f>
        <v>0.35616945759449908</v>
      </c>
    </row>
    <row r="1589" spans="1:15" x14ac:dyDescent="0.2">
      <c r="A1589">
        <v>1654</v>
      </c>
      <c r="B1589" t="s">
        <v>542</v>
      </c>
      <c r="C1589" t="s">
        <v>11</v>
      </c>
      <c r="D1589" s="48">
        <v>41274</v>
      </c>
      <c r="E1589" s="3">
        <v>873592000</v>
      </c>
      <c r="F1589" s="3">
        <v>167600000</v>
      </c>
      <c r="G1589" s="3">
        <f>Project_Data_NYSE[[#This Row],[ Total Revenue ]]-Project_Data_NYSE[[#This Row],[ Cost of Goods Sold ]]</f>
        <v>705992000</v>
      </c>
      <c r="H1589" s="3">
        <v>186971000</v>
      </c>
      <c r="I1589" s="3">
        <v>61694000</v>
      </c>
      <c r="J1589" s="3">
        <v>0</v>
      </c>
      <c r="K1589" s="3">
        <f>Project_Data_NYSE[[#This Row],[Gross Profit]]-Project_Data_NYSE[[#This Row],[ Sales, General and Admin. ]]-Project_Data_NYSE[[#This Row],[ Research and Development ]]-Project_Data_NYSE[[#This Row],[ Other Operating Items ]]</f>
        <v>457327000</v>
      </c>
      <c r="L1589" t="s">
        <v>21</v>
      </c>
      <c r="M1589" t="s">
        <v>56</v>
      </c>
      <c r="N1589" s="31">
        <f>Project_Data_NYSE[[#This Row],[Gross Profit]]/Project_Data_NYSE[[#This Row],[ Total Revenue ]]</f>
        <v>0.80814842626763983</v>
      </c>
      <c r="O1589" s="31">
        <f>Project_Data_NYSE[[#This Row],[Operating Profit]]/Project_Data_NYSE[[#This Row],[ Total Revenue ]]</f>
        <v>0.52350181778221416</v>
      </c>
    </row>
    <row r="1590" spans="1:15" x14ac:dyDescent="0.2">
      <c r="A1590">
        <v>1655</v>
      </c>
      <c r="B1590" t="s">
        <v>542</v>
      </c>
      <c r="C1590" t="s">
        <v>14</v>
      </c>
      <c r="D1590" s="48">
        <v>41639</v>
      </c>
      <c r="E1590" s="3">
        <v>965087000</v>
      </c>
      <c r="F1590" s="3">
        <v>187013000</v>
      </c>
      <c r="G1590" s="3">
        <f>Project_Data_NYSE[[#This Row],[ Total Revenue ]]-Project_Data_NYSE[[#This Row],[ Cost of Goods Sold ]]</f>
        <v>778074000</v>
      </c>
      <c r="H1590" s="3">
        <v>179545000</v>
      </c>
      <c r="I1590" s="3">
        <v>70297000</v>
      </c>
      <c r="J1590" s="3">
        <v>0</v>
      </c>
      <c r="K1590" s="3">
        <f>Project_Data_NYSE[[#This Row],[Gross Profit]]-Project_Data_NYSE[[#This Row],[ Sales, General and Admin. ]]-Project_Data_NYSE[[#This Row],[ Research and Development ]]-Project_Data_NYSE[[#This Row],[ Other Operating Items ]]</f>
        <v>528232000</v>
      </c>
      <c r="L1590" t="s">
        <v>21</v>
      </c>
      <c r="M1590" t="s">
        <v>56</v>
      </c>
      <c r="N1590" s="31">
        <f>Project_Data_NYSE[[#This Row],[Gross Profit]]/Project_Data_NYSE[[#This Row],[ Total Revenue ]]</f>
        <v>0.80622161525333991</v>
      </c>
      <c r="O1590" s="31">
        <f>Project_Data_NYSE[[#This Row],[Operating Profit]]/Project_Data_NYSE[[#This Row],[ Total Revenue ]]</f>
        <v>0.54734132777666678</v>
      </c>
    </row>
    <row r="1591" spans="1:15" x14ac:dyDescent="0.2">
      <c r="A1591">
        <v>1656</v>
      </c>
      <c r="B1591" t="s">
        <v>542</v>
      </c>
      <c r="C1591" t="s">
        <v>15</v>
      </c>
      <c r="D1591" s="48">
        <v>42004</v>
      </c>
      <c r="E1591" s="3">
        <v>1010117000</v>
      </c>
      <c r="F1591" s="3">
        <v>188425000</v>
      </c>
      <c r="G1591" s="3">
        <f>Project_Data_NYSE[[#This Row],[ Total Revenue ]]-Project_Data_NYSE[[#This Row],[ Cost of Goods Sold ]]</f>
        <v>821692000</v>
      </c>
      <c r="H1591" s="3">
        <v>189488000</v>
      </c>
      <c r="I1591" s="3">
        <v>67777000</v>
      </c>
      <c r="J1591" s="3">
        <v>0</v>
      </c>
      <c r="K1591" s="3">
        <f>Project_Data_NYSE[[#This Row],[Gross Profit]]-Project_Data_NYSE[[#This Row],[ Sales, General and Admin. ]]-Project_Data_NYSE[[#This Row],[ Research and Development ]]-Project_Data_NYSE[[#This Row],[ Other Operating Items ]]</f>
        <v>564427000</v>
      </c>
      <c r="L1591" t="s">
        <v>21</v>
      </c>
      <c r="M1591" t="s">
        <v>56</v>
      </c>
      <c r="N1591" s="31">
        <f>Project_Data_NYSE[[#This Row],[Gross Profit]]/Project_Data_NYSE[[#This Row],[ Total Revenue ]]</f>
        <v>0.81346220289332816</v>
      </c>
      <c r="O1591" s="31">
        <f>Project_Data_NYSE[[#This Row],[Operating Profit]]/Project_Data_NYSE[[#This Row],[ Total Revenue ]]</f>
        <v>0.55877388460940658</v>
      </c>
    </row>
    <row r="1592" spans="1:15" x14ac:dyDescent="0.2">
      <c r="A1592">
        <v>1657</v>
      </c>
      <c r="B1592" t="s">
        <v>542</v>
      </c>
      <c r="C1592" t="s">
        <v>16</v>
      </c>
      <c r="D1592" s="48">
        <v>42369</v>
      </c>
      <c r="E1592" s="3">
        <v>1059366000</v>
      </c>
      <c r="F1592" s="3">
        <v>192788000</v>
      </c>
      <c r="G1592" s="3">
        <f>Project_Data_NYSE[[#This Row],[ Total Revenue ]]-Project_Data_NYSE[[#This Row],[ Cost of Goods Sold ]]</f>
        <v>866578000</v>
      </c>
      <c r="H1592" s="3">
        <v>196914000</v>
      </c>
      <c r="I1592" s="3">
        <v>63718000</v>
      </c>
      <c r="J1592" s="3">
        <v>0</v>
      </c>
      <c r="K1592" s="3">
        <f>Project_Data_NYSE[[#This Row],[Gross Profit]]-Project_Data_NYSE[[#This Row],[ Sales, General and Admin. ]]-Project_Data_NYSE[[#This Row],[ Research and Development ]]-Project_Data_NYSE[[#This Row],[ Other Operating Items ]]</f>
        <v>605946000</v>
      </c>
      <c r="L1592" t="s">
        <v>21</v>
      </c>
      <c r="M1592" t="s">
        <v>56</v>
      </c>
      <c r="N1592" s="31">
        <f>Project_Data_NYSE[[#This Row],[Gross Profit]]/Project_Data_NYSE[[#This Row],[ Total Revenue ]]</f>
        <v>0.8180156810771726</v>
      </c>
      <c r="O1592" s="31">
        <f>Project_Data_NYSE[[#This Row],[Operating Profit]]/Project_Data_NYSE[[#This Row],[ Total Revenue ]]</f>
        <v>0.57198928415675032</v>
      </c>
    </row>
    <row r="1593" spans="1:15" x14ac:dyDescent="0.2">
      <c r="A1593">
        <v>13</v>
      </c>
      <c r="B1593" t="s">
        <v>23</v>
      </c>
      <c r="C1593" t="s">
        <v>14</v>
      </c>
      <c r="D1593" s="48">
        <v>41639</v>
      </c>
      <c r="E1593" s="3">
        <v>18790000000</v>
      </c>
      <c r="F1593" s="3">
        <v>4581000000</v>
      </c>
      <c r="G1593" s="3">
        <f>Project_Data_NYSE[[#This Row],[ Total Revenue ]]-Project_Data_NYSE[[#This Row],[ Cost of Goods Sold ]]</f>
        <v>14209000000</v>
      </c>
      <c r="H1593" s="3">
        <v>5352000000</v>
      </c>
      <c r="I1593" s="3">
        <v>2855000000</v>
      </c>
      <c r="J1593" s="3">
        <v>0</v>
      </c>
      <c r="K1593" s="3">
        <f>Project_Data_NYSE[[#This Row],[Gross Profit]]-Project_Data_NYSE[[#This Row],[ Sales, General and Admin. ]]-Project_Data_NYSE[[#This Row],[ Research and Development ]]-Project_Data_NYSE[[#This Row],[ Other Operating Items ]]</f>
        <v>6002000000</v>
      </c>
      <c r="L1593" t="s">
        <v>24</v>
      </c>
      <c r="M1593" t="s">
        <v>25</v>
      </c>
      <c r="N1593" s="31">
        <f>Project_Data_NYSE[[#This Row],[Gross Profit]]/Project_Data_NYSE[[#This Row],[ Total Revenue ]]</f>
        <v>0.75620010643959557</v>
      </c>
      <c r="O1593" s="31">
        <f>Project_Data_NYSE[[#This Row],[Operating Profit]]/Project_Data_NYSE[[#This Row],[ Total Revenue ]]</f>
        <v>0.31942522618414049</v>
      </c>
    </row>
    <row r="1594" spans="1:15" x14ac:dyDescent="0.2">
      <c r="A1594">
        <v>1244</v>
      </c>
      <c r="B1594" t="s">
        <v>434</v>
      </c>
      <c r="C1594" t="s">
        <v>11</v>
      </c>
      <c r="D1594" s="48">
        <v>41391</v>
      </c>
      <c r="E1594" s="3">
        <v>3637212000</v>
      </c>
      <c r="F1594" s="3">
        <v>2446443000</v>
      </c>
      <c r="G1594" s="3">
        <f>Project_Data_NYSE[[#This Row],[ Total Revenue ]]-Project_Data_NYSE[[#This Row],[ Cost of Goods Sold ]]</f>
        <v>1190769000</v>
      </c>
      <c r="H1594" s="3">
        <v>0</v>
      </c>
      <c r="I1594" s="3">
        <v>0</v>
      </c>
      <c r="J1594" s="3">
        <v>0</v>
      </c>
      <c r="K1594" s="3">
        <f>Project_Data_NYSE[[#This Row],[Gross Profit]]-Project_Data_NYSE[[#This Row],[ Sales, General and Admin. ]]-Project_Data_NYSE[[#This Row],[ Research and Development ]]-Project_Data_NYSE[[#This Row],[ Other Operating Items ]]</f>
        <v>1190769000</v>
      </c>
      <c r="L1594" t="s">
        <v>24</v>
      </c>
      <c r="M1594" t="s">
        <v>165</v>
      </c>
      <c r="N1594" s="31">
        <f>Project_Data_NYSE[[#This Row],[Gross Profit]]/Project_Data_NYSE[[#This Row],[ Total Revenue ]]</f>
        <v>0.32738509605708987</v>
      </c>
      <c r="O1594" s="31">
        <f>Project_Data_NYSE[[#This Row],[Operating Profit]]/Project_Data_NYSE[[#This Row],[ Total Revenue ]]</f>
        <v>0.32738509605708987</v>
      </c>
    </row>
    <row r="1595" spans="1:15" x14ac:dyDescent="0.2">
      <c r="A1595">
        <v>12</v>
      </c>
      <c r="B1595" t="s">
        <v>23</v>
      </c>
      <c r="C1595" t="s">
        <v>11</v>
      </c>
      <c r="D1595" s="48">
        <v>41274</v>
      </c>
      <c r="E1595" s="3">
        <v>18380000000</v>
      </c>
      <c r="F1595" s="3">
        <v>4508000000</v>
      </c>
      <c r="G1595" s="3">
        <f>Project_Data_NYSE[[#This Row],[ Total Revenue ]]-Project_Data_NYSE[[#This Row],[ Cost of Goods Sold ]]</f>
        <v>13872000000</v>
      </c>
      <c r="H1595" s="3">
        <v>4989000000</v>
      </c>
      <c r="I1595" s="3">
        <v>2778000000</v>
      </c>
      <c r="J1595" s="3">
        <v>0</v>
      </c>
      <c r="K1595" s="3">
        <f>Project_Data_NYSE[[#This Row],[Gross Profit]]-Project_Data_NYSE[[#This Row],[ Sales, General and Admin. ]]-Project_Data_NYSE[[#This Row],[ Research and Development ]]-Project_Data_NYSE[[#This Row],[ Other Operating Items ]]</f>
        <v>6105000000</v>
      </c>
      <c r="L1595" t="s">
        <v>24</v>
      </c>
      <c r="M1595" t="s">
        <v>25</v>
      </c>
      <c r="N1595" s="31">
        <f>Project_Data_NYSE[[#This Row],[Gross Profit]]/Project_Data_NYSE[[#This Row],[ Total Revenue ]]</f>
        <v>0.75473340587595217</v>
      </c>
      <c r="O1595" s="31">
        <f>Project_Data_NYSE[[#This Row],[Operating Profit]]/Project_Data_NYSE[[#This Row],[ Total Revenue ]]</f>
        <v>0.33215451577801958</v>
      </c>
    </row>
    <row r="1596" spans="1:15" x14ac:dyDescent="0.2">
      <c r="A1596">
        <v>283</v>
      </c>
      <c r="B1596" t="s">
        <v>133</v>
      </c>
      <c r="C1596" t="s">
        <v>14</v>
      </c>
      <c r="D1596" s="48">
        <v>42004</v>
      </c>
      <c r="E1596" s="3">
        <v>7670400000</v>
      </c>
      <c r="F1596" s="3">
        <v>385900000</v>
      </c>
      <c r="G1596" s="3">
        <f>Project_Data_NYSE[[#This Row],[ Total Revenue ]]-Project_Data_NYSE[[#This Row],[ Cost of Goods Sold ]]</f>
        <v>7284500000</v>
      </c>
      <c r="H1596" s="3">
        <v>2027900000</v>
      </c>
      <c r="I1596" s="3">
        <v>2430600000</v>
      </c>
      <c r="J1596" s="3">
        <v>258300000</v>
      </c>
      <c r="K1596" s="3">
        <f>Project_Data_NYSE[[#This Row],[Gross Profit]]-Project_Data_NYSE[[#This Row],[ Sales, General and Admin. ]]-Project_Data_NYSE[[#This Row],[ Research and Development ]]-Project_Data_NYSE[[#This Row],[ Other Operating Items ]]</f>
        <v>2567700000</v>
      </c>
      <c r="L1596" t="s">
        <v>24</v>
      </c>
      <c r="M1596" t="s">
        <v>65</v>
      </c>
      <c r="N1596" s="31">
        <f>Project_Data_NYSE[[#This Row],[Gross Profit]]/Project_Data_NYSE[[#This Row],[ Total Revenue ]]</f>
        <v>0.94968971631205679</v>
      </c>
      <c r="O1596" s="31">
        <f>Project_Data_NYSE[[#This Row],[Operating Profit]]/Project_Data_NYSE[[#This Row],[ Total Revenue ]]</f>
        <v>0.33475438047559447</v>
      </c>
    </row>
    <row r="1597" spans="1:15" x14ac:dyDescent="0.2">
      <c r="A1597">
        <v>1662</v>
      </c>
      <c r="B1597" t="s">
        <v>544</v>
      </c>
      <c r="C1597" t="s">
        <v>11</v>
      </c>
      <c r="D1597" s="48">
        <v>41639</v>
      </c>
      <c r="E1597" s="3">
        <v>2514595000</v>
      </c>
      <c r="F1597" s="3">
        <v>1118240000</v>
      </c>
      <c r="G1597" s="3">
        <f>Project_Data_NYSE[[#This Row],[ Total Revenue ]]-Project_Data_NYSE[[#This Row],[ Cost of Goods Sold ]]</f>
        <v>1396355000</v>
      </c>
      <c r="H1597" s="3">
        <v>132447000</v>
      </c>
      <c r="I1597" s="3">
        <v>0</v>
      </c>
      <c r="J1597" s="3">
        <v>629908000</v>
      </c>
      <c r="K1597" s="3">
        <f>Project_Data_NYSE[[#This Row],[Gross Profit]]-Project_Data_NYSE[[#This Row],[ Sales, General and Admin. ]]-Project_Data_NYSE[[#This Row],[ Research and Development ]]-Project_Data_NYSE[[#This Row],[ Other Operating Items ]]</f>
        <v>634000000</v>
      </c>
      <c r="L1597" t="s">
        <v>51</v>
      </c>
      <c r="M1597" t="s">
        <v>52</v>
      </c>
      <c r="N1597" s="31">
        <f>Project_Data_NYSE[[#This Row],[Gross Profit]]/Project_Data_NYSE[[#This Row],[ Total Revenue ]]</f>
        <v>0.55530015767946728</v>
      </c>
      <c r="O1597" s="31">
        <f>Project_Data_NYSE[[#This Row],[Operating Profit]]/Project_Data_NYSE[[#This Row],[ Total Revenue ]]</f>
        <v>0.2521280762906154</v>
      </c>
    </row>
    <row r="1598" spans="1:15" x14ac:dyDescent="0.2">
      <c r="A1598">
        <v>1663</v>
      </c>
      <c r="B1598" t="s">
        <v>544</v>
      </c>
      <c r="C1598" t="s">
        <v>14</v>
      </c>
      <c r="D1598" s="48">
        <v>42004</v>
      </c>
      <c r="E1598" s="3">
        <v>2772550000</v>
      </c>
      <c r="F1598" s="3">
        <v>1212480000</v>
      </c>
      <c r="G1598" s="3">
        <f>Project_Data_NYSE[[#This Row],[ Total Revenue ]]-Project_Data_NYSE[[#This Row],[ Cost of Goods Sold ]]</f>
        <v>1560070000</v>
      </c>
      <c r="H1598" s="3">
        <v>147481000</v>
      </c>
      <c r="I1598" s="3">
        <v>0</v>
      </c>
      <c r="J1598" s="3">
        <v>725216000</v>
      </c>
      <c r="K1598" s="3">
        <f>Project_Data_NYSE[[#This Row],[Gross Profit]]-Project_Data_NYSE[[#This Row],[ Sales, General and Admin. ]]-Project_Data_NYSE[[#This Row],[ Research and Development ]]-Project_Data_NYSE[[#This Row],[ Other Operating Items ]]</f>
        <v>687373000</v>
      </c>
      <c r="L1598" t="s">
        <v>51</v>
      </c>
      <c r="M1598" t="s">
        <v>52</v>
      </c>
      <c r="N1598" s="31">
        <f>Project_Data_NYSE[[#This Row],[Gross Profit]]/Project_Data_NYSE[[#This Row],[ Total Revenue ]]</f>
        <v>0.56268417161097184</v>
      </c>
      <c r="O1598" s="31">
        <f>Project_Data_NYSE[[#This Row],[Operating Profit]]/Project_Data_NYSE[[#This Row],[ Total Revenue ]]</f>
        <v>0.24792086707182917</v>
      </c>
    </row>
    <row r="1599" spans="1:15" x14ac:dyDescent="0.2">
      <c r="A1599">
        <v>1664</v>
      </c>
      <c r="B1599" t="s">
        <v>544</v>
      </c>
      <c r="C1599" t="s">
        <v>15</v>
      </c>
      <c r="D1599" s="48">
        <v>42369</v>
      </c>
      <c r="E1599" s="3">
        <v>3285346000</v>
      </c>
      <c r="F1599" s="3">
        <v>1410205000</v>
      </c>
      <c r="G1599" s="3">
        <f>Project_Data_NYSE[[#This Row],[ Total Revenue ]]-Project_Data_NYSE[[#This Row],[ Cost of Goods Sold ]]</f>
        <v>1875141000</v>
      </c>
      <c r="H1599" s="3">
        <v>145992000</v>
      </c>
      <c r="I1599" s="3">
        <v>0</v>
      </c>
      <c r="J1599" s="3">
        <v>894057000</v>
      </c>
      <c r="K1599" s="3">
        <f>Project_Data_NYSE[[#This Row],[Gross Profit]]-Project_Data_NYSE[[#This Row],[ Sales, General and Admin. ]]-Project_Data_NYSE[[#This Row],[ Research and Development ]]-Project_Data_NYSE[[#This Row],[ Other Operating Items ]]</f>
        <v>835092000</v>
      </c>
      <c r="L1599" t="s">
        <v>51</v>
      </c>
      <c r="M1599" t="s">
        <v>52</v>
      </c>
      <c r="N1599" s="31">
        <f>Project_Data_NYSE[[#This Row],[Gross Profit]]/Project_Data_NYSE[[#This Row],[ Total Revenue ]]</f>
        <v>0.570759061602644</v>
      </c>
      <c r="O1599" s="31">
        <f>Project_Data_NYSE[[#This Row],[Operating Profit]]/Project_Data_NYSE[[#This Row],[ Total Revenue ]]</f>
        <v>0.25418692582151164</v>
      </c>
    </row>
    <row r="1600" spans="1:15" x14ac:dyDescent="0.2">
      <c r="A1600">
        <v>1665</v>
      </c>
      <c r="B1600" t="s">
        <v>544</v>
      </c>
      <c r="C1600" t="s">
        <v>16</v>
      </c>
      <c r="D1600" s="48">
        <v>42735</v>
      </c>
      <c r="E1600" s="3">
        <v>3442646000</v>
      </c>
      <c r="F1600" s="3">
        <v>1442073000</v>
      </c>
      <c r="G1600" s="3">
        <f>Project_Data_NYSE[[#This Row],[ Total Revenue ]]-Project_Data_NYSE[[#This Row],[ Cost of Goods Sold ]]</f>
        <v>2000573000</v>
      </c>
      <c r="H1600" s="3">
        <v>136863000</v>
      </c>
      <c r="I1600" s="3">
        <v>0</v>
      </c>
      <c r="J1600" s="3">
        <v>898924000</v>
      </c>
      <c r="K1600" s="3">
        <f>Project_Data_NYSE[[#This Row],[Gross Profit]]-Project_Data_NYSE[[#This Row],[ Sales, General and Admin. ]]-Project_Data_NYSE[[#This Row],[ Research and Development ]]-Project_Data_NYSE[[#This Row],[ Other Operating Items ]]</f>
        <v>964786000</v>
      </c>
      <c r="L1600" t="s">
        <v>51</v>
      </c>
      <c r="M1600" t="s">
        <v>52</v>
      </c>
      <c r="N1600" s="31">
        <f>Project_Data_NYSE[[#This Row],[Gross Profit]]/Project_Data_NYSE[[#This Row],[ Total Revenue ]]</f>
        <v>0.58111493310668594</v>
      </c>
      <c r="O1600" s="31">
        <f>Project_Data_NYSE[[#This Row],[Operating Profit]]/Project_Data_NYSE[[#This Row],[ Total Revenue ]]</f>
        <v>0.28024548559451073</v>
      </c>
    </row>
    <row r="1601" spans="1:15" x14ac:dyDescent="0.2">
      <c r="A1601">
        <v>1666</v>
      </c>
      <c r="B1601" t="s">
        <v>545</v>
      </c>
      <c r="C1601" t="s">
        <v>11</v>
      </c>
      <c r="D1601" s="48">
        <v>41274</v>
      </c>
      <c r="E1601" s="3">
        <v>115846000000</v>
      </c>
      <c r="F1601" s="3">
        <v>46275000000</v>
      </c>
      <c r="G1601" s="3">
        <f>Project_Data_NYSE[[#This Row],[ Total Revenue ]]-Project_Data_NYSE[[#This Row],[ Cost of Goods Sold ]]</f>
        <v>69571000000</v>
      </c>
      <c r="H1601" s="3">
        <v>39951000000</v>
      </c>
      <c r="I1601" s="3">
        <v>0</v>
      </c>
      <c r="J1601" s="3">
        <v>16460000000</v>
      </c>
      <c r="K1601" s="3">
        <f>Project_Data_NYSE[[#This Row],[Gross Profit]]-Project_Data_NYSE[[#This Row],[ Sales, General and Admin. ]]-Project_Data_NYSE[[#This Row],[ Research and Development ]]-Project_Data_NYSE[[#This Row],[ Other Operating Items ]]</f>
        <v>13160000000</v>
      </c>
      <c r="L1601" t="s">
        <v>181</v>
      </c>
      <c r="M1601" t="s">
        <v>182</v>
      </c>
      <c r="N1601" s="31">
        <f>Project_Data_NYSE[[#This Row],[Gross Profit]]/Project_Data_NYSE[[#This Row],[ Total Revenue ]]</f>
        <v>0.60054727828323806</v>
      </c>
      <c r="O1601" s="31">
        <f>Project_Data_NYSE[[#This Row],[Operating Profit]]/Project_Data_NYSE[[#This Row],[ Total Revenue ]]</f>
        <v>0.11359908844500458</v>
      </c>
    </row>
    <row r="1602" spans="1:15" x14ac:dyDescent="0.2">
      <c r="A1602">
        <v>1667</v>
      </c>
      <c r="B1602" t="s">
        <v>545</v>
      </c>
      <c r="C1602" t="s">
        <v>14</v>
      </c>
      <c r="D1602" s="48">
        <v>41639</v>
      </c>
      <c r="E1602" s="3">
        <v>120550000000</v>
      </c>
      <c r="F1602" s="3">
        <v>44887000000</v>
      </c>
      <c r="G1602" s="3">
        <f>Project_Data_NYSE[[#This Row],[ Total Revenue ]]-Project_Data_NYSE[[#This Row],[ Cost of Goods Sold ]]</f>
        <v>75663000000</v>
      </c>
      <c r="H1602" s="3">
        <v>27089000000</v>
      </c>
      <c r="I1602" s="3">
        <v>0</v>
      </c>
      <c r="J1602" s="3">
        <v>16606000000</v>
      </c>
      <c r="K1602" s="3">
        <f>Project_Data_NYSE[[#This Row],[Gross Profit]]-Project_Data_NYSE[[#This Row],[ Sales, General and Admin. ]]-Project_Data_NYSE[[#This Row],[ Research and Development ]]-Project_Data_NYSE[[#This Row],[ Other Operating Items ]]</f>
        <v>31968000000</v>
      </c>
      <c r="L1602" t="s">
        <v>181</v>
      </c>
      <c r="M1602" t="s">
        <v>182</v>
      </c>
      <c r="N1602" s="31">
        <f>Project_Data_NYSE[[#This Row],[Gross Profit]]/Project_Data_NYSE[[#This Row],[ Total Revenue ]]</f>
        <v>0.62764827872252182</v>
      </c>
      <c r="O1602" s="31">
        <f>Project_Data_NYSE[[#This Row],[Operating Profit]]/Project_Data_NYSE[[#This Row],[ Total Revenue ]]</f>
        <v>0.26518457071754459</v>
      </c>
    </row>
    <row r="1603" spans="1:15" x14ac:dyDescent="0.2">
      <c r="A1603">
        <v>1668</v>
      </c>
      <c r="B1603" t="s">
        <v>545</v>
      </c>
      <c r="C1603" t="s">
        <v>15</v>
      </c>
      <c r="D1603" s="48">
        <v>42004</v>
      </c>
      <c r="E1603" s="3">
        <v>127079000000</v>
      </c>
      <c r="F1603" s="3">
        <v>49931000000</v>
      </c>
      <c r="G1603" s="3">
        <f>Project_Data_NYSE[[#This Row],[ Total Revenue ]]-Project_Data_NYSE[[#This Row],[ Cost of Goods Sold ]]</f>
        <v>77148000000</v>
      </c>
      <c r="H1603" s="3">
        <v>41016000000</v>
      </c>
      <c r="I1603" s="3">
        <v>0</v>
      </c>
      <c r="J1603" s="3">
        <v>16533000000</v>
      </c>
      <c r="K1603" s="3">
        <f>Project_Data_NYSE[[#This Row],[Gross Profit]]-Project_Data_NYSE[[#This Row],[ Sales, General and Admin. ]]-Project_Data_NYSE[[#This Row],[ Research and Development ]]-Project_Data_NYSE[[#This Row],[ Other Operating Items ]]</f>
        <v>19599000000</v>
      </c>
      <c r="L1603" t="s">
        <v>181</v>
      </c>
      <c r="M1603" t="s">
        <v>182</v>
      </c>
      <c r="N1603" s="31">
        <f>Project_Data_NYSE[[#This Row],[Gross Profit]]/Project_Data_NYSE[[#This Row],[ Total Revenue ]]</f>
        <v>0.60708693017729132</v>
      </c>
      <c r="O1603" s="31">
        <f>Project_Data_NYSE[[#This Row],[Operating Profit]]/Project_Data_NYSE[[#This Row],[ Total Revenue ]]</f>
        <v>0.15422689822866092</v>
      </c>
    </row>
    <row r="1604" spans="1:15" x14ac:dyDescent="0.2">
      <c r="A1604">
        <v>1669</v>
      </c>
      <c r="B1604" t="s">
        <v>545</v>
      </c>
      <c r="C1604" t="s">
        <v>16</v>
      </c>
      <c r="D1604" s="48">
        <v>42369</v>
      </c>
      <c r="E1604" s="3">
        <v>131620000000</v>
      </c>
      <c r="F1604" s="3">
        <v>52557000000</v>
      </c>
      <c r="G1604" s="3">
        <f>Project_Data_NYSE[[#This Row],[ Total Revenue ]]-Project_Data_NYSE[[#This Row],[ Cost of Goods Sold ]]</f>
        <v>79063000000</v>
      </c>
      <c r="H1604" s="3">
        <v>29986000000</v>
      </c>
      <c r="I1604" s="3">
        <v>0</v>
      </c>
      <c r="J1604" s="3">
        <v>16017000000</v>
      </c>
      <c r="K1604" s="3">
        <f>Project_Data_NYSE[[#This Row],[Gross Profit]]-Project_Data_NYSE[[#This Row],[ Sales, General and Admin. ]]-Project_Data_NYSE[[#This Row],[ Research and Development ]]-Project_Data_NYSE[[#This Row],[ Other Operating Items ]]</f>
        <v>33060000000</v>
      </c>
      <c r="L1604" t="s">
        <v>181</v>
      </c>
      <c r="M1604" t="s">
        <v>182</v>
      </c>
      <c r="N1604" s="31">
        <f>Project_Data_NYSE[[#This Row],[Gross Profit]]/Project_Data_NYSE[[#This Row],[ Total Revenue ]]</f>
        <v>0.60069138428810209</v>
      </c>
      <c r="O1604" s="31">
        <f>Project_Data_NYSE[[#This Row],[Operating Profit]]/Project_Data_NYSE[[#This Row],[ Total Revenue ]]</f>
        <v>0.25117763257863546</v>
      </c>
    </row>
    <row r="1605" spans="1:15" x14ac:dyDescent="0.2">
      <c r="A1605">
        <v>15</v>
      </c>
      <c r="B1605" t="s">
        <v>23</v>
      </c>
      <c r="C1605" t="s">
        <v>16</v>
      </c>
      <c r="D1605" s="48">
        <v>42369</v>
      </c>
      <c r="E1605" s="3">
        <v>22859000000</v>
      </c>
      <c r="F1605" s="3">
        <v>4500000000</v>
      </c>
      <c r="G1605" s="3">
        <f>Project_Data_NYSE[[#This Row],[ Total Revenue ]]-Project_Data_NYSE[[#This Row],[ Cost of Goods Sold ]]</f>
        <v>18359000000</v>
      </c>
      <c r="H1605" s="3">
        <v>6387000000</v>
      </c>
      <c r="I1605" s="3">
        <v>4285000000</v>
      </c>
      <c r="J1605" s="3">
        <v>0</v>
      </c>
      <c r="K1605" s="3">
        <f>Project_Data_NYSE[[#This Row],[Gross Profit]]-Project_Data_NYSE[[#This Row],[ Sales, General and Admin. ]]-Project_Data_NYSE[[#This Row],[ Research and Development ]]-Project_Data_NYSE[[#This Row],[ Other Operating Items ]]</f>
        <v>7687000000</v>
      </c>
      <c r="L1605" t="s">
        <v>24</v>
      </c>
      <c r="M1605" t="s">
        <v>25</v>
      </c>
      <c r="N1605" s="31">
        <f>Project_Data_NYSE[[#This Row],[Gross Profit]]/Project_Data_NYSE[[#This Row],[ Total Revenue ]]</f>
        <v>0.803140994794173</v>
      </c>
      <c r="O1605" s="31">
        <f>Project_Data_NYSE[[#This Row],[Operating Profit]]/Project_Data_NYSE[[#This Row],[ Total Revenue ]]</f>
        <v>0.33627892733715387</v>
      </c>
    </row>
    <row r="1606" spans="1:15" x14ac:dyDescent="0.2">
      <c r="A1606">
        <v>862</v>
      </c>
      <c r="B1606" t="s">
        <v>324</v>
      </c>
      <c r="C1606" t="s">
        <v>16</v>
      </c>
      <c r="D1606" s="48">
        <v>42735</v>
      </c>
      <c r="E1606" s="3">
        <v>2704400000</v>
      </c>
      <c r="F1606" s="3">
        <v>814300000</v>
      </c>
      <c r="G1606" s="3">
        <f>Project_Data_NYSE[[#This Row],[ Total Revenue ]]-Project_Data_NYSE[[#This Row],[ Cost of Goods Sold ]]</f>
        <v>1890100000</v>
      </c>
      <c r="H1606" s="3">
        <v>705300000</v>
      </c>
      <c r="I1606" s="3">
        <v>239600000</v>
      </c>
      <c r="J1606" s="3">
        <v>0</v>
      </c>
      <c r="K1606" s="3">
        <f>Project_Data_NYSE[[#This Row],[Gross Profit]]-Project_Data_NYSE[[#This Row],[ Sales, General and Admin. ]]-Project_Data_NYSE[[#This Row],[ Research and Development ]]-Project_Data_NYSE[[#This Row],[ Other Operating Items ]]</f>
        <v>945200000</v>
      </c>
      <c r="L1606" t="s">
        <v>24</v>
      </c>
      <c r="M1606" t="s">
        <v>29</v>
      </c>
      <c r="N1606" s="31">
        <f>Project_Data_NYSE[[#This Row],[Gross Profit]]/Project_Data_NYSE[[#This Row],[ Total Revenue ]]</f>
        <v>0.69889809199822517</v>
      </c>
      <c r="O1606" s="31">
        <f>Project_Data_NYSE[[#This Row],[Operating Profit]]/Project_Data_NYSE[[#This Row],[ Total Revenue ]]</f>
        <v>0.34950451116698711</v>
      </c>
    </row>
    <row r="1607" spans="1:15" x14ac:dyDescent="0.2">
      <c r="A1607">
        <v>1346</v>
      </c>
      <c r="B1607" t="s">
        <v>459</v>
      </c>
      <c r="C1607" t="s">
        <v>11</v>
      </c>
      <c r="D1607" s="48">
        <v>41639</v>
      </c>
      <c r="E1607" s="3">
        <v>2104745000</v>
      </c>
      <c r="F1607" s="3">
        <v>155355000</v>
      </c>
      <c r="G1607" s="3">
        <f>Project_Data_NYSE[[#This Row],[ Total Revenue ]]-Project_Data_NYSE[[#This Row],[ Cost of Goods Sold ]]</f>
        <v>1949390000</v>
      </c>
      <c r="H1607" s="3">
        <v>346393000</v>
      </c>
      <c r="I1607" s="3">
        <v>859947000</v>
      </c>
      <c r="J1607" s="3">
        <v>0</v>
      </c>
      <c r="K1607" s="3">
        <f>Project_Data_NYSE[[#This Row],[Gross Profit]]-Project_Data_NYSE[[#This Row],[ Sales, General and Admin. ]]-Project_Data_NYSE[[#This Row],[ Research and Development ]]-Project_Data_NYSE[[#This Row],[ Other Operating Items ]]</f>
        <v>743050000</v>
      </c>
      <c r="L1607" t="s">
        <v>24</v>
      </c>
      <c r="M1607" t="s">
        <v>65</v>
      </c>
      <c r="N1607" s="31">
        <f>Project_Data_NYSE[[#This Row],[Gross Profit]]/Project_Data_NYSE[[#This Row],[ Total Revenue ]]</f>
        <v>0.92618820807271185</v>
      </c>
      <c r="O1607" s="31">
        <f>Project_Data_NYSE[[#This Row],[Operating Profit]]/Project_Data_NYSE[[#This Row],[ Total Revenue ]]</f>
        <v>0.35303564089711581</v>
      </c>
    </row>
    <row r="1608" spans="1:15" x14ac:dyDescent="0.2">
      <c r="A1608">
        <v>222</v>
      </c>
      <c r="B1608" t="s">
        <v>114</v>
      </c>
      <c r="C1608" t="s">
        <v>11</v>
      </c>
      <c r="D1608" s="48">
        <v>41639</v>
      </c>
      <c r="E1608" s="3">
        <v>6932200000</v>
      </c>
      <c r="F1608" s="3">
        <v>857700000</v>
      </c>
      <c r="G1608" s="3">
        <f>Project_Data_NYSE[[#This Row],[ Total Revenue ]]-Project_Data_NYSE[[#This Row],[ Cost of Goods Sold ]]</f>
        <v>6074500000</v>
      </c>
      <c r="H1608" s="3">
        <v>1797000000</v>
      </c>
      <c r="I1608" s="3">
        <v>1444100000</v>
      </c>
      <c r="J1608" s="3">
        <v>342900000</v>
      </c>
      <c r="K1608" s="3">
        <f>Project_Data_NYSE[[#This Row],[Gross Profit]]-Project_Data_NYSE[[#This Row],[ Sales, General and Admin. ]]-Project_Data_NYSE[[#This Row],[ Research and Development ]]-Project_Data_NYSE[[#This Row],[ Other Operating Items ]]</f>
        <v>2490500000</v>
      </c>
      <c r="L1608" t="s">
        <v>24</v>
      </c>
      <c r="M1608" t="s">
        <v>65</v>
      </c>
      <c r="N1608" s="31">
        <f>Project_Data_NYSE[[#This Row],[Gross Profit]]/Project_Data_NYSE[[#This Row],[ Total Revenue ]]</f>
        <v>0.87627304463229572</v>
      </c>
      <c r="O1608" s="31">
        <f>Project_Data_NYSE[[#This Row],[Operating Profit]]/Project_Data_NYSE[[#This Row],[ Total Revenue ]]</f>
        <v>0.35926545685352412</v>
      </c>
    </row>
    <row r="1609" spans="1:15" x14ac:dyDescent="0.2">
      <c r="A1609">
        <v>1674</v>
      </c>
      <c r="B1609" t="s">
        <v>547</v>
      </c>
      <c r="C1609" t="s">
        <v>11</v>
      </c>
      <c r="D1609" s="48">
        <v>41453</v>
      </c>
      <c r="E1609" s="3">
        <v>15351000000</v>
      </c>
      <c r="F1609" s="3">
        <v>10988000000</v>
      </c>
      <c r="G1609" s="3">
        <f>Project_Data_NYSE[[#This Row],[ Total Revenue ]]-Project_Data_NYSE[[#This Row],[ Cost of Goods Sold ]]</f>
        <v>4363000000</v>
      </c>
      <c r="H1609" s="3">
        <v>1525000000</v>
      </c>
      <c r="I1609" s="3">
        <v>1572000000</v>
      </c>
      <c r="J1609" s="3">
        <v>0</v>
      </c>
      <c r="K1609" s="3">
        <f>Project_Data_NYSE[[#This Row],[Gross Profit]]-Project_Data_NYSE[[#This Row],[ Sales, General and Admin. ]]-Project_Data_NYSE[[#This Row],[ Research and Development ]]-Project_Data_NYSE[[#This Row],[ Other Operating Items ]]</f>
        <v>1266000000</v>
      </c>
      <c r="L1609" t="s">
        <v>21</v>
      </c>
      <c r="M1609" t="s">
        <v>488</v>
      </c>
      <c r="N1609" s="31">
        <f>Project_Data_NYSE[[#This Row],[Gross Profit]]/Project_Data_NYSE[[#This Row],[ Total Revenue ]]</f>
        <v>0.28421601198618984</v>
      </c>
      <c r="O1609" s="31">
        <f>Project_Data_NYSE[[#This Row],[Operating Profit]]/Project_Data_NYSE[[#This Row],[ Total Revenue ]]</f>
        <v>8.2470197381278088E-2</v>
      </c>
    </row>
    <row r="1610" spans="1:15" x14ac:dyDescent="0.2">
      <c r="A1610">
        <v>1675</v>
      </c>
      <c r="B1610" t="s">
        <v>547</v>
      </c>
      <c r="C1610" t="s">
        <v>14</v>
      </c>
      <c r="D1610" s="48">
        <v>41817</v>
      </c>
      <c r="E1610" s="3">
        <v>15130000000</v>
      </c>
      <c r="F1610" s="3">
        <v>10770000000</v>
      </c>
      <c r="G1610" s="3">
        <f>Project_Data_NYSE[[#This Row],[ Total Revenue ]]-Project_Data_NYSE[[#This Row],[ Cost of Goods Sold ]]</f>
        <v>4360000000</v>
      </c>
      <c r="H1610" s="3">
        <v>908000000</v>
      </c>
      <c r="I1610" s="3">
        <v>1661000000</v>
      </c>
      <c r="J1610" s="3">
        <v>0</v>
      </c>
      <c r="K1610" s="3">
        <f>Project_Data_NYSE[[#This Row],[Gross Profit]]-Project_Data_NYSE[[#This Row],[ Sales, General and Admin. ]]-Project_Data_NYSE[[#This Row],[ Research and Development ]]-Project_Data_NYSE[[#This Row],[ Other Operating Items ]]</f>
        <v>1791000000</v>
      </c>
      <c r="L1610" t="s">
        <v>21</v>
      </c>
      <c r="M1610" t="s">
        <v>488</v>
      </c>
      <c r="N1610" s="31">
        <f>Project_Data_NYSE[[#This Row],[Gross Profit]]/Project_Data_NYSE[[#This Row],[ Total Revenue ]]</f>
        <v>0.28816920026437542</v>
      </c>
      <c r="O1610" s="31">
        <f>Project_Data_NYSE[[#This Row],[Operating Profit]]/Project_Data_NYSE[[#This Row],[ Total Revenue ]]</f>
        <v>0.11837409120951752</v>
      </c>
    </row>
    <row r="1611" spans="1:15" x14ac:dyDescent="0.2">
      <c r="A1611">
        <v>1676</v>
      </c>
      <c r="B1611" t="s">
        <v>547</v>
      </c>
      <c r="C1611" t="s">
        <v>15</v>
      </c>
      <c r="D1611" s="48">
        <v>42188</v>
      </c>
      <c r="E1611" s="3">
        <v>14572000000</v>
      </c>
      <c r="F1611" s="3">
        <v>10351000000</v>
      </c>
      <c r="G1611" s="3">
        <f>Project_Data_NYSE[[#This Row],[ Total Revenue ]]-Project_Data_NYSE[[#This Row],[ Cost of Goods Sold ]]</f>
        <v>4221000000</v>
      </c>
      <c r="H1611" s="3">
        <v>964000000</v>
      </c>
      <c r="I1611" s="3">
        <v>1646000000</v>
      </c>
      <c r="J1611" s="3">
        <v>0</v>
      </c>
      <c r="K1611" s="3">
        <f>Project_Data_NYSE[[#This Row],[Gross Profit]]-Project_Data_NYSE[[#This Row],[ Sales, General and Admin. ]]-Project_Data_NYSE[[#This Row],[ Research and Development ]]-Project_Data_NYSE[[#This Row],[ Other Operating Items ]]</f>
        <v>1611000000</v>
      </c>
      <c r="L1611" t="s">
        <v>21</v>
      </c>
      <c r="M1611" t="s">
        <v>488</v>
      </c>
      <c r="N1611" s="31">
        <f>Project_Data_NYSE[[#This Row],[Gross Profit]]/Project_Data_NYSE[[#This Row],[ Total Revenue ]]</f>
        <v>0.28966511117211091</v>
      </c>
      <c r="O1611" s="31">
        <f>Project_Data_NYSE[[#This Row],[Operating Profit]]/Project_Data_NYSE[[#This Row],[ Total Revenue ]]</f>
        <v>0.11055448805929179</v>
      </c>
    </row>
    <row r="1612" spans="1:15" x14ac:dyDescent="0.2">
      <c r="A1612">
        <v>1677</v>
      </c>
      <c r="B1612" t="s">
        <v>547</v>
      </c>
      <c r="C1612" t="s">
        <v>16</v>
      </c>
      <c r="D1612" s="48">
        <v>42552</v>
      </c>
      <c r="E1612" s="3">
        <v>12994000000</v>
      </c>
      <c r="F1612" s="3">
        <v>9559000000</v>
      </c>
      <c r="G1612" s="3">
        <f>Project_Data_NYSE[[#This Row],[ Total Revenue ]]-Project_Data_NYSE[[#This Row],[ Cost of Goods Sold ]]</f>
        <v>3435000000</v>
      </c>
      <c r="H1612" s="3">
        <v>1342000000</v>
      </c>
      <c r="I1612" s="3">
        <v>1627000000</v>
      </c>
      <c r="J1612" s="3">
        <v>0</v>
      </c>
      <c r="K1612" s="3">
        <f>Project_Data_NYSE[[#This Row],[Gross Profit]]-Project_Data_NYSE[[#This Row],[ Sales, General and Admin. ]]-Project_Data_NYSE[[#This Row],[ Research and Development ]]-Project_Data_NYSE[[#This Row],[ Other Operating Items ]]</f>
        <v>466000000</v>
      </c>
      <c r="L1612" t="s">
        <v>21</v>
      </c>
      <c r="M1612" t="s">
        <v>488</v>
      </c>
      <c r="N1612" s="31">
        <f>Project_Data_NYSE[[#This Row],[Gross Profit]]/Project_Data_NYSE[[#This Row],[ Total Revenue ]]</f>
        <v>0.26435277820532554</v>
      </c>
      <c r="O1612" s="31">
        <f>Project_Data_NYSE[[#This Row],[Operating Profit]]/Project_Data_NYSE[[#This Row],[ Total Revenue ]]</f>
        <v>3.5862705864245038E-2</v>
      </c>
    </row>
    <row r="1613" spans="1:15" x14ac:dyDescent="0.2">
      <c r="A1613">
        <v>1678</v>
      </c>
      <c r="B1613" t="s">
        <v>548</v>
      </c>
      <c r="C1613" t="s">
        <v>11</v>
      </c>
      <c r="D1613" s="48">
        <v>41274</v>
      </c>
      <c r="E1613" s="3">
        <v>4246400000</v>
      </c>
      <c r="F1613" s="3">
        <v>2760500000</v>
      </c>
      <c r="G1613" s="3">
        <f>Project_Data_NYSE[[#This Row],[ Total Revenue ]]-Project_Data_NYSE[[#This Row],[ Cost of Goods Sold ]]</f>
        <v>1485900000</v>
      </c>
      <c r="H1613" s="3">
        <v>121400000</v>
      </c>
      <c r="I1613" s="3">
        <v>0</v>
      </c>
      <c r="J1613" s="3">
        <v>364200000</v>
      </c>
      <c r="K1613" s="3">
        <f>Project_Data_NYSE[[#This Row],[Gross Profit]]-Project_Data_NYSE[[#This Row],[ Sales, General and Admin. ]]-Project_Data_NYSE[[#This Row],[ Research and Development ]]-Project_Data_NYSE[[#This Row],[ Other Operating Items ]]</f>
        <v>1000300000</v>
      </c>
      <c r="L1613" t="s">
        <v>41</v>
      </c>
      <c r="M1613" t="s">
        <v>44</v>
      </c>
      <c r="N1613" s="31">
        <f>Project_Data_NYSE[[#This Row],[Gross Profit]]/Project_Data_NYSE[[#This Row],[ Total Revenue ]]</f>
        <v>0.34991993217784478</v>
      </c>
      <c r="O1613" s="31">
        <f>Project_Data_NYSE[[#This Row],[Operating Profit]]/Project_Data_NYSE[[#This Row],[ Total Revenue ]]</f>
        <v>0.23556424265259984</v>
      </c>
    </row>
    <row r="1614" spans="1:15" x14ac:dyDescent="0.2">
      <c r="A1614">
        <v>1679</v>
      </c>
      <c r="B1614" t="s">
        <v>548</v>
      </c>
      <c r="C1614" t="s">
        <v>14</v>
      </c>
      <c r="D1614" s="48">
        <v>41639</v>
      </c>
      <c r="E1614" s="3">
        <v>4519000000</v>
      </c>
      <c r="F1614" s="3">
        <v>2982100000</v>
      </c>
      <c r="G1614" s="3">
        <f>Project_Data_NYSE[[#This Row],[ Total Revenue ]]-Project_Data_NYSE[[#This Row],[ Cost of Goods Sold ]]</f>
        <v>1536900000</v>
      </c>
      <c r="H1614" s="3">
        <v>116700000</v>
      </c>
      <c r="I1614" s="3">
        <v>0</v>
      </c>
      <c r="J1614" s="3">
        <v>340100000</v>
      </c>
      <c r="K1614" s="3">
        <f>Project_Data_NYSE[[#This Row],[Gross Profit]]-Project_Data_NYSE[[#This Row],[ Sales, General and Admin. ]]-Project_Data_NYSE[[#This Row],[ Research and Development ]]-Project_Data_NYSE[[#This Row],[ Other Operating Items ]]</f>
        <v>1080100000</v>
      </c>
      <c r="L1614" t="s">
        <v>41</v>
      </c>
      <c r="M1614" t="s">
        <v>44</v>
      </c>
      <c r="N1614" s="31">
        <f>Project_Data_NYSE[[#This Row],[Gross Profit]]/Project_Data_NYSE[[#This Row],[ Total Revenue ]]</f>
        <v>0.34009736667404294</v>
      </c>
      <c r="O1614" s="31">
        <f>Project_Data_NYSE[[#This Row],[Operating Profit]]/Project_Data_NYSE[[#This Row],[ Total Revenue ]]</f>
        <v>0.23901305598583758</v>
      </c>
    </row>
    <row r="1615" spans="1:15" x14ac:dyDescent="0.2">
      <c r="A1615">
        <v>1680</v>
      </c>
      <c r="B1615" t="s">
        <v>548</v>
      </c>
      <c r="C1615" t="s">
        <v>15</v>
      </c>
      <c r="D1615" s="48">
        <v>42004</v>
      </c>
      <c r="E1615" s="3">
        <v>4997100000</v>
      </c>
      <c r="F1615" s="3">
        <v>3371800000</v>
      </c>
      <c r="G1615" s="3">
        <f>Project_Data_NYSE[[#This Row],[ Total Revenue ]]-Project_Data_NYSE[[#This Row],[ Cost of Goods Sold ]]</f>
        <v>1625300000</v>
      </c>
      <c r="H1615" s="3">
        <v>121800000</v>
      </c>
      <c r="I1615" s="3">
        <v>0</v>
      </c>
      <c r="J1615" s="3">
        <v>391400000</v>
      </c>
      <c r="K1615" s="3">
        <f>Project_Data_NYSE[[#This Row],[Gross Profit]]-Project_Data_NYSE[[#This Row],[ Sales, General and Admin. ]]-Project_Data_NYSE[[#This Row],[ Research and Development ]]-Project_Data_NYSE[[#This Row],[ Other Operating Items ]]</f>
        <v>1112100000</v>
      </c>
      <c r="L1615" t="s">
        <v>41</v>
      </c>
      <c r="M1615" t="s">
        <v>44</v>
      </c>
      <c r="N1615" s="31">
        <f>Project_Data_NYSE[[#This Row],[Gross Profit]]/Project_Data_NYSE[[#This Row],[ Total Revenue ]]</f>
        <v>0.32524864421364391</v>
      </c>
      <c r="O1615" s="31">
        <f>Project_Data_NYSE[[#This Row],[Operating Profit]]/Project_Data_NYSE[[#This Row],[ Total Revenue ]]</f>
        <v>0.22254907846551</v>
      </c>
    </row>
    <row r="1616" spans="1:15" x14ac:dyDescent="0.2">
      <c r="A1616">
        <v>1681</v>
      </c>
      <c r="B1616" t="s">
        <v>548</v>
      </c>
      <c r="C1616" t="s">
        <v>16</v>
      </c>
      <c r="D1616" s="48">
        <v>42369</v>
      </c>
      <c r="E1616" s="3">
        <v>5926100000</v>
      </c>
      <c r="F1616" s="3">
        <v>3949400000</v>
      </c>
      <c r="G1616" s="3">
        <f>Project_Data_NYSE[[#This Row],[ Total Revenue ]]-Project_Data_NYSE[[#This Row],[ Cost of Goods Sold ]]</f>
        <v>1976700000</v>
      </c>
      <c r="H1616" s="3">
        <v>164400000</v>
      </c>
      <c r="I1616" s="3">
        <v>0</v>
      </c>
      <c r="J1616" s="3">
        <v>561800000</v>
      </c>
      <c r="K1616" s="3">
        <f>Project_Data_NYSE[[#This Row],[Gross Profit]]-Project_Data_NYSE[[#This Row],[ Sales, General and Admin. ]]-Project_Data_NYSE[[#This Row],[ Research and Development ]]-Project_Data_NYSE[[#This Row],[ Other Operating Items ]]</f>
        <v>1250500000</v>
      </c>
      <c r="L1616" t="s">
        <v>41</v>
      </c>
      <c r="M1616" t="s">
        <v>44</v>
      </c>
      <c r="N1616" s="31">
        <f>Project_Data_NYSE[[#This Row],[Gross Profit]]/Project_Data_NYSE[[#This Row],[ Total Revenue ]]</f>
        <v>0.33355832672415248</v>
      </c>
      <c r="O1616" s="31">
        <f>Project_Data_NYSE[[#This Row],[Operating Profit]]/Project_Data_NYSE[[#This Row],[ Total Revenue ]]</f>
        <v>0.21101567641450533</v>
      </c>
    </row>
    <row r="1617" spans="1:15" x14ac:dyDescent="0.2">
      <c r="A1617">
        <v>1682</v>
      </c>
      <c r="B1617" t="s">
        <v>549</v>
      </c>
      <c r="C1617" t="s">
        <v>11</v>
      </c>
      <c r="D1617" s="48">
        <v>41274</v>
      </c>
      <c r="E1617" s="3">
        <v>91247000000</v>
      </c>
      <c r="F1617" s="3">
        <v>1727000000</v>
      </c>
      <c r="G1617" s="3">
        <f>Project_Data_NYSE[[#This Row],[ Total Revenue ]]-Project_Data_NYSE[[#This Row],[ Cost of Goods Sold ]]</f>
        <v>89520000000</v>
      </c>
      <c r="H1617" s="3">
        <v>48724000000</v>
      </c>
      <c r="I1617" s="3">
        <v>0</v>
      </c>
      <c r="J1617" s="3">
        <v>8891000000</v>
      </c>
      <c r="K1617" s="3">
        <f>Project_Data_NYSE[[#This Row],[Gross Profit]]-Project_Data_NYSE[[#This Row],[ Sales, General and Admin. ]]-Project_Data_NYSE[[#This Row],[ Research and Development ]]-Project_Data_NYSE[[#This Row],[ Other Operating Items ]]</f>
        <v>31905000000</v>
      </c>
      <c r="L1617" t="s">
        <v>46</v>
      </c>
      <c r="M1617" t="s">
        <v>104</v>
      </c>
      <c r="N1617" s="31">
        <f>Project_Data_NYSE[[#This Row],[Gross Profit]]/Project_Data_NYSE[[#This Row],[ Total Revenue ]]</f>
        <v>0.98107335035672405</v>
      </c>
      <c r="O1617" s="31">
        <f>Project_Data_NYSE[[#This Row],[Operating Profit]]/Project_Data_NYSE[[#This Row],[ Total Revenue ]]</f>
        <v>0.3496553311341743</v>
      </c>
    </row>
    <row r="1618" spans="1:15" x14ac:dyDescent="0.2">
      <c r="A1618">
        <v>1683</v>
      </c>
      <c r="B1618" t="s">
        <v>549</v>
      </c>
      <c r="C1618" t="s">
        <v>14</v>
      </c>
      <c r="D1618" s="48">
        <v>41639</v>
      </c>
      <c r="E1618" s="3">
        <v>88069000000</v>
      </c>
      <c r="F1618" s="3">
        <v>1337000000</v>
      </c>
      <c r="G1618" s="3">
        <f>Project_Data_NYSE[[#This Row],[ Total Revenue ]]-Project_Data_NYSE[[#This Row],[ Cost of Goods Sold ]]</f>
        <v>86732000000</v>
      </c>
      <c r="H1618" s="3">
        <v>47338000000</v>
      </c>
      <c r="I1618" s="3">
        <v>0</v>
      </c>
      <c r="J1618" s="3">
        <v>3813000000</v>
      </c>
      <c r="K1618" s="3">
        <f>Project_Data_NYSE[[#This Row],[Gross Profit]]-Project_Data_NYSE[[#This Row],[ Sales, General and Admin. ]]-Project_Data_NYSE[[#This Row],[ Research and Development ]]-Project_Data_NYSE[[#This Row],[ Other Operating Items ]]</f>
        <v>35581000000</v>
      </c>
      <c r="L1618" t="s">
        <v>46</v>
      </c>
      <c r="M1618" t="s">
        <v>104</v>
      </c>
      <c r="N1618" s="31">
        <f>Project_Data_NYSE[[#This Row],[Gross Profit]]/Project_Data_NYSE[[#This Row],[ Total Revenue ]]</f>
        <v>0.98481872168413398</v>
      </c>
      <c r="O1618" s="31">
        <f>Project_Data_NYSE[[#This Row],[Operating Profit]]/Project_Data_NYSE[[#This Row],[ Total Revenue ]]</f>
        <v>0.40401276272013992</v>
      </c>
    </row>
    <row r="1619" spans="1:15" x14ac:dyDescent="0.2">
      <c r="A1619">
        <v>1684</v>
      </c>
      <c r="B1619" t="s">
        <v>549</v>
      </c>
      <c r="C1619" t="s">
        <v>15</v>
      </c>
      <c r="D1619" s="48">
        <v>42004</v>
      </c>
      <c r="E1619" s="3">
        <v>88372000000</v>
      </c>
      <c r="F1619" s="3">
        <v>1096000000</v>
      </c>
      <c r="G1619" s="3">
        <f>Project_Data_NYSE[[#This Row],[ Total Revenue ]]-Project_Data_NYSE[[#This Row],[ Cost of Goods Sold ]]</f>
        <v>87276000000</v>
      </c>
      <c r="H1619" s="3">
        <v>47667000000</v>
      </c>
      <c r="I1619" s="3">
        <v>0</v>
      </c>
      <c r="J1619" s="3">
        <v>2765000000</v>
      </c>
      <c r="K1619" s="3">
        <f>Project_Data_NYSE[[#This Row],[Gross Profit]]-Project_Data_NYSE[[#This Row],[ Sales, General and Admin. ]]-Project_Data_NYSE[[#This Row],[ Research and Development ]]-Project_Data_NYSE[[#This Row],[ Other Operating Items ]]</f>
        <v>36844000000</v>
      </c>
      <c r="L1619" t="s">
        <v>46</v>
      </c>
      <c r="M1619" t="s">
        <v>104</v>
      </c>
      <c r="N1619" s="31">
        <f>Project_Data_NYSE[[#This Row],[Gross Profit]]/Project_Data_NYSE[[#This Row],[ Total Revenue ]]</f>
        <v>0.9875978816819807</v>
      </c>
      <c r="O1619" s="31">
        <f>Project_Data_NYSE[[#This Row],[Operating Profit]]/Project_Data_NYSE[[#This Row],[ Total Revenue ]]</f>
        <v>0.41691938623093289</v>
      </c>
    </row>
    <row r="1620" spans="1:15" x14ac:dyDescent="0.2">
      <c r="A1620">
        <v>1685</v>
      </c>
      <c r="B1620" t="s">
        <v>549</v>
      </c>
      <c r="C1620" t="s">
        <v>16</v>
      </c>
      <c r="D1620" s="48">
        <v>42369</v>
      </c>
      <c r="E1620" s="3">
        <v>90033000000</v>
      </c>
      <c r="F1620" s="3">
        <v>963000000</v>
      </c>
      <c r="G1620" s="3">
        <f>Project_Data_NYSE[[#This Row],[ Total Revenue ]]-Project_Data_NYSE[[#This Row],[ Cost of Goods Sold ]]</f>
        <v>89070000000</v>
      </c>
      <c r="H1620" s="3">
        <v>48728000000</v>
      </c>
      <c r="I1620" s="3">
        <v>0</v>
      </c>
      <c r="J1620" s="3">
        <v>3688000000</v>
      </c>
      <c r="K1620" s="3">
        <f>Project_Data_NYSE[[#This Row],[Gross Profit]]-Project_Data_NYSE[[#This Row],[ Sales, General and Admin. ]]-Project_Data_NYSE[[#This Row],[ Research and Development ]]-Project_Data_NYSE[[#This Row],[ Other Operating Items ]]</f>
        <v>36654000000</v>
      </c>
      <c r="L1620" t="s">
        <v>46</v>
      </c>
      <c r="M1620" t="s">
        <v>104</v>
      </c>
      <c r="N1620" s="31">
        <f>Project_Data_NYSE[[#This Row],[Gross Profit]]/Project_Data_NYSE[[#This Row],[ Total Revenue ]]</f>
        <v>0.98930392189530503</v>
      </c>
      <c r="O1620" s="31">
        <f>Project_Data_NYSE[[#This Row],[Operating Profit]]/Project_Data_NYSE[[#This Row],[ Total Revenue ]]</f>
        <v>0.40711739029022692</v>
      </c>
    </row>
    <row r="1621" spans="1:15" x14ac:dyDescent="0.2">
      <c r="A1621">
        <v>1686</v>
      </c>
      <c r="B1621" t="s">
        <v>550</v>
      </c>
      <c r="C1621" t="s">
        <v>11</v>
      </c>
      <c r="D1621" s="48">
        <v>41546</v>
      </c>
      <c r="E1621" s="3">
        <v>12917000000</v>
      </c>
      <c r="F1621" s="3">
        <v>8288000000</v>
      </c>
      <c r="G1621" s="3">
        <f>Project_Data_NYSE[[#This Row],[ Total Revenue ]]-Project_Data_NYSE[[#This Row],[ Cost of Goods Sold ]]</f>
        <v>4629000000</v>
      </c>
      <c r="H1621" s="3">
        <v>3682000000</v>
      </c>
      <c r="I1621" s="3">
        <v>0</v>
      </c>
      <c r="J1621" s="3">
        <v>0</v>
      </c>
      <c r="K1621" s="3">
        <f>Project_Data_NYSE[[#This Row],[Gross Profit]]-Project_Data_NYSE[[#This Row],[ Sales, General and Admin. ]]-Project_Data_NYSE[[#This Row],[ Research and Development ]]-Project_Data_NYSE[[#This Row],[ Other Operating Items ]]</f>
        <v>947000000</v>
      </c>
      <c r="L1621" t="s">
        <v>35</v>
      </c>
      <c r="M1621" t="s">
        <v>345</v>
      </c>
      <c r="N1621" s="31">
        <f>Project_Data_NYSE[[#This Row],[Gross Profit]]/Project_Data_NYSE[[#This Row],[ Total Revenue ]]</f>
        <v>0.35836494542076336</v>
      </c>
      <c r="O1621" s="31">
        <f>Project_Data_NYSE[[#This Row],[Operating Profit]]/Project_Data_NYSE[[#This Row],[ Total Revenue ]]</f>
        <v>7.3314237051947048E-2</v>
      </c>
    </row>
    <row r="1622" spans="1:15" x14ac:dyDescent="0.2">
      <c r="A1622">
        <v>1687</v>
      </c>
      <c r="B1622" t="s">
        <v>550</v>
      </c>
      <c r="C1622" t="s">
        <v>14</v>
      </c>
      <c r="D1622" s="48">
        <v>41910</v>
      </c>
      <c r="E1622" s="3">
        <v>14194000000</v>
      </c>
      <c r="F1622" s="3">
        <v>9150000000</v>
      </c>
      <c r="G1622" s="3">
        <f>Project_Data_NYSE[[#This Row],[ Total Revenue ]]-Project_Data_NYSE[[#This Row],[ Cost of Goods Sold ]]</f>
        <v>5044000000</v>
      </c>
      <c r="H1622" s="3">
        <v>4032000000</v>
      </c>
      <c r="I1622" s="3">
        <v>0</v>
      </c>
      <c r="J1622" s="3">
        <v>0</v>
      </c>
      <c r="K1622" s="3">
        <f>Project_Data_NYSE[[#This Row],[Gross Profit]]-Project_Data_NYSE[[#This Row],[ Sales, General and Admin. ]]-Project_Data_NYSE[[#This Row],[ Research and Development ]]-Project_Data_NYSE[[#This Row],[ Other Operating Items ]]</f>
        <v>1012000000</v>
      </c>
      <c r="L1622" t="s">
        <v>35</v>
      </c>
      <c r="M1622" t="s">
        <v>345</v>
      </c>
      <c r="N1622" s="31">
        <f>Project_Data_NYSE[[#This Row],[Gross Profit]]/Project_Data_NYSE[[#This Row],[ Total Revenue ]]</f>
        <v>0.35536142031844442</v>
      </c>
      <c r="O1622" s="31">
        <f>Project_Data_NYSE[[#This Row],[Operating Profit]]/Project_Data_NYSE[[#This Row],[ Total Revenue ]]</f>
        <v>7.1297731435817954E-2</v>
      </c>
    </row>
    <row r="1623" spans="1:15" x14ac:dyDescent="0.2">
      <c r="A1623">
        <v>1688</v>
      </c>
      <c r="B1623" t="s">
        <v>550</v>
      </c>
      <c r="C1623" t="s">
        <v>15</v>
      </c>
      <c r="D1623" s="48">
        <v>42274</v>
      </c>
      <c r="E1623" s="3">
        <v>15389000000</v>
      </c>
      <c r="F1623" s="3">
        <v>9973000000</v>
      </c>
      <c r="G1623" s="3">
        <f>Project_Data_NYSE[[#This Row],[ Total Revenue ]]-Project_Data_NYSE[[#This Row],[ Cost of Goods Sold ]]</f>
        <v>5416000000</v>
      </c>
      <c r="H1623" s="3">
        <v>4472000000</v>
      </c>
      <c r="I1623" s="3">
        <v>0</v>
      </c>
      <c r="J1623" s="3">
        <v>0</v>
      </c>
      <c r="K1623" s="3">
        <f>Project_Data_NYSE[[#This Row],[Gross Profit]]-Project_Data_NYSE[[#This Row],[ Sales, General and Admin. ]]-Project_Data_NYSE[[#This Row],[ Research and Development ]]-Project_Data_NYSE[[#This Row],[ Other Operating Items ]]</f>
        <v>944000000</v>
      </c>
      <c r="L1623" t="s">
        <v>35</v>
      </c>
      <c r="M1623" t="s">
        <v>345</v>
      </c>
      <c r="N1623" s="31">
        <f>Project_Data_NYSE[[#This Row],[Gross Profit]]/Project_Data_NYSE[[#This Row],[ Total Revenue ]]</f>
        <v>0.35193969718630191</v>
      </c>
      <c r="O1623" s="31">
        <f>Project_Data_NYSE[[#This Row],[Operating Profit]]/Project_Data_NYSE[[#This Row],[ Total Revenue ]]</f>
        <v>6.1342517382545973E-2</v>
      </c>
    </row>
    <row r="1624" spans="1:15" x14ac:dyDescent="0.2">
      <c r="A1624">
        <v>1689</v>
      </c>
      <c r="B1624" t="s">
        <v>550</v>
      </c>
      <c r="C1624" t="s">
        <v>16</v>
      </c>
      <c r="D1624" s="48">
        <v>42638</v>
      </c>
      <c r="E1624" s="3">
        <v>15724000000</v>
      </c>
      <c r="F1624" s="3">
        <v>10313000000</v>
      </c>
      <c r="G1624" s="3">
        <f>Project_Data_NYSE[[#This Row],[ Total Revenue ]]-Project_Data_NYSE[[#This Row],[ Cost of Goods Sold ]]</f>
        <v>5411000000</v>
      </c>
      <c r="H1624" s="3">
        <v>4477000000</v>
      </c>
      <c r="I1624" s="3">
        <v>0</v>
      </c>
      <c r="J1624" s="3">
        <v>0</v>
      </c>
      <c r="K1624" s="3">
        <f>Project_Data_NYSE[[#This Row],[Gross Profit]]-Project_Data_NYSE[[#This Row],[ Sales, General and Admin. ]]-Project_Data_NYSE[[#This Row],[ Research and Development ]]-Project_Data_NYSE[[#This Row],[ Other Operating Items ]]</f>
        <v>934000000</v>
      </c>
      <c r="L1624" t="s">
        <v>35</v>
      </c>
      <c r="M1624" t="s">
        <v>345</v>
      </c>
      <c r="N1624" s="31">
        <f>Project_Data_NYSE[[#This Row],[Gross Profit]]/Project_Data_NYSE[[#This Row],[ Total Revenue ]]</f>
        <v>0.34412363266344442</v>
      </c>
      <c r="O1624" s="31">
        <f>Project_Data_NYSE[[#This Row],[Operating Profit]]/Project_Data_NYSE[[#This Row],[ Total Revenue ]]</f>
        <v>5.9399643856525054E-2</v>
      </c>
    </row>
    <row r="1625" spans="1:15" x14ac:dyDescent="0.2">
      <c r="A1625">
        <v>1690</v>
      </c>
      <c r="B1625" t="s">
        <v>551</v>
      </c>
      <c r="C1625" t="s">
        <v>11</v>
      </c>
      <c r="D1625" s="48">
        <v>41639</v>
      </c>
      <c r="E1625" s="3">
        <v>18769000000</v>
      </c>
      <c r="F1625" s="3">
        <v>15471000000</v>
      </c>
      <c r="G1625" s="3">
        <f>Project_Data_NYSE[[#This Row],[ Total Revenue ]]-Project_Data_NYSE[[#This Row],[ Cost of Goods Sold ]]</f>
        <v>3298000000</v>
      </c>
      <c r="H1625" s="3">
        <v>1828000000</v>
      </c>
      <c r="I1625" s="3">
        <v>0</v>
      </c>
      <c r="J1625" s="3">
        <v>25000000</v>
      </c>
      <c r="K1625" s="3">
        <f>Project_Data_NYSE[[#This Row],[Gross Profit]]-Project_Data_NYSE[[#This Row],[ Sales, General and Admin. ]]-Project_Data_NYSE[[#This Row],[ Research and Development ]]-Project_Data_NYSE[[#This Row],[ Other Operating Items ]]</f>
        <v>1445000000</v>
      </c>
      <c r="L1625" t="s">
        <v>18</v>
      </c>
      <c r="M1625" t="s">
        <v>479</v>
      </c>
      <c r="N1625" s="31">
        <f>Project_Data_NYSE[[#This Row],[Gross Profit]]/Project_Data_NYSE[[#This Row],[ Total Revenue ]]</f>
        <v>0.17571527518780969</v>
      </c>
      <c r="O1625" s="31">
        <f>Project_Data_NYSE[[#This Row],[Operating Profit]]/Project_Data_NYSE[[#This Row],[ Total Revenue ]]</f>
        <v>7.6988651499813529E-2</v>
      </c>
    </row>
    <row r="1626" spans="1:15" x14ac:dyDescent="0.2">
      <c r="A1626">
        <v>1691</v>
      </c>
      <c r="B1626" t="s">
        <v>551</v>
      </c>
      <c r="C1626" t="s">
        <v>14</v>
      </c>
      <c r="D1626" s="48">
        <v>42004</v>
      </c>
      <c r="E1626" s="3">
        <v>19872000000</v>
      </c>
      <c r="F1626" s="3">
        <v>16477000000</v>
      </c>
      <c r="G1626" s="3">
        <f>Project_Data_NYSE[[#This Row],[ Total Revenue ]]-Project_Data_NYSE[[#This Row],[ Cost of Goods Sold ]]</f>
        <v>3395000000</v>
      </c>
      <c r="H1626" s="3">
        <v>2038000000</v>
      </c>
      <c r="I1626" s="3">
        <v>0</v>
      </c>
      <c r="J1626" s="3">
        <v>33000000</v>
      </c>
      <c r="K1626" s="3">
        <f>Project_Data_NYSE[[#This Row],[Gross Profit]]-Project_Data_NYSE[[#This Row],[ Sales, General and Admin. ]]-Project_Data_NYSE[[#This Row],[ Research and Development ]]-Project_Data_NYSE[[#This Row],[ Other Operating Items ]]</f>
        <v>1324000000</v>
      </c>
      <c r="L1626" t="s">
        <v>18</v>
      </c>
      <c r="M1626" t="s">
        <v>479</v>
      </c>
      <c r="N1626" s="31">
        <f>Project_Data_NYSE[[#This Row],[Gross Profit]]/Project_Data_NYSE[[#This Row],[ Total Revenue ]]</f>
        <v>0.17084339774557167</v>
      </c>
      <c r="O1626" s="31">
        <f>Project_Data_NYSE[[#This Row],[Operating Profit]]/Project_Data_NYSE[[#This Row],[ Total Revenue ]]</f>
        <v>6.662640901771337E-2</v>
      </c>
    </row>
    <row r="1627" spans="1:15" x14ac:dyDescent="0.2">
      <c r="A1627">
        <v>1692</v>
      </c>
      <c r="B1627" t="s">
        <v>551</v>
      </c>
      <c r="C1627" t="s">
        <v>15</v>
      </c>
      <c r="D1627" s="48">
        <v>42369</v>
      </c>
      <c r="E1627" s="3">
        <v>20891000000</v>
      </c>
      <c r="F1627" s="3">
        <v>17201000000</v>
      </c>
      <c r="G1627" s="3">
        <f>Project_Data_NYSE[[#This Row],[ Total Revenue ]]-Project_Data_NYSE[[#This Row],[ Cost of Goods Sold ]]</f>
        <v>3690000000</v>
      </c>
      <c r="H1627" s="3">
        <v>2130000000</v>
      </c>
      <c r="I1627" s="3">
        <v>0</v>
      </c>
      <c r="J1627" s="3">
        <v>74000000</v>
      </c>
      <c r="K1627" s="3">
        <f>Project_Data_NYSE[[#This Row],[Gross Profit]]-Project_Data_NYSE[[#This Row],[ Sales, General and Admin. ]]-Project_Data_NYSE[[#This Row],[ Research and Development ]]-Project_Data_NYSE[[#This Row],[ Other Operating Items ]]</f>
        <v>1486000000</v>
      </c>
      <c r="L1627" t="s">
        <v>18</v>
      </c>
      <c r="M1627" t="s">
        <v>479</v>
      </c>
      <c r="N1627" s="31">
        <f>Project_Data_NYSE[[#This Row],[Gross Profit]]/Project_Data_NYSE[[#This Row],[ Total Revenue ]]</f>
        <v>0.17663108515628739</v>
      </c>
      <c r="O1627" s="31">
        <f>Project_Data_NYSE[[#This Row],[Operating Profit]]/Project_Data_NYSE[[#This Row],[ Total Revenue ]]</f>
        <v>7.1131109090038766E-2</v>
      </c>
    </row>
    <row r="1628" spans="1:15" x14ac:dyDescent="0.2">
      <c r="A1628">
        <v>1693</v>
      </c>
      <c r="B1628" t="s">
        <v>551</v>
      </c>
      <c r="C1628" t="s">
        <v>16</v>
      </c>
      <c r="D1628" s="48">
        <v>42735</v>
      </c>
      <c r="E1628" s="3">
        <v>20718000000</v>
      </c>
      <c r="F1628" s="3">
        <v>17036000000</v>
      </c>
      <c r="G1628" s="3">
        <f>Project_Data_NYSE[[#This Row],[ Total Revenue ]]-Project_Data_NYSE[[#This Row],[ Cost of Goods Sold ]]</f>
        <v>3682000000</v>
      </c>
      <c r="H1628" s="3">
        <v>2084000000</v>
      </c>
      <c r="I1628" s="3">
        <v>0</v>
      </c>
      <c r="J1628" s="3">
        <v>71000000</v>
      </c>
      <c r="K1628" s="3">
        <f>Project_Data_NYSE[[#This Row],[Gross Profit]]-Project_Data_NYSE[[#This Row],[ Sales, General and Admin. ]]-Project_Data_NYSE[[#This Row],[ Research and Development ]]-Project_Data_NYSE[[#This Row],[ Other Operating Items ]]</f>
        <v>1527000000</v>
      </c>
      <c r="L1628" t="s">
        <v>18</v>
      </c>
      <c r="M1628" t="s">
        <v>479</v>
      </c>
      <c r="N1628" s="31">
        <f>Project_Data_NYSE[[#This Row],[Gross Profit]]/Project_Data_NYSE[[#This Row],[ Total Revenue ]]</f>
        <v>0.17771985712906652</v>
      </c>
      <c r="O1628" s="31">
        <f>Project_Data_NYSE[[#This Row],[Operating Profit]]/Project_Data_NYSE[[#This Row],[ Total Revenue ]]</f>
        <v>7.3704025485085436E-2</v>
      </c>
    </row>
    <row r="1629" spans="1:15" x14ac:dyDescent="0.2">
      <c r="A1629">
        <v>1698</v>
      </c>
      <c r="B1629" t="s">
        <v>552</v>
      </c>
      <c r="C1629" t="s">
        <v>11</v>
      </c>
      <c r="D1629" s="48">
        <v>41639</v>
      </c>
      <c r="E1629" s="3">
        <v>13983000000</v>
      </c>
      <c r="F1629" s="3">
        <v>9112000000</v>
      </c>
      <c r="G1629" s="3">
        <f>Project_Data_NYSE[[#This Row],[ Total Revenue ]]-Project_Data_NYSE[[#This Row],[ Cost of Goods Sold ]]</f>
        <v>4871000000</v>
      </c>
      <c r="H1629" s="3">
        <v>1468000000</v>
      </c>
      <c r="I1629" s="3">
        <v>0</v>
      </c>
      <c r="J1629" s="3">
        <v>1333000000</v>
      </c>
      <c r="K1629" s="3">
        <f>Project_Data_NYSE[[#This Row],[Gross Profit]]-Project_Data_NYSE[[#This Row],[ Sales, General and Admin. ]]-Project_Data_NYSE[[#This Row],[ Research and Development ]]-Project_Data_NYSE[[#This Row],[ Other Operating Items ]]</f>
        <v>2070000000</v>
      </c>
      <c r="L1629" t="s">
        <v>12</v>
      </c>
      <c r="M1629" t="s">
        <v>553</v>
      </c>
      <c r="N1629" s="31">
        <f>Project_Data_NYSE[[#This Row],[Gross Profit]]/Project_Data_NYSE[[#This Row],[ Total Revenue ]]</f>
        <v>0.34835156976328396</v>
      </c>
      <c r="O1629" s="31">
        <f>Project_Data_NYSE[[#This Row],[Operating Profit]]/Project_Data_NYSE[[#This Row],[ Total Revenue ]]</f>
        <v>0.14803690195237074</v>
      </c>
    </row>
    <row r="1630" spans="1:15" x14ac:dyDescent="0.2">
      <c r="A1630">
        <v>1699</v>
      </c>
      <c r="B1630" t="s">
        <v>552</v>
      </c>
      <c r="C1630" t="s">
        <v>14</v>
      </c>
      <c r="D1630" s="48">
        <v>42004</v>
      </c>
      <c r="E1630" s="3">
        <v>13996000000</v>
      </c>
      <c r="F1630" s="3">
        <v>9002000000</v>
      </c>
      <c r="G1630" s="3">
        <f>Project_Data_NYSE[[#This Row],[ Total Revenue ]]-Project_Data_NYSE[[#This Row],[ Cost of Goods Sold ]]</f>
        <v>4994000000</v>
      </c>
      <c r="H1630" s="3">
        <v>1481000000</v>
      </c>
      <c r="I1630" s="3">
        <v>0</v>
      </c>
      <c r="J1630" s="3">
        <v>1292000000</v>
      </c>
      <c r="K1630" s="3">
        <f>Project_Data_NYSE[[#This Row],[Gross Profit]]-Project_Data_NYSE[[#This Row],[ Sales, General and Admin. ]]-Project_Data_NYSE[[#This Row],[ Research and Development ]]-Project_Data_NYSE[[#This Row],[ Other Operating Items ]]</f>
        <v>2221000000</v>
      </c>
      <c r="L1630" t="s">
        <v>12</v>
      </c>
      <c r="M1630" t="s">
        <v>553</v>
      </c>
      <c r="N1630" s="31">
        <f>Project_Data_NYSE[[#This Row],[Gross Profit]]/Project_Data_NYSE[[#This Row],[ Total Revenue ]]</f>
        <v>0.35681623320948841</v>
      </c>
      <c r="O1630" s="31">
        <f>Project_Data_NYSE[[#This Row],[Operating Profit]]/Project_Data_NYSE[[#This Row],[ Total Revenue ]]</f>
        <v>0.15868819662760789</v>
      </c>
    </row>
    <row r="1631" spans="1:15" x14ac:dyDescent="0.2">
      <c r="A1631">
        <v>1700</v>
      </c>
      <c r="B1631" t="s">
        <v>552</v>
      </c>
      <c r="C1631" t="s">
        <v>15</v>
      </c>
      <c r="D1631" s="48">
        <v>42369</v>
      </c>
      <c r="E1631" s="3">
        <v>12961000000</v>
      </c>
      <c r="F1631" s="3">
        <v>8231000000</v>
      </c>
      <c r="G1631" s="3">
        <f>Project_Data_NYSE[[#This Row],[ Total Revenue ]]-Project_Data_NYSE[[#This Row],[ Cost of Goods Sold ]]</f>
        <v>4730000000</v>
      </c>
      <c r="H1631" s="3">
        <v>1343000000</v>
      </c>
      <c r="I1631" s="3">
        <v>0</v>
      </c>
      <c r="J1631" s="3">
        <v>1245000000</v>
      </c>
      <c r="K1631" s="3">
        <f>Project_Data_NYSE[[#This Row],[Gross Profit]]-Project_Data_NYSE[[#This Row],[ Sales, General and Admin. ]]-Project_Data_NYSE[[#This Row],[ Research and Development ]]-Project_Data_NYSE[[#This Row],[ Other Operating Items ]]</f>
        <v>2142000000</v>
      </c>
      <c r="L1631" t="s">
        <v>12</v>
      </c>
      <c r="M1631" t="s">
        <v>553</v>
      </c>
      <c r="N1631" s="31">
        <f>Project_Data_NYSE[[#This Row],[Gross Profit]]/Project_Data_NYSE[[#This Row],[ Total Revenue ]]</f>
        <v>0.36494097677648329</v>
      </c>
      <c r="O1631" s="31">
        <f>Project_Data_NYSE[[#This Row],[Operating Profit]]/Project_Data_NYSE[[#This Row],[ Total Revenue ]]</f>
        <v>0.16526502584677108</v>
      </c>
    </row>
    <row r="1632" spans="1:15" x14ac:dyDescent="0.2">
      <c r="A1632">
        <v>1701</v>
      </c>
      <c r="B1632" t="s">
        <v>552</v>
      </c>
      <c r="C1632" t="s">
        <v>16</v>
      </c>
      <c r="D1632" s="48">
        <v>42735</v>
      </c>
      <c r="E1632" s="3">
        <v>13609000000</v>
      </c>
      <c r="F1632" s="3">
        <v>8486000000</v>
      </c>
      <c r="G1632" s="3">
        <f>Project_Data_NYSE[[#This Row],[ Total Revenue ]]-Project_Data_NYSE[[#This Row],[ Cost of Goods Sold ]]</f>
        <v>5123000000</v>
      </c>
      <c r="H1632" s="3">
        <v>1410000000</v>
      </c>
      <c r="I1632" s="3">
        <v>0</v>
      </c>
      <c r="J1632" s="3">
        <v>1301000000</v>
      </c>
      <c r="K1632" s="3">
        <f>Project_Data_NYSE[[#This Row],[Gross Profit]]-Project_Data_NYSE[[#This Row],[ Sales, General and Admin. ]]-Project_Data_NYSE[[#This Row],[ Research and Development ]]-Project_Data_NYSE[[#This Row],[ Other Operating Items ]]</f>
        <v>2412000000</v>
      </c>
      <c r="L1632" t="s">
        <v>12</v>
      </c>
      <c r="M1632" t="s">
        <v>553</v>
      </c>
      <c r="N1632" s="31">
        <f>Project_Data_NYSE[[#This Row],[Gross Profit]]/Project_Data_NYSE[[#This Row],[ Total Revenue ]]</f>
        <v>0.37644206040120509</v>
      </c>
      <c r="O1632" s="31">
        <f>Project_Data_NYSE[[#This Row],[Operating Profit]]/Project_Data_NYSE[[#This Row],[ Total Revenue ]]</f>
        <v>0.17723565287677273</v>
      </c>
    </row>
    <row r="1633" spans="1:15" x14ac:dyDescent="0.2">
      <c r="A1633">
        <v>1702</v>
      </c>
      <c r="B1633" t="s">
        <v>554</v>
      </c>
      <c r="C1633" t="s">
        <v>11</v>
      </c>
      <c r="D1633" s="48">
        <v>41274</v>
      </c>
      <c r="E1633" s="3">
        <v>7486000000</v>
      </c>
      <c r="F1633" s="3">
        <v>4523000000</v>
      </c>
      <c r="G1633" s="3">
        <f>Project_Data_NYSE[[#This Row],[ Total Revenue ]]-Project_Data_NYSE[[#This Row],[ Cost of Goods Sold ]]</f>
        <v>2963000000</v>
      </c>
      <c r="H1633" s="3">
        <v>595000000</v>
      </c>
      <c r="I1633" s="3">
        <v>0</v>
      </c>
      <c r="J1633" s="3">
        <v>756000000</v>
      </c>
      <c r="K1633" s="3">
        <f>Project_Data_NYSE[[#This Row],[Gross Profit]]-Project_Data_NYSE[[#This Row],[ Sales, General and Admin. ]]-Project_Data_NYSE[[#This Row],[ Research and Development ]]-Project_Data_NYSE[[#This Row],[ Other Operating Items ]]</f>
        <v>1612000000</v>
      </c>
      <c r="L1633" t="s">
        <v>82</v>
      </c>
      <c r="M1633" t="s">
        <v>83</v>
      </c>
      <c r="N1633" s="31">
        <f>Project_Data_NYSE[[#This Row],[Gross Profit]]/Project_Data_NYSE[[#This Row],[ Total Revenue ]]</f>
        <v>0.39580550360673256</v>
      </c>
      <c r="O1633" s="31">
        <f>Project_Data_NYSE[[#This Row],[Operating Profit]]/Project_Data_NYSE[[#This Row],[ Total Revenue ]]</f>
        <v>0.21533529254608602</v>
      </c>
    </row>
    <row r="1634" spans="1:15" x14ac:dyDescent="0.2">
      <c r="A1634">
        <v>1703</v>
      </c>
      <c r="B1634" t="s">
        <v>554</v>
      </c>
      <c r="C1634" t="s">
        <v>14</v>
      </c>
      <c r="D1634" s="48">
        <v>41639</v>
      </c>
      <c r="E1634" s="3">
        <v>6860000000</v>
      </c>
      <c r="F1634" s="3">
        <v>4124000000</v>
      </c>
      <c r="G1634" s="3">
        <f>Project_Data_NYSE[[#This Row],[ Total Revenue ]]-Project_Data_NYSE[[#This Row],[ Cost of Goods Sold ]]</f>
        <v>2736000000</v>
      </c>
      <c r="H1634" s="3">
        <v>546000000</v>
      </c>
      <c r="I1634" s="3">
        <v>0</v>
      </c>
      <c r="J1634" s="3">
        <v>815000000</v>
      </c>
      <c r="K1634" s="3">
        <f>Project_Data_NYSE[[#This Row],[Gross Profit]]-Project_Data_NYSE[[#This Row],[ Sales, General and Admin. ]]-Project_Data_NYSE[[#This Row],[ Research and Development ]]-Project_Data_NYSE[[#This Row],[ Other Operating Items ]]</f>
        <v>1375000000</v>
      </c>
      <c r="L1634" t="s">
        <v>82</v>
      </c>
      <c r="M1634" t="s">
        <v>83</v>
      </c>
      <c r="N1634" s="31">
        <f>Project_Data_NYSE[[#This Row],[Gross Profit]]/Project_Data_NYSE[[#This Row],[ Total Revenue ]]</f>
        <v>0.39883381924198252</v>
      </c>
      <c r="O1634" s="31">
        <f>Project_Data_NYSE[[#This Row],[Operating Profit]]/Project_Data_NYSE[[#This Row],[ Total Revenue ]]</f>
        <v>0.20043731778425655</v>
      </c>
    </row>
    <row r="1635" spans="1:15" x14ac:dyDescent="0.2">
      <c r="A1635">
        <v>1704</v>
      </c>
      <c r="B1635" t="s">
        <v>554</v>
      </c>
      <c r="C1635" t="s">
        <v>15</v>
      </c>
      <c r="D1635" s="48">
        <v>42004</v>
      </c>
      <c r="E1635" s="3">
        <v>7637000000</v>
      </c>
      <c r="F1635" s="3">
        <v>4508000000</v>
      </c>
      <c r="G1635" s="3">
        <f>Project_Data_NYSE[[#This Row],[ Total Revenue ]]-Project_Data_NYSE[[#This Row],[ Cost of Goods Sold ]]</f>
        <v>3129000000</v>
      </c>
      <c r="H1635" s="3">
        <v>384000000</v>
      </c>
      <c r="I1635" s="3">
        <v>0</v>
      </c>
      <c r="J1635" s="3">
        <v>1176000000</v>
      </c>
      <c r="K1635" s="3">
        <f>Project_Data_NYSE[[#This Row],[Gross Profit]]-Project_Data_NYSE[[#This Row],[ Sales, General and Admin. ]]-Project_Data_NYSE[[#This Row],[ Research and Development ]]-Project_Data_NYSE[[#This Row],[ Other Operating Items ]]</f>
        <v>1569000000</v>
      </c>
      <c r="L1635" t="s">
        <v>82</v>
      </c>
      <c r="M1635" t="s">
        <v>83</v>
      </c>
      <c r="N1635" s="31">
        <f>Project_Data_NYSE[[#This Row],[Gross Profit]]/Project_Data_NYSE[[#This Row],[ Total Revenue ]]</f>
        <v>0.40971585701191565</v>
      </c>
      <c r="O1635" s="31">
        <f>Project_Data_NYSE[[#This Row],[Operating Profit]]/Project_Data_NYSE[[#This Row],[ Total Revenue ]]</f>
        <v>0.2054471651171926</v>
      </c>
    </row>
    <row r="1636" spans="1:15" x14ac:dyDescent="0.2">
      <c r="A1636">
        <v>1705</v>
      </c>
      <c r="B1636" t="s">
        <v>554</v>
      </c>
      <c r="C1636" t="s">
        <v>16</v>
      </c>
      <c r="D1636" s="48">
        <v>42369</v>
      </c>
      <c r="E1636" s="3">
        <v>7360000000</v>
      </c>
      <c r="F1636" s="3">
        <v>3434000000</v>
      </c>
      <c r="G1636" s="3">
        <f>Project_Data_NYSE[[#This Row],[ Total Revenue ]]-Project_Data_NYSE[[#This Row],[ Cost of Goods Sold ]]</f>
        <v>3926000000</v>
      </c>
      <c r="H1636" s="3">
        <v>864000000</v>
      </c>
      <c r="I1636" s="3">
        <v>0</v>
      </c>
      <c r="J1636" s="3">
        <v>1738000000</v>
      </c>
      <c r="K1636" s="3">
        <f>Project_Data_NYSE[[#This Row],[Gross Profit]]-Project_Data_NYSE[[#This Row],[ Sales, General and Admin. ]]-Project_Data_NYSE[[#This Row],[ Research and Development ]]-Project_Data_NYSE[[#This Row],[ Other Operating Items ]]</f>
        <v>1324000000</v>
      </c>
      <c r="L1636" t="s">
        <v>82</v>
      </c>
      <c r="M1636" t="s">
        <v>83</v>
      </c>
      <c r="N1636" s="31">
        <f>Project_Data_NYSE[[#This Row],[Gross Profit]]/Project_Data_NYSE[[#This Row],[ Total Revenue ]]</f>
        <v>0.53342391304347825</v>
      </c>
      <c r="O1636" s="31">
        <f>Project_Data_NYSE[[#This Row],[Operating Profit]]/Project_Data_NYSE[[#This Row],[ Total Revenue ]]</f>
        <v>0.17989130434782608</v>
      </c>
    </row>
    <row r="1637" spans="1:15" x14ac:dyDescent="0.2">
      <c r="A1637">
        <v>1706</v>
      </c>
      <c r="B1637" t="s">
        <v>555</v>
      </c>
      <c r="C1637" t="s">
        <v>11</v>
      </c>
      <c r="D1637" s="48">
        <v>41305</v>
      </c>
      <c r="E1637" s="3">
        <v>468651000000</v>
      </c>
      <c r="F1637" s="3">
        <v>352297000000</v>
      </c>
      <c r="G1637" s="3">
        <f>Project_Data_NYSE[[#This Row],[ Total Revenue ]]-Project_Data_NYSE[[#This Row],[ Cost of Goods Sold ]]</f>
        <v>116354000000</v>
      </c>
      <c r="H1637" s="3">
        <v>88629000000</v>
      </c>
      <c r="I1637" s="3">
        <v>0</v>
      </c>
      <c r="J1637" s="3">
        <v>0</v>
      </c>
      <c r="K1637" s="3">
        <f>Project_Data_NYSE[[#This Row],[Gross Profit]]-Project_Data_NYSE[[#This Row],[ Sales, General and Admin. ]]-Project_Data_NYSE[[#This Row],[ Research and Development ]]-Project_Data_NYSE[[#This Row],[ Other Operating Items ]]</f>
        <v>27725000000</v>
      </c>
      <c r="L1637" t="s">
        <v>35</v>
      </c>
      <c r="M1637" t="s">
        <v>167</v>
      </c>
      <c r="N1637" s="31">
        <f>Project_Data_NYSE[[#This Row],[Gross Profit]]/Project_Data_NYSE[[#This Row],[ Total Revenue ]]</f>
        <v>0.24827430219929117</v>
      </c>
      <c r="O1637" s="31">
        <f>Project_Data_NYSE[[#This Row],[Operating Profit]]/Project_Data_NYSE[[#This Row],[ Total Revenue ]]</f>
        <v>5.9159161081487076E-2</v>
      </c>
    </row>
    <row r="1638" spans="1:15" x14ac:dyDescent="0.2">
      <c r="A1638">
        <v>1707</v>
      </c>
      <c r="B1638" t="s">
        <v>555</v>
      </c>
      <c r="C1638" t="s">
        <v>14</v>
      </c>
      <c r="D1638" s="48">
        <v>41670</v>
      </c>
      <c r="E1638" s="3">
        <v>476294000000</v>
      </c>
      <c r="F1638" s="3">
        <v>358069000000</v>
      </c>
      <c r="G1638" s="3">
        <f>Project_Data_NYSE[[#This Row],[ Total Revenue ]]-Project_Data_NYSE[[#This Row],[ Cost of Goods Sold ]]</f>
        <v>118225000000</v>
      </c>
      <c r="H1638" s="3">
        <v>91353000000</v>
      </c>
      <c r="I1638" s="3">
        <v>0</v>
      </c>
      <c r="J1638" s="3">
        <v>0</v>
      </c>
      <c r="K1638" s="3">
        <f>Project_Data_NYSE[[#This Row],[Gross Profit]]-Project_Data_NYSE[[#This Row],[ Sales, General and Admin. ]]-Project_Data_NYSE[[#This Row],[ Research and Development ]]-Project_Data_NYSE[[#This Row],[ Other Operating Items ]]</f>
        <v>26872000000</v>
      </c>
      <c r="L1638" t="s">
        <v>35</v>
      </c>
      <c r="M1638" t="s">
        <v>167</v>
      </c>
      <c r="N1638" s="31">
        <f>Project_Data_NYSE[[#This Row],[Gross Profit]]/Project_Data_NYSE[[#This Row],[ Total Revenue ]]</f>
        <v>0.24821853728999316</v>
      </c>
      <c r="O1638" s="31">
        <f>Project_Data_NYSE[[#This Row],[Operating Profit]]/Project_Data_NYSE[[#This Row],[ Total Revenue ]]</f>
        <v>5.6418934523634563E-2</v>
      </c>
    </row>
    <row r="1639" spans="1:15" x14ac:dyDescent="0.2">
      <c r="A1639">
        <v>1708</v>
      </c>
      <c r="B1639" t="s">
        <v>555</v>
      </c>
      <c r="C1639" t="s">
        <v>15</v>
      </c>
      <c r="D1639" s="48">
        <v>42035</v>
      </c>
      <c r="E1639" s="3">
        <v>485651000000</v>
      </c>
      <c r="F1639" s="3">
        <v>365086000000</v>
      </c>
      <c r="G1639" s="3">
        <f>Project_Data_NYSE[[#This Row],[ Total Revenue ]]-Project_Data_NYSE[[#This Row],[ Cost of Goods Sold ]]</f>
        <v>120565000000</v>
      </c>
      <c r="H1639" s="3">
        <v>93418000000</v>
      </c>
      <c r="I1639" s="3">
        <v>0</v>
      </c>
      <c r="J1639" s="3">
        <v>0</v>
      </c>
      <c r="K1639" s="3">
        <f>Project_Data_NYSE[[#This Row],[Gross Profit]]-Project_Data_NYSE[[#This Row],[ Sales, General and Admin. ]]-Project_Data_NYSE[[#This Row],[ Research and Development ]]-Project_Data_NYSE[[#This Row],[ Other Operating Items ]]</f>
        <v>27147000000</v>
      </c>
      <c r="L1639" t="s">
        <v>35</v>
      </c>
      <c r="M1639" t="s">
        <v>167</v>
      </c>
      <c r="N1639" s="31">
        <f>Project_Data_NYSE[[#This Row],[Gross Profit]]/Project_Data_NYSE[[#This Row],[ Total Revenue ]]</f>
        <v>0.24825440491216944</v>
      </c>
      <c r="O1639" s="31">
        <f>Project_Data_NYSE[[#This Row],[Operating Profit]]/Project_Data_NYSE[[#This Row],[ Total Revenue ]]</f>
        <v>5.5898165555100264E-2</v>
      </c>
    </row>
    <row r="1640" spans="1:15" x14ac:dyDescent="0.2">
      <c r="A1640">
        <v>1709</v>
      </c>
      <c r="B1640" t="s">
        <v>555</v>
      </c>
      <c r="C1640" t="s">
        <v>16</v>
      </c>
      <c r="D1640" s="48">
        <v>42400</v>
      </c>
      <c r="E1640" s="3">
        <v>482130000000</v>
      </c>
      <c r="F1640" s="3">
        <v>360984000000</v>
      </c>
      <c r="G1640" s="3">
        <f>Project_Data_NYSE[[#This Row],[ Total Revenue ]]-Project_Data_NYSE[[#This Row],[ Cost of Goods Sold ]]</f>
        <v>121146000000</v>
      </c>
      <c r="H1640" s="3">
        <v>97041000000</v>
      </c>
      <c r="I1640" s="3">
        <v>0</v>
      </c>
      <c r="J1640" s="3">
        <v>0</v>
      </c>
      <c r="K1640" s="3">
        <f>Project_Data_NYSE[[#This Row],[Gross Profit]]-Project_Data_NYSE[[#This Row],[ Sales, General and Admin. ]]-Project_Data_NYSE[[#This Row],[ Research and Development ]]-Project_Data_NYSE[[#This Row],[ Other Operating Items ]]</f>
        <v>24105000000</v>
      </c>
      <c r="L1640" t="s">
        <v>35</v>
      </c>
      <c r="M1640" t="s">
        <v>167</v>
      </c>
      <c r="N1640" s="31">
        <f>Project_Data_NYSE[[#This Row],[Gross Profit]]/Project_Data_NYSE[[#This Row],[ Total Revenue ]]</f>
        <v>0.25127247837720118</v>
      </c>
      <c r="O1640" s="31">
        <f>Project_Data_NYSE[[#This Row],[Operating Profit]]/Project_Data_NYSE[[#This Row],[ Total Revenue ]]</f>
        <v>4.9996888805923713E-2</v>
      </c>
    </row>
    <row r="1641" spans="1:15" x14ac:dyDescent="0.2">
      <c r="A1641">
        <v>1710</v>
      </c>
      <c r="B1641" t="s">
        <v>556</v>
      </c>
      <c r="C1641" t="s">
        <v>11</v>
      </c>
      <c r="D1641" s="48">
        <v>41912</v>
      </c>
      <c r="E1641" s="3">
        <v>9895100000</v>
      </c>
      <c r="F1641" s="3">
        <v>7961500000</v>
      </c>
      <c r="G1641" s="3">
        <f>Project_Data_NYSE[[#This Row],[ Total Revenue ]]-Project_Data_NYSE[[#This Row],[ Cost of Goods Sold ]]</f>
        <v>1933600000</v>
      </c>
      <c r="H1641" s="3">
        <v>937600000</v>
      </c>
      <c r="I1641" s="3">
        <v>0</v>
      </c>
      <c r="J1641" s="3">
        <v>86000000</v>
      </c>
      <c r="K1641" s="3">
        <f>Project_Data_NYSE[[#This Row],[Gross Profit]]-Project_Data_NYSE[[#This Row],[ Sales, General and Admin. ]]-Project_Data_NYSE[[#This Row],[ Research and Development ]]-Project_Data_NYSE[[#This Row],[ Other Operating Items ]]</f>
        <v>910000000</v>
      </c>
      <c r="L1641" t="s">
        <v>58</v>
      </c>
      <c r="M1641" t="s">
        <v>95</v>
      </c>
      <c r="N1641" s="31">
        <f>Project_Data_NYSE[[#This Row],[Gross Profit]]/Project_Data_NYSE[[#This Row],[ Total Revenue ]]</f>
        <v>0.19540984931936009</v>
      </c>
      <c r="O1641" s="31">
        <f>Project_Data_NYSE[[#This Row],[Operating Profit]]/Project_Data_NYSE[[#This Row],[ Total Revenue ]]</f>
        <v>9.1964709805863507E-2</v>
      </c>
    </row>
    <row r="1642" spans="1:15" x14ac:dyDescent="0.2">
      <c r="A1642">
        <v>1711</v>
      </c>
      <c r="B1642" t="s">
        <v>556</v>
      </c>
      <c r="C1642" t="s">
        <v>14</v>
      </c>
      <c r="D1642" s="48">
        <v>42277</v>
      </c>
      <c r="E1642" s="3">
        <v>11124800000</v>
      </c>
      <c r="F1642" s="3">
        <v>8986500000</v>
      </c>
      <c r="G1642" s="3">
        <f>Project_Data_NYSE[[#This Row],[ Total Revenue ]]-Project_Data_NYSE[[#This Row],[ Cost of Goods Sold ]]</f>
        <v>2138300000</v>
      </c>
      <c r="H1642" s="3">
        <v>1026100000</v>
      </c>
      <c r="I1642" s="3">
        <v>0</v>
      </c>
      <c r="J1642" s="3">
        <v>118900000</v>
      </c>
      <c r="K1642" s="3">
        <f>Project_Data_NYSE[[#This Row],[Gross Profit]]-Project_Data_NYSE[[#This Row],[ Sales, General and Admin. ]]-Project_Data_NYSE[[#This Row],[ Research and Development ]]-Project_Data_NYSE[[#This Row],[ Other Operating Items ]]</f>
        <v>993300000</v>
      </c>
      <c r="L1642" t="s">
        <v>58</v>
      </c>
      <c r="M1642" t="s">
        <v>95</v>
      </c>
      <c r="N1642" s="31">
        <f>Project_Data_NYSE[[#This Row],[Gross Profit]]/Project_Data_NYSE[[#This Row],[ Total Revenue ]]</f>
        <v>0.19221019703725012</v>
      </c>
      <c r="O1642" s="31">
        <f>Project_Data_NYSE[[#This Row],[Operating Profit]]/Project_Data_NYSE[[#This Row],[ Total Revenue ]]</f>
        <v>8.9286998417949084E-2</v>
      </c>
    </row>
    <row r="1643" spans="1:15" x14ac:dyDescent="0.2">
      <c r="A1643">
        <v>1712</v>
      </c>
      <c r="B1643" t="s">
        <v>556</v>
      </c>
      <c r="C1643" t="s">
        <v>15</v>
      </c>
      <c r="D1643" s="48">
        <v>42643</v>
      </c>
      <c r="E1643" s="3">
        <v>14171800000</v>
      </c>
      <c r="F1643" s="3">
        <v>11413200000</v>
      </c>
      <c r="G1643" s="3">
        <f>Project_Data_NYSE[[#This Row],[ Total Revenue ]]-Project_Data_NYSE[[#This Row],[ Cost of Goods Sold ]]</f>
        <v>2758600000</v>
      </c>
      <c r="H1643" s="3">
        <v>1750100000</v>
      </c>
      <c r="I1643" s="3">
        <v>0</v>
      </c>
      <c r="J1643" s="3">
        <v>211800000</v>
      </c>
      <c r="K1643" s="3">
        <f>Project_Data_NYSE[[#This Row],[Gross Profit]]-Project_Data_NYSE[[#This Row],[ Sales, General and Admin. ]]-Project_Data_NYSE[[#This Row],[ Research and Development ]]-Project_Data_NYSE[[#This Row],[ Other Operating Items ]]</f>
        <v>796700000</v>
      </c>
      <c r="L1643" t="s">
        <v>58</v>
      </c>
      <c r="M1643" t="s">
        <v>95</v>
      </c>
      <c r="N1643" s="31">
        <f>Project_Data_NYSE[[#This Row],[Gross Profit]]/Project_Data_NYSE[[#This Row],[ Total Revenue ]]</f>
        <v>0.19465417237048221</v>
      </c>
      <c r="O1643" s="31">
        <f>Project_Data_NYSE[[#This Row],[Operating Profit]]/Project_Data_NYSE[[#This Row],[ Total Revenue ]]</f>
        <v>5.6217276563315884E-2</v>
      </c>
    </row>
    <row r="1644" spans="1:15" x14ac:dyDescent="0.2">
      <c r="A1644">
        <v>1713</v>
      </c>
      <c r="B1644" t="s">
        <v>557</v>
      </c>
      <c r="C1644" t="s">
        <v>11</v>
      </c>
      <c r="D1644" s="48">
        <v>41274</v>
      </c>
      <c r="E1644" s="3">
        <v>5664800000</v>
      </c>
      <c r="F1644" s="3">
        <v>3194200000</v>
      </c>
      <c r="G1644" s="3">
        <f>Project_Data_NYSE[[#This Row],[ Total Revenue ]]-Project_Data_NYSE[[#This Row],[ Cost of Goods Sold ]]</f>
        <v>2470600000</v>
      </c>
      <c r="H1644" s="3">
        <v>1140600000</v>
      </c>
      <c r="I1644" s="3">
        <v>0</v>
      </c>
      <c r="J1644" s="3">
        <v>0</v>
      </c>
      <c r="K1644" s="3">
        <f>Project_Data_NYSE[[#This Row],[Gross Profit]]-Project_Data_NYSE[[#This Row],[ Sales, General and Admin. ]]-Project_Data_NYSE[[#This Row],[ Research and Development ]]-Project_Data_NYSE[[#This Row],[ Other Operating Items ]]</f>
        <v>1330000000</v>
      </c>
      <c r="L1644" t="s">
        <v>21</v>
      </c>
      <c r="M1644" t="s">
        <v>56</v>
      </c>
      <c r="N1644" s="31">
        <f>Project_Data_NYSE[[#This Row],[Gross Profit]]/Project_Data_NYSE[[#This Row],[ Total Revenue ]]</f>
        <v>0.43613190227369014</v>
      </c>
      <c r="O1644" s="31">
        <f>Project_Data_NYSE[[#This Row],[Operating Profit]]/Project_Data_NYSE[[#This Row],[ Total Revenue ]]</f>
        <v>0.23478322270865698</v>
      </c>
    </row>
    <row r="1645" spans="1:15" x14ac:dyDescent="0.2">
      <c r="A1645">
        <v>1714</v>
      </c>
      <c r="B1645" t="s">
        <v>557</v>
      </c>
      <c r="C1645" t="s">
        <v>14</v>
      </c>
      <c r="D1645" s="48">
        <v>41639</v>
      </c>
      <c r="E1645" s="3">
        <v>5542000000</v>
      </c>
      <c r="F1645" s="3">
        <v>3235000000</v>
      </c>
      <c r="G1645" s="3">
        <f>Project_Data_NYSE[[#This Row],[ Total Revenue ]]-Project_Data_NYSE[[#This Row],[ Cost of Goods Sold ]]</f>
        <v>2307000000</v>
      </c>
      <c r="H1645" s="3">
        <v>1199600000</v>
      </c>
      <c r="I1645" s="3">
        <v>0</v>
      </c>
      <c r="J1645" s="3">
        <v>0</v>
      </c>
      <c r="K1645" s="3">
        <f>Project_Data_NYSE[[#This Row],[Gross Profit]]-Project_Data_NYSE[[#This Row],[ Sales, General and Admin. ]]-Project_Data_NYSE[[#This Row],[ Research and Development ]]-Project_Data_NYSE[[#This Row],[ Other Operating Items ]]</f>
        <v>1107400000</v>
      </c>
      <c r="L1645" t="s">
        <v>21</v>
      </c>
      <c r="M1645" t="s">
        <v>56</v>
      </c>
      <c r="N1645" s="31">
        <f>Project_Data_NYSE[[#This Row],[Gross Profit]]/Project_Data_NYSE[[#This Row],[ Total Revenue ]]</f>
        <v>0.41627571273908337</v>
      </c>
      <c r="O1645" s="31">
        <f>Project_Data_NYSE[[#This Row],[Operating Profit]]/Project_Data_NYSE[[#This Row],[ Total Revenue ]]</f>
        <v>0.19981955972573079</v>
      </c>
    </row>
    <row r="1646" spans="1:15" x14ac:dyDescent="0.2">
      <c r="A1646">
        <v>1715</v>
      </c>
      <c r="B1646" t="s">
        <v>557</v>
      </c>
      <c r="C1646" t="s">
        <v>15</v>
      </c>
      <c r="D1646" s="48">
        <v>42004</v>
      </c>
      <c r="E1646" s="3">
        <v>5607200000</v>
      </c>
      <c r="F1646" s="3">
        <v>3297400000</v>
      </c>
      <c r="G1646" s="3">
        <f>Project_Data_NYSE[[#This Row],[ Total Revenue ]]-Project_Data_NYSE[[#This Row],[ Cost of Goods Sold ]]</f>
        <v>2309800000</v>
      </c>
      <c r="H1646" s="3">
        <v>1169300000</v>
      </c>
      <c r="I1646" s="3">
        <v>0</v>
      </c>
      <c r="J1646" s="3">
        <v>0</v>
      </c>
      <c r="K1646" s="3">
        <f>Project_Data_NYSE[[#This Row],[Gross Profit]]-Project_Data_NYSE[[#This Row],[ Sales, General and Admin. ]]-Project_Data_NYSE[[#This Row],[ Research and Development ]]-Project_Data_NYSE[[#This Row],[ Other Operating Items ]]</f>
        <v>1140500000</v>
      </c>
      <c r="L1646" t="s">
        <v>21</v>
      </c>
      <c r="M1646" t="s">
        <v>56</v>
      </c>
      <c r="N1646" s="31">
        <f>Project_Data_NYSE[[#This Row],[Gross Profit]]/Project_Data_NYSE[[#This Row],[ Total Revenue ]]</f>
        <v>0.41193465544300184</v>
      </c>
      <c r="O1646" s="31">
        <f>Project_Data_NYSE[[#This Row],[Operating Profit]]/Project_Data_NYSE[[#This Row],[ Total Revenue ]]</f>
        <v>0.20339920102725068</v>
      </c>
    </row>
    <row r="1647" spans="1:15" x14ac:dyDescent="0.2">
      <c r="A1647">
        <v>1716</v>
      </c>
      <c r="B1647" t="s">
        <v>557</v>
      </c>
      <c r="C1647" t="s">
        <v>16</v>
      </c>
      <c r="D1647" s="48">
        <v>42369</v>
      </c>
      <c r="E1647" s="3">
        <v>5483700000</v>
      </c>
      <c r="F1647" s="3">
        <v>3199400000</v>
      </c>
      <c r="G1647" s="3">
        <f>Project_Data_NYSE[[#This Row],[ Total Revenue ]]-Project_Data_NYSE[[#This Row],[ Cost of Goods Sold ]]</f>
        <v>2284300000</v>
      </c>
      <c r="H1647" s="3">
        <v>1174900000</v>
      </c>
      <c r="I1647" s="3">
        <v>0</v>
      </c>
      <c r="J1647" s="3">
        <v>0</v>
      </c>
      <c r="K1647" s="3">
        <f>Project_Data_NYSE[[#This Row],[Gross Profit]]-Project_Data_NYSE[[#This Row],[ Sales, General and Admin. ]]-Project_Data_NYSE[[#This Row],[ Research and Development ]]-Project_Data_NYSE[[#This Row],[ Other Operating Items ]]</f>
        <v>1109400000</v>
      </c>
      <c r="L1647" t="s">
        <v>21</v>
      </c>
      <c r="M1647" t="s">
        <v>56</v>
      </c>
      <c r="N1647" s="31">
        <f>Project_Data_NYSE[[#This Row],[Gross Profit]]/Project_Data_NYSE[[#This Row],[ Total Revenue ]]</f>
        <v>0.41656181045644364</v>
      </c>
      <c r="O1647" s="31">
        <f>Project_Data_NYSE[[#This Row],[Operating Profit]]/Project_Data_NYSE[[#This Row],[ Total Revenue ]]</f>
        <v>0.20230866021117128</v>
      </c>
    </row>
    <row r="1648" spans="1:15" x14ac:dyDescent="0.2">
      <c r="A1648">
        <v>1717</v>
      </c>
      <c r="B1648" t="s">
        <v>558</v>
      </c>
      <c r="C1648" t="s">
        <v>11</v>
      </c>
      <c r="D1648" s="48">
        <v>41274</v>
      </c>
      <c r="E1648" s="3">
        <v>5989000000</v>
      </c>
      <c r="F1648" s="3">
        <v>4993000000</v>
      </c>
      <c r="G1648" s="3">
        <f>Project_Data_NYSE[[#This Row],[ Total Revenue ]]-Project_Data_NYSE[[#This Row],[ Cost of Goods Sold ]]</f>
        <v>996000000</v>
      </c>
      <c r="H1648" s="3">
        <v>320000000</v>
      </c>
      <c r="I1648" s="3">
        <v>32000000</v>
      </c>
      <c r="J1648" s="3">
        <v>0</v>
      </c>
      <c r="K1648" s="3">
        <f>Project_Data_NYSE[[#This Row],[Gross Profit]]-Project_Data_NYSE[[#This Row],[ Sales, General and Admin. ]]-Project_Data_NYSE[[#This Row],[ Research and Development ]]-Project_Data_NYSE[[#This Row],[ Other Operating Items ]]</f>
        <v>644000000</v>
      </c>
      <c r="L1648" t="s">
        <v>51</v>
      </c>
      <c r="M1648" t="s">
        <v>52</v>
      </c>
      <c r="N1648" s="31">
        <f>Project_Data_NYSE[[#This Row],[Gross Profit]]/Project_Data_NYSE[[#This Row],[ Total Revenue ]]</f>
        <v>0.16630489230255469</v>
      </c>
      <c r="O1648" s="31">
        <f>Project_Data_NYSE[[#This Row],[Operating Profit]]/Project_Data_NYSE[[#This Row],[ Total Revenue ]]</f>
        <v>0.10753047253297712</v>
      </c>
    </row>
    <row r="1649" spans="1:15" x14ac:dyDescent="0.2">
      <c r="A1649">
        <v>1718</v>
      </c>
      <c r="B1649" t="s">
        <v>558</v>
      </c>
      <c r="C1649" t="s">
        <v>14</v>
      </c>
      <c r="D1649" s="48">
        <v>41639</v>
      </c>
      <c r="E1649" s="3">
        <v>7254000000</v>
      </c>
      <c r="F1649" s="3">
        <v>5716000000</v>
      </c>
      <c r="G1649" s="3">
        <f>Project_Data_NYSE[[#This Row],[ Total Revenue ]]-Project_Data_NYSE[[#This Row],[ Cost of Goods Sold ]]</f>
        <v>1538000000</v>
      </c>
      <c r="H1649" s="3">
        <v>494000000</v>
      </c>
      <c r="I1649" s="3">
        <v>33000000</v>
      </c>
      <c r="J1649" s="3">
        <v>0</v>
      </c>
      <c r="K1649" s="3">
        <f>Project_Data_NYSE[[#This Row],[Gross Profit]]-Project_Data_NYSE[[#This Row],[ Sales, General and Admin. ]]-Project_Data_NYSE[[#This Row],[ Research and Development ]]-Project_Data_NYSE[[#This Row],[ Other Operating Items ]]</f>
        <v>1011000000</v>
      </c>
      <c r="L1649" t="s">
        <v>51</v>
      </c>
      <c r="M1649" t="s">
        <v>52</v>
      </c>
      <c r="N1649" s="31">
        <f>Project_Data_NYSE[[#This Row],[Gross Profit]]/Project_Data_NYSE[[#This Row],[ Total Revenue ]]</f>
        <v>0.21202095395643783</v>
      </c>
      <c r="O1649" s="31">
        <f>Project_Data_NYSE[[#This Row],[Operating Profit]]/Project_Data_NYSE[[#This Row],[ Total Revenue ]]</f>
        <v>0.13937138130686519</v>
      </c>
    </row>
    <row r="1650" spans="1:15" x14ac:dyDescent="0.2">
      <c r="A1650">
        <v>1719</v>
      </c>
      <c r="B1650" t="s">
        <v>558</v>
      </c>
      <c r="C1650" t="s">
        <v>15</v>
      </c>
      <c r="D1650" s="48">
        <v>42004</v>
      </c>
      <c r="E1650" s="3">
        <v>7403000000</v>
      </c>
      <c r="F1650" s="3">
        <v>5763000000</v>
      </c>
      <c r="G1650" s="3">
        <f>Project_Data_NYSE[[#This Row],[ Total Revenue ]]-Project_Data_NYSE[[#This Row],[ Cost of Goods Sold ]]</f>
        <v>1640000000</v>
      </c>
      <c r="H1650" s="3">
        <v>249000000</v>
      </c>
      <c r="I1650" s="3">
        <v>27000000</v>
      </c>
      <c r="J1650" s="3">
        <v>0</v>
      </c>
      <c r="K1650" s="3">
        <f>Project_Data_NYSE[[#This Row],[Gross Profit]]-Project_Data_NYSE[[#This Row],[ Sales, General and Admin. ]]-Project_Data_NYSE[[#This Row],[ Research and Development ]]-Project_Data_NYSE[[#This Row],[ Other Operating Items ]]</f>
        <v>1364000000</v>
      </c>
      <c r="L1650" t="s">
        <v>51</v>
      </c>
      <c r="M1650" t="s">
        <v>52</v>
      </c>
      <c r="N1650" s="31">
        <f>Project_Data_NYSE[[#This Row],[Gross Profit]]/Project_Data_NYSE[[#This Row],[ Total Revenue ]]</f>
        <v>0.22153181142779954</v>
      </c>
      <c r="O1650" s="31">
        <f>Project_Data_NYSE[[#This Row],[Operating Profit]]/Project_Data_NYSE[[#This Row],[ Total Revenue ]]</f>
        <v>0.18424962852897475</v>
      </c>
    </row>
    <row r="1651" spans="1:15" x14ac:dyDescent="0.2">
      <c r="A1651">
        <v>1720</v>
      </c>
      <c r="B1651" t="s">
        <v>558</v>
      </c>
      <c r="C1651" t="s">
        <v>16</v>
      </c>
      <c r="D1651" s="48">
        <v>42369</v>
      </c>
      <c r="E1651" s="3">
        <v>7082000000</v>
      </c>
      <c r="F1651" s="3">
        <v>5694000000</v>
      </c>
      <c r="G1651" s="3">
        <f>Project_Data_NYSE[[#This Row],[ Total Revenue ]]-Project_Data_NYSE[[#This Row],[ Cost of Goods Sold ]]</f>
        <v>1388000000</v>
      </c>
      <c r="H1651" s="3">
        <v>420000000</v>
      </c>
      <c r="I1651" s="3">
        <v>24000000</v>
      </c>
      <c r="J1651" s="3">
        <v>0</v>
      </c>
      <c r="K1651" s="3">
        <f>Project_Data_NYSE[[#This Row],[Gross Profit]]-Project_Data_NYSE[[#This Row],[ Sales, General and Admin. ]]-Project_Data_NYSE[[#This Row],[ Research and Development ]]-Project_Data_NYSE[[#This Row],[ Other Operating Items ]]</f>
        <v>944000000</v>
      </c>
      <c r="L1651" t="s">
        <v>51</v>
      </c>
      <c r="M1651" t="s">
        <v>52</v>
      </c>
      <c r="N1651" s="31">
        <f>Project_Data_NYSE[[#This Row],[Gross Profit]]/Project_Data_NYSE[[#This Row],[ Total Revenue ]]</f>
        <v>0.19598983338040102</v>
      </c>
      <c r="O1651" s="31">
        <f>Project_Data_NYSE[[#This Row],[Operating Profit]]/Project_Data_NYSE[[#This Row],[ Total Revenue ]]</f>
        <v>0.13329567918667043</v>
      </c>
    </row>
    <row r="1652" spans="1:15" x14ac:dyDescent="0.2">
      <c r="A1652">
        <v>1721</v>
      </c>
      <c r="B1652" t="s">
        <v>559</v>
      </c>
      <c r="C1652" t="s">
        <v>11</v>
      </c>
      <c r="D1652" s="48">
        <v>41274</v>
      </c>
      <c r="E1652" s="3">
        <v>4534000000</v>
      </c>
      <c r="F1652" s="3">
        <v>2093000000</v>
      </c>
      <c r="G1652" s="3">
        <f>Project_Data_NYSE[[#This Row],[ Total Revenue ]]-Project_Data_NYSE[[#This Row],[ Cost of Goods Sold ]]</f>
        <v>2441000000</v>
      </c>
      <c r="H1652" s="3">
        <v>1389000000</v>
      </c>
      <c r="I1652" s="3">
        <v>0</v>
      </c>
      <c r="J1652" s="3">
        <v>185000000</v>
      </c>
      <c r="K1652" s="3">
        <f>Project_Data_NYSE[[#This Row],[Gross Profit]]-Project_Data_NYSE[[#This Row],[ Sales, General and Admin. ]]-Project_Data_NYSE[[#This Row],[ Research and Development ]]-Project_Data_NYSE[[#This Row],[ Other Operating Items ]]</f>
        <v>867000000</v>
      </c>
      <c r="L1652" t="s">
        <v>18</v>
      </c>
      <c r="M1652" t="s">
        <v>132</v>
      </c>
      <c r="N1652" s="31">
        <f>Project_Data_NYSE[[#This Row],[Gross Profit]]/Project_Data_NYSE[[#This Row],[ Total Revenue ]]</f>
        <v>0.53837670930745474</v>
      </c>
      <c r="O1652" s="31">
        <f>Project_Data_NYSE[[#This Row],[Operating Profit]]/Project_Data_NYSE[[#This Row],[ Total Revenue ]]</f>
        <v>0.19122187913542127</v>
      </c>
    </row>
    <row r="1653" spans="1:15" x14ac:dyDescent="0.2">
      <c r="A1653">
        <v>1722</v>
      </c>
      <c r="B1653" t="s">
        <v>559</v>
      </c>
      <c r="C1653" t="s">
        <v>14</v>
      </c>
      <c r="D1653" s="48">
        <v>41639</v>
      </c>
      <c r="E1653" s="3">
        <v>5009000000</v>
      </c>
      <c r="F1653" s="3">
        <v>2394000000</v>
      </c>
      <c r="G1653" s="3">
        <f>Project_Data_NYSE[[#This Row],[ Total Revenue ]]-Project_Data_NYSE[[#This Row],[ Cost of Goods Sold ]]</f>
        <v>2615000000</v>
      </c>
      <c r="H1653" s="3">
        <v>1471000000</v>
      </c>
      <c r="I1653" s="3">
        <v>0</v>
      </c>
      <c r="J1653" s="3">
        <v>216000000</v>
      </c>
      <c r="K1653" s="3">
        <f>Project_Data_NYSE[[#This Row],[Gross Profit]]-Project_Data_NYSE[[#This Row],[ Sales, General and Admin. ]]-Project_Data_NYSE[[#This Row],[ Research and Development ]]-Project_Data_NYSE[[#This Row],[ Other Operating Items ]]</f>
        <v>928000000</v>
      </c>
      <c r="L1653" t="s">
        <v>18</v>
      </c>
      <c r="M1653" t="s">
        <v>132</v>
      </c>
      <c r="N1653" s="31">
        <f>Project_Data_NYSE[[#This Row],[Gross Profit]]/Project_Data_NYSE[[#This Row],[ Total Revenue ]]</f>
        <v>0.52206029147534438</v>
      </c>
      <c r="O1653" s="31">
        <f>Project_Data_NYSE[[#This Row],[Operating Profit]]/Project_Data_NYSE[[#This Row],[ Total Revenue ]]</f>
        <v>0.18526652026352566</v>
      </c>
    </row>
    <row r="1654" spans="1:15" x14ac:dyDescent="0.2">
      <c r="A1654">
        <v>1723</v>
      </c>
      <c r="B1654" t="s">
        <v>559</v>
      </c>
      <c r="C1654" t="s">
        <v>15</v>
      </c>
      <c r="D1654" s="48">
        <v>42004</v>
      </c>
      <c r="E1654" s="3">
        <v>5281000000</v>
      </c>
      <c r="F1654" s="3">
        <v>2504000000</v>
      </c>
      <c r="G1654" s="3">
        <f>Project_Data_NYSE[[#This Row],[ Total Revenue ]]-Project_Data_NYSE[[#This Row],[ Cost of Goods Sold ]]</f>
        <v>2777000000</v>
      </c>
      <c r="H1654" s="3">
        <v>1557000000</v>
      </c>
      <c r="I1654" s="3">
        <v>0</v>
      </c>
      <c r="J1654" s="3">
        <v>233000000</v>
      </c>
      <c r="K1654" s="3">
        <f>Project_Data_NYSE[[#This Row],[Gross Profit]]-Project_Data_NYSE[[#This Row],[ Sales, General and Admin. ]]-Project_Data_NYSE[[#This Row],[ Research and Development ]]-Project_Data_NYSE[[#This Row],[ Other Operating Items ]]</f>
        <v>987000000</v>
      </c>
      <c r="L1654" t="s">
        <v>18</v>
      </c>
      <c r="M1654" t="s">
        <v>132</v>
      </c>
      <c r="N1654" s="31">
        <f>Project_Data_NYSE[[#This Row],[Gross Profit]]/Project_Data_NYSE[[#This Row],[ Total Revenue ]]</f>
        <v>0.52584737739064569</v>
      </c>
      <c r="O1654" s="31">
        <f>Project_Data_NYSE[[#This Row],[Operating Profit]]/Project_Data_NYSE[[#This Row],[ Total Revenue ]]</f>
        <v>0.1868964211323613</v>
      </c>
    </row>
    <row r="1655" spans="1:15" x14ac:dyDescent="0.2">
      <c r="A1655">
        <v>1724</v>
      </c>
      <c r="B1655" t="s">
        <v>559</v>
      </c>
      <c r="C1655" t="s">
        <v>16</v>
      </c>
      <c r="D1655" s="48">
        <v>42369</v>
      </c>
      <c r="E1655" s="3">
        <v>5536000000</v>
      </c>
      <c r="F1655" s="3">
        <v>2700000000</v>
      </c>
      <c r="G1655" s="3">
        <f>Project_Data_NYSE[[#This Row],[ Total Revenue ]]-Project_Data_NYSE[[#This Row],[ Cost of Goods Sold ]]</f>
        <v>2836000000</v>
      </c>
      <c r="H1655" s="3">
        <v>1574000000</v>
      </c>
      <c r="I1655" s="3">
        <v>0</v>
      </c>
      <c r="J1655" s="3">
        <v>234000000</v>
      </c>
      <c r="K1655" s="3">
        <f>Project_Data_NYSE[[#This Row],[Gross Profit]]-Project_Data_NYSE[[#This Row],[ Sales, General and Admin. ]]-Project_Data_NYSE[[#This Row],[ Research and Development ]]-Project_Data_NYSE[[#This Row],[ Other Operating Items ]]</f>
        <v>1028000000</v>
      </c>
      <c r="L1655" t="s">
        <v>18</v>
      </c>
      <c r="M1655" t="s">
        <v>132</v>
      </c>
      <c r="N1655" s="31">
        <f>Project_Data_NYSE[[#This Row],[Gross Profit]]/Project_Data_NYSE[[#This Row],[ Total Revenue ]]</f>
        <v>0.51228323699421963</v>
      </c>
      <c r="O1655" s="31">
        <f>Project_Data_NYSE[[#This Row],[Operating Profit]]/Project_Data_NYSE[[#This Row],[ Total Revenue ]]</f>
        <v>0.18569364161849711</v>
      </c>
    </row>
    <row r="1656" spans="1:15" x14ac:dyDescent="0.2">
      <c r="A1656">
        <v>1725</v>
      </c>
      <c r="B1656" t="s">
        <v>560</v>
      </c>
      <c r="C1656" t="s">
        <v>11</v>
      </c>
      <c r="D1656" s="48">
        <v>41274</v>
      </c>
      <c r="E1656" s="3">
        <v>5154284000</v>
      </c>
      <c r="F1656" s="3">
        <v>3251575000</v>
      </c>
      <c r="G1656" s="3">
        <f>Project_Data_NYSE[[#This Row],[ Total Revenue ]]-Project_Data_NYSE[[#This Row],[ Cost of Goods Sold ]]</f>
        <v>1902709000</v>
      </c>
      <c r="H1656" s="3">
        <v>481677000</v>
      </c>
      <c r="I1656" s="3">
        <v>0</v>
      </c>
      <c r="J1656" s="3">
        <v>373199000</v>
      </c>
      <c r="K1656" s="3">
        <f>Project_Data_NYSE[[#This Row],[Gross Profit]]-Project_Data_NYSE[[#This Row],[ Sales, General and Admin. ]]-Project_Data_NYSE[[#This Row],[ Research and Development ]]-Project_Data_NYSE[[#This Row],[ Other Operating Items ]]</f>
        <v>1047833000</v>
      </c>
      <c r="L1656" t="s">
        <v>18</v>
      </c>
      <c r="M1656" t="s">
        <v>561</v>
      </c>
      <c r="N1656" s="31">
        <f>Project_Data_NYSE[[#This Row],[Gross Profit]]/Project_Data_NYSE[[#This Row],[ Total Revenue ]]</f>
        <v>0.36915098197926227</v>
      </c>
      <c r="O1656" s="31">
        <f>Project_Data_NYSE[[#This Row],[Operating Profit]]/Project_Data_NYSE[[#This Row],[ Total Revenue ]]</f>
        <v>0.20329360974288571</v>
      </c>
    </row>
    <row r="1657" spans="1:15" x14ac:dyDescent="0.2">
      <c r="A1657">
        <v>1726</v>
      </c>
      <c r="B1657" t="s">
        <v>560</v>
      </c>
      <c r="C1657" t="s">
        <v>14</v>
      </c>
      <c r="D1657" s="48">
        <v>41639</v>
      </c>
      <c r="E1657" s="3">
        <v>5620936000</v>
      </c>
      <c r="F1657" s="3">
        <v>3478822000</v>
      </c>
      <c r="G1657" s="3">
        <f>Project_Data_NYSE[[#This Row],[ Total Revenue ]]-Project_Data_NYSE[[#This Row],[ Cost of Goods Sold ]]</f>
        <v>2142114000</v>
      </c>
      <c r="H1657" s="3">
        <v>465926000</v>
      </c>
      <c r="I1657" s="3">
        <v>0</v>
      </c>
      <c r="J1657" s="3">
        <v>371051000</v>
      </c>
      <c r="K1657" s="3">
        <f>Project_Data_NYSE[[#This Row],[Gross Profit]]-Project_Data_NYSE[[#This Row],[ Sales, General and Admin. ]]-Project_Data_NYSE[[#This Row],[ Research and Development ]]-Project_Data_NYSE[[#This Row],[ Other Operating Items ]]</f>
        <v>1305137000</v>
      </c>
      <c r="L1657" t="s">
        <v>18</v>
      </c>
      <c r="M1657" t="s">
        <v>561</v>
      </c>
      <c r="N1657" s="31">
        <f>Project_Data_NYSE[[#This Row],[Gross Profit]]/Project_Data_NYSE[[#This Row],[ Total Revenue ]]</f>
        <v>0.38109560400616554</v>
      </c>
      <c r="O1657" s="31">
        <f>Project_Data_NYSE[[#This Row],[Operating Profit]]/Project_Data_NYSE[[#This Row],[ Total Revenue ]]</f>
        <v>0.23219211177640164</v>
      </c>
    </row>
    <row r="1658" spans="1:15" x14ac:dyDescent="0.2">
      <c r="A1658">
        <v>1727</v>
      </c>
      <c r="B1658" t="s">
        <v>560</v>
      </c>
      <c r="C1658" t="s">
        <v>15</v>
      </c>
      <c r="D1658" s="48">
        <v>42004</v>
      </c>
      <c r="E1658" s="3">
        <v>5433661000</v>
      </c>
      <c r="F1658" s="3">
        <v>3316311000</v>
      </c>
      <c r="G1658" s="3">
        <f>Project_Data_NYSE[[#This Row],[ Total Revenue ]]-Project_Data_NYSE[[#This Row],[ Cost of Goods Sold ]]</f>
        <v>2117350000</v>
      </c>
      <c r="H1658" s="3">
        <v>502901000</v>
      </c>
      <c r="I1658" s="3">
        <v>0</v>
      </c>
      <c r="J1658" s="3">
        <v>314119000</v>
      </c>
      <c r="K1658" s="3">
        <f>Project_Data_NYSE[[#This Row],[Gross Profit]]-Project_Data_NYSE[[#This Row],[ Sales, General and Admin. ]]-Project_Data_NYSE[[#This Row],[ Research and Development ]]-Project_Data_NYSE[[#This Row],[ Other Operating Items ]]</f>
        <v>1300330000</v>
      </c>
      <c r="L1658" t="s">
        <v>18</v>
      </c>
      <c r="M1658" t="s">
        <v>561</v>
      </c>
      <c r="N1658" s="31">
        <f>Project_Data_NYSE[[#This Row],[Gross Profit]]/Project_Data_NYSE[[#This Row],[ Total Revenue ]]</f>
        <v>0.38967281911771823</v>
      </c>
      <c r="O1658" s="31">
        <f>Project_Data_NYSE[[#This Row],[Operating Profit]]/Project_Data_NYSE[[#This Row],[ Total Revenue ]]</f>
        <v>0.23931010786282031</v>
      </c>
    </row>
    <row r="1659" spans="1:15" x14ac:dyDescent="0.2">
      <c r="A1659">
        <v>1728</v>
      </c>
      <c r="B1659" t="s">
        <v>560</v>
      </c>
      <c r="C1659" t="s">
        <v>16</v>
      </c>
      <c r="D1659" s="48">
        <v>42369</v>
      </c>
      <c r="E1659" s="3">
        <v>4075883000</v>
      </c>
      <c r="F1659" s="3">
        <v>2530374000</v>
      </c>
      <c r="G1659" s="3">
        <f>Project_Data_NYSE[[#This Row],[ Total Revenue ]]-Project_Data_NYSE[[#This Row],[ Cost of Goods Sold ]]</f>
        <v>1545509000</v>
      </c>
      <c r="H1659" s="3">
        <v>475328000</v>
      </c>
      <c r="I1659" s="3">
        <v>0</v>
      </c>
      <c r="J1659" s="3">
        <v>322629000</v>
      </c>
      <c r="K1659" s="3">
        <f>Project_Data_NYSE[[#This Row],[Gross Profit]]-Project_Data_NYSE[[#This Row],[ Sales, General and Admin. ]]-Project_Data_NYSE[[#This Row],[ Research and Development ]]-Project_Data_NYSE[[#This Row],[ Other Operating Items ]]</f>
        <v>747552000</v>
      </c>
      <c r="L1659" t="s">
        <v>18</v>
      </c>
      <c r="M1659" t="s">
        <v>561</v>
      </c>
      <c r="N1659" s="31">
        <f>Project_Data_NYSE[[#This Row],[Gross Profit]]/Project_Data_NYSE[[#This Row],[ Total Revenue ]]</f>
        <v>0.37918384801526445</v>
      </c>
      <c r="O1659" s="31">
        <f>Project_Data_NYSE[[#This Row],[Operating Profit]]/Project_Data_NYSE[[#This Row],[ Total Revenue ]]</f>
        <v>0.18340860127731831</v>
      </c>
    </row>
    <row r="1660" spans="1:15" x14ac:dyDescent="0.2">
      <c r="A1660">
        <v>1729</v>
      </c>
      <c r="B1660" t="s">
        <v>562</v>
      </c>
      <c r="C1660" t="s">
        <v>11</v>
      </c>
      <c r="D1660" s="48">
        <v>41274</v>
      </c>
      <c r="E1660" s="3">
        <v>1623938000</v>
      </c>
      <c r="F1660" s="3">
        <v>337903000</v>
      </c>
      <c r="G1660" s="3">
        <f>Project_Data_NYSE[[#This Row],[ Total Revenue ]]-Project_Data_NYSE[[#This Row],[ Cost of Goods Sold ]]</f>
        <v>1286035000</v>
      </c>
      <c r="H1660" s="3">
        <v>188302000</v>
      </c>
      <c r="I1660" s="3">
        <v>0</v>
      </c>
      <c r="J1660" s="3">
        <v>513916000</v>
      </c>
      <c r="K1660" s="3">
        <f>Project_Data_NYSE[[#This Row],[Gross Profit]]-Project_Data_NYSE[[#This Row],[ Sales, General and Admin. ]]-Project_Data_NYSE[[#This Row],[ Research and Development ]]-Project_Data_NYSE[[#This Row],[ Other Operating Items ]]</f>
        <v>583817000</v>
      </c>
      <c r="L1660" t="s">
        <v>82</v>
      </c>
      <c r="M1660" t="s">
        <v>83</v>
      </c>
      <c r="N1660" s="31">
        <f>Project_Data_NYSE[[#This Row],[Gross Profit]]/Project_Data_NYSE[[#This Row],[ Total Revenue ]]</f>
        <v>0.79192370644692101</v>
      </c>
      <c r="O1660" s="31">
        <f>Project_Data_NYSE[[#This Row],[Operating Profit]]/Project_Data_NYSE[[#This Row],[ Total Revenue ]]</f>
        <v>0.35950695162007418</v>
      </c>
    </row>
    <row r="1661" spans="1:15" x14ac:dyDescent="0.2">
      <c r="A1661">
        <v>1730</v>
      </c>
      <c r="B1661" t="s">
        <v>562</v>
      </c>
      <c r="C1661" t="s">
        <v>14</v>
      </c>
      <c r="D1661" s="48">
        <v>41639</v>
      </c>
      <c r="E1661" s="3">
        <v>1998051000</v>
      </c>
      <c r="F1661" s="3">
        <v>406198000</v>
      </c>
      <c r="G1661" s="3">
        <f>Project_Data_NYSE[[#This Row],[ Total Revenue ]]-Project_Data_NYSE[[#This Row],[ Cost of Goods Sold ]]</f>
        <v>1591853000</v>
      </c>
      <c r="H1661" s="3">
        <v>72143000</v>
      </c>
      <c r="I1661" s="3">
        <v>0</v>
      </c>
      <c r="J1661" s="3">
        <v>615874000</v>
      </c>
      <c r="K1661" s="3">
        <f>Project_Data_NYSE[[#This Row],[Gross Profit]]-Project_Data_NYSE[[#This Row],[ Sales, General and Admin. ]]-Project_Data_NYSE[[#This Row],[ Research and Development ]]-Project_Data_NYSE[[#This Row],[ Other Operating Items ]]</f>
        <v>903836000</v>
      </c>
      <c r="L1661" t="s">
        <v>82</v>
      </c>
      <c r="M1661" t="s">
        <v>83</v>
      </c>
      <c r="N1661" s="31">
        <f>Project_Data_NYSE[[#This Row],[Gross Profit]]/Project_Data_NYSE[[#This Row],[ Total Revenue ]]</f>
        <v>0.79670288696334579</v>
      </c>
      <c r="O1661" s="31">
        <f>Project_Data_NYSE[[#This Row],[Operating Profit]]/Project_Data_NYSE[[#This Row],[ Total Revenue ]]</f>
        <v>0.45235882367366997</v>
      </c>
    </row>
    <row r="1662" spans="1:15" x14ac:dyDescent="0.2">
      <c r="A1662">
        <v>1731</v>
      </c>
      <c r="B1662" t="s">
        <v>562</v>
      </c>
      <c r="C1662" t="s">
        <v>15</v>
      </c>
      <c r="D1662" s="48">
        <v>42004</v>
      </c>
      <c r="E1662" s="3">
        <v>2424176000</v>
      </c>
      <c r="F1662" s="3">
        <v>572831000</v>
      </c>
      <c r="G1662" s="3">
        <f>Project_Data_NYSE[[#This Row],[ Total Revenue ]]-Project_Data_NYSE[[#This Row],[ Cost of Goods Sold ]]</f>
        <v>1851345000</v>
      </c>
      <c r="H1662" s="3">
        <v>225070000</v>
      </c>
      <c r="I1662" s="3">
        <v>0</v>
      </c>
      <c r="J1662" s="3">
        <v>806021000</v>
      </c>
      <c r="K1662" s="3">
        <f>Project_Data_NYSE[[#This Row],[Gross Profit]]-Project_Data_NYSE[[#This Row],[ Sales, General and Admin. ]]-Project_Data_NYSE[[#This Row],[ Research and Development ]]-Project_Data_NYSE[[#This Row],[ Other Operating Items ]]</f>
        <v>820254000</v>
      </c>
      <c r="L1662" t="s">
        <v>82</v>
      </c>
      <c r="M1662" t="s">
        <v>83</v>
      </c>
      <c r="N1662" s="31">
        <f>Project_Data_NYSE[[#This Row],[Gross Profit]]/Project_Data_NYSE[[#This Row],[ Total Revenue ]]</f>
        <v>0.76370073790021842</v>
      </c>
      <c r="O1662" s="31">
        <f>Project_Data_NYSE[[#This Row],[Operating Profit]]/Project_Data_NYSE[[#This Row],[ Total Revenue ]]</f>
        <v>0.33836404617486521</v>
      </c>
    </row>
    <row r="1663" spans="1:15" x14ac:dyDescent="0.2">
      <c r="A1663">
        <v>1732</v>
      </c>
      <c r="B1663" t="s">
        <v>562</v>
      </c>
      <c r="C1663" t="s">
        <v>16</v>
      </c>
      <c r="D1663" s="48">
        <v>42369</v>
      </c>
      <c r="E1663" s="3">
        <v>1452619000</v>
      </c>
      <c r="F1663" s="3">
        <v>519874000</v>
      </c>
      <c r="G1663" s="3">
        <f>Project_Data_NYSE[[#This Row],[ Total Revenue ]]-Project_Data_NYSE[[#This Row],[ Cost of Goods Sold ]]</f>
        <v>932745000</v>
      </c>
      <c r="H1663" s="3">
        <v>179867000</v>
      </c>
      <c r="I1663" s="3">
        <v>0</v>
      </c>
      <c r="J1663" s="3">
        <v>778923000</v>
      </c>
      <c r="K1663" s="3">
        <f>Project_Data_NYSE[[#This Row],[Gross Profit]]-Project_Data_NYSE[[#This Row],[ Sales, General and Admin. ]]-Project_Data_NYSE[[#This Row],[ Research and Development ]]-Project_Data_NYSE[[#This Row],[ Other Operating Items ]]</f>
        <v>-26045000</v>
      </c>
      <c r="L1663" t="s">
        <v>82</v>
      </c>
      <c r="M1663" t="s">
        <v>83</v>
      </c>
      <c r="N1663" s="31">
        <f>Project_Data_NYSE[[#This Row],[Gross Profit]]/Project_Data_NYSE[[#This Row],[ Total Revenue ]]</f>
        <v>0.64211262554048931</v>
      </c>
      <c r="O1663" s="31">
        <f>Project_Data_NYSE[[#This Row],[Operating Profit]]/Project_Data_NYSE[[#This Row],[ Total Revenue ]]</f>
        <v>-1.7929684246178797E-2</v>
      </c>
    </row>
    <row r="1664" spans="1:15" x14ac:dyDescent="0.2">
      <c r="A1664">
        <v>1733</v>
      </c>
      <c r="B1664" t="s">
        <v>563</v>
      </c>
      <c r="C1664" t="s">
        <v>11</v>
      </c>
      <c r="D1664" s="48">
        <v>41274</v>
      </c>
      <c r="E1664" s="3">
        <v>10128223000</v>
      </c>
      <c r="F1664" s="3">
        <v>6710036000</v>
      </c>
      <c r="G1664" s="3">
        <f>Project_Data_NYSE[[#This Row],[ Total Revenue ]]-Project_Data_NYSE[[#This Row],[ Cost of Goods Sold ]]</f>
        <v>3418187000</v>
      </c>
      <c r="H1664" s="3">
        <v>669451000</v>
      </c>
      <c r="I1664" s="3">
        <v>0</v>
      </c>
      <c r="J1664" s="3">
        <v>926053000</v>
      </c>
      <c r="K1664" s="3">
        <f>Project_Data_NYSE[[#This Row],[Gross Profit]]-Project_Data_NYSE[[#This Row],[ Sales, General and Admin. ]]-Project_Data_NYSE[[#This Row],[ Research and Development ]]-Project_Data_NYSE[[#This Row],[ Other Operating Items ]]</f>
        <v>1822683000</v>
      </c>
      <c r="L1664" t="s">
        <v>41</v>
      </c>
      <c r="M1664" t="s">
        <v>42</v>
      </c>
      <c r="N1664" s="31">
        <f>Project_Data_NYSE[[#This Row],[Gross Profit]]/Project_Data_NYSE[[#This Row],[ Total Revenue ]]</f>
        <v>0.3374912854900608</v>
      </c>
      <c r="O1664" s="31">
        <f>Project_Data_NYSE[[#This Row],[Operating Profit]]/Project_Data_NYSE[[#This Row],[ Total Revenue ]]</f>
        <v>0.17996078877805119</v>
      </c>
    </row>
    <row r="1665" spans="1:15" x14ac:dyDescent="0.2">
      <c r="A1665">
        <v>1734</v>
      </c>
      <c r="B1665" t="s">
        <v>563</v>
      </c>
      <c r="C1665" t="s">
        <v>14</v>
      </c>
      <c r="D1665" s="48">
        <v>41639</v>
      </c>
      <c r="E1665" s="3">
        <v>10914922000</v>
      </c>
      <c r="F1665" s="3">
        <v>7408278000</v>
      </c>
      <c r="G1665" s="3">
        <f>Project_Data_NYSE[[#This Row],[ Total Revenue ]]-Project_Data_NYSE[[#This Row],[ Cost of Goods Sold ]]</f>
        <v>3506644000</v>
      </c>
      <c r="H1665" s="3">
        <v>681226000</v>
      </c>
      <c r="I1665" s="3">
        <v>0</v>
      </c>
      <c r="J1665" s="3">
        <v>977863000</v>
      </c>
      <c r="K1665" s="3">
        <f>Project_Data_NYSE[[#This Row],[Gross Profit]]-Project_Data_NYSE[[#This Row],[ Sales, General and Admin. ]]-Project_Data_NYSE[[#This Row],[ Research and Development ]]-Project_Data_NYSE[[#This Row],[ Other Operating Items ]]</f>
        <v>1847555000</v>
      </c>
      <c r="L1665" t="s">
        <v>41</v>
      </c>
      <c r="M1665" t="s">
        <v>42</v>
      </c>
      <c r="N1665" s="31">
        <f>Project_Data_NYSE[[#This Row],[Gross Profit]]/Project_Data_NYSE[[#This Row],[ Total Revenue ]]</f>
        <v>0.3212706421539247</v>
      </c>
      <c r="O1665" s="31">
        <f>Project_Data_NYSE[[#This Row],[Operating Profit]]/Project_Data_NYSE[[#This Row],[ Total Revenue ]]</f>
        <v>0.16926873137526774</v>
      </c>
    </row>
    <row r="1666" spans="1:15" x14ac:dyDescent="0.2">
      <c r="A1666">
        <v>1735</v>
      </c>
      <c r="B1666" t="s">
        <v>563</v>
      </c>
      <c r="C1666" t="s">
        <v>15</v>
      </c>
      <c r="D1666" s="48">
        <v>42004</v>
      </c>
      <c r="E1666" s="3">
        <v>11686135000</v>
      </c>
      <c r="F1666" s="3">
        <v>7951352000</v>
      </c>
      <c r="G1666" s="3">
        <f>Project_Data_NYSE[[#This Row],[ Total Revenue ]]-Project_Data_NYSE[[#This Row],[ Cost of Goods Sold ]]</f>
        <v>3734783000</v>
      </c>
      <c r="H1666" s="3">
        <v>767608000</v>
      </c>
      <c r="I1666" s="3">
        <v>0</v>
      </c>
      <c r="J1666" s="3">
        <v>1019045000</v>
      </c>
      <c r="K1666" s="3">
        <f>Project_Data_NYSE[[#This Row],[Gross Profit]]-Project_Data_NYSE[[#This Row],[ Sales, General and Admin. ]]-Project_Data_NYSE[[#This Row],[ Research and Development ]]-Project_Data_NYSE[[#This Row],[ Other Operating Items ]]</f>
        <v>1948130000</v>
      </c>
      <c r="L1666" t="s">
        <v>41</v>
      </c>
      <c r="M1666" t="s">
        <v>42</v>
      </c>
      <c r="N1666" s="31">
        <f>Project_Data_NYSE[[#This Row],[Gross Profit]]/Project_Data_NYSE[[#This Row],[ Total Revenue ]]</f>
        <v>0.31959095115707631</v>
      </c>
      <c r="O1666" s="31">
        <f>Project_Data_NYSE[[#This Row],[Operating Profit]]/Project_Data_NYSE[[#This Row],[ Total Revenue ]]</f>
        <v>0.16670438943243424</v>
      </c>
    </row>
    <row r="1667" spans="1:15" x14ac:dyDescent="0.2">
      <c r="A1667">
        <v>1736</v>
      </c>
      <c r="B1667" t="s">
        <v>563</v>
      </c>
      <c r="C1667" t="s">
        <v>16</v>
      </c>
      <c r="D1667" s="48">
        <v>42369</v>
      </c>
      <c r="E1667" s="3">
        <v>11024486000</v>
      </c>
      <c r="F1667" s="3">
        <v>7033633000</v>
      </c>
      <c r="G1667" s="3">
        <f>Project_Data_NYSE[[#This Row],[ Total Revenue ]]-Project_Data_NYSE[[#This Row],[ Cost of Goods Sold ]]</f>
        <v>3990853000</v>
      </c>
      <c r="H1667" s="3">
        <v>865817000</v>
      </c>
      <c r="I1667" s="3">
        <v>0</v>
      </c>
      <c r="J1667" s="3">
        <v>1124524000</v>
      </c>
      <c r="K1667" s="3">
        <f>Project_Data_NYSE[[#This Row],[Gross Profit]]-Project_Data_NYSE[[#This Row],[ Sales, General and Admin. ]]-Project_Data_NYSE[[#This Row],[ Research and Development ]]-Project_Data_NYSE[[#This Row],[ Other Operating Items ]]</f>
        <v>2000512000</v>
      </c>
      <c r="L1667" t="s">
        <v>41</v>
      </c>
      <c r="M1667" t="s">
        <v>42</v>
      </c>
      <c r="N1667" s="31">
        <f>Project_Data_NYSE[[#This Row],[Gross Profit]]/Project_Data_NYSE[[#This Row],[ Total Revenue ]]</f>
        <v>0.36199900838914395</v>
      </c>
      <c r="O1667" s="31">
        <f>Project_Data_NYSE[[#This Row],[Operating Profit]]/Project_Data_NYSE[[#This Row],[ Total Revenue ]]</f>
        <v>0.1814607955418511</v>
      </c>
    </row>
    <row r="1668" spans="1:15" x14ac:dyDescent="0.2">
      <c r="A1668">
        <v>1737</v>
      </c>
      <c r="B1668" t="s">
        <v>564</v>
      </c>
      <c r="C1668" t="s">
        <v>11</v>
      </c>
      <c r="D1668" s="48">
        <v>41274</v>
      </c>
      <c r="E1668" s="3">
        <v>7232397000</v>
      </c>
      <c r="F1668" s="3">
        <v>5165169000</v>
      </c>
      <c r="G1668" s="3">
        <f>Project_Data_NYSE[[#This Row],[ Total Revenue ]]-Project_Data_NYSE[[#This Row],[ Cost of Goods Sold ]]</f>
        <v>2067228000</v>
      </c>
      <c r="H1668" s="3">
        <v>0</v>
      </c>
      <c r="I1668" s="3">
        <v>0</v>
      </c>
      <c r="J1668" s="3">
        <v>1173955000</v>
      </c>
      <c r="K1668" s="3">
        <f>Project_Data_NYSE[[#This Row],[Gross Profit]]-Project_Data_NYSE[[#This Row],[ Sales, General and Admin. ]]-Project_Data_NYSE[[#This Row],[ Research and Development ]]-Project_Data_NYSE[[#This Row],[ Other Operating Items ]]</f>
        <v>893273000</v>
      </c>
      <c r="L1668" t="s">
        <v>46</v>
      </c>
      <c r="M1668" t="s">
        <v>49</v>
      </c>
      <c r="N1668" s="31">
        <f>Project_Data_NYSE[[#This Row],[Gross Profit]]/Project_Data_NYSE[[#This Row],[ Total Revenue ]]</f>
        <v>0.28582888909444543</v>
      </c>
      <c r="O1668" s="31">
        <f>Project_Data_NYSE[[#This Row],[Operating Profit]]/Project_Data_NYSE[[#This Row],[ Total Revenue ]]</f>
        <v>0.12350995112685324</v>
      </c>
    </row>
    <row r="1669" spans="1:15" x14ac:dyDescent="0.2">
      <c r="A1669">
        <v>1738</v>
      </c>
      <c r="B1669" t="s">
        <v>564</v>
      </c>
      <c r="C1669" t="s">
        <v>14</v>
      </c>
      <c r="D1669" s="48">
        <v>41639</v>
      </c>
      <c r="E1669" s="3">
        <v>7541234000</v>
      </c>
      <c r="F1669" s="3">
        <v>5106489000</v>
      </c>
      <c r="G1669" s="3">
        <f>Project_Data_NYSE[[#This Row],[ Total Revenue ]]-Project_Data_NYSE[[#This Row],[ Cost of Goods Sold ]]</f>
        <v>2434745000</v>
      </c>
      <c r="H1669" s="3">
        <v>0</v>
      </c>
      <c r="I1669" s="3">
        <v>0</v>
      </c>
      <c r="J1669" s="3">
        <v>1213178000</v>
      </c>
      <c r="K1669" s="3">
        <f>Project_Data_NYSE[[#This Row],[Gross Profit]]-Project_Data_NYSE[[#This Row],[ Sales, General and Admin. ]]-Project_Data_NYSE[[#This Row],[ Research and Development ]]-Project_Data_NYSE[[#This Row],[ Other Operating Items ]]</f>
        <v>1221567000</v>
      </c>
      <c r="L1669" t="s">
        <v>46</v>
      </c>
      <c r="M1669" t="s">
        <v>49</v>
      </c>
      <c r="N1669" s="31">
        <f>Project_Data_NYSE[[#This Row],[Gross Profit]]/Project_Data_NYSE[[#This Row],[ Total Revenue ]]</f>
        <v>0.32285763841832782</v>
      </c>
      <c r="O1669" s="31">
        <f>Project_Data_NYSE[[#This Row],[Operating Profit]]/Project_Data_NYSE[[#This Row],[ Total Revenue ]]</f>
        <v>0.16198502791452965</v>
      </c>
    </row>
    <row r="1670" spans="1:15" x14ac:dyDescent="0.2">
      <c r="A1670">
        <v>1739</v>
      </c>
      <c r="B1670" t="s">
        <v>564</v>
      </c>
      <c r="C1670" t="s">
        <v>15</v>
      </c>
      <c r="D1670" s="48">
        <v>42004</v>
      </c>
      <c r="E1670" s="3">
        <v>6602267000</v>
      </c>
      <c r="F1670" s="3">
        <v>4239474000</v>
      </c>
      <c r="G1670" s="3">
        <f>Project_Data_NYSE[[#This Row],[ Total Revenue ]]-Project_Data_NYSE[[#This Row],[ Cost of Goods Sold ]]</f>
        <v>2362793000</v>
      </c>
      <c r="H1670" s="3">
        <v>0</v>
      </c>
      <c r="I1670" s="3">
        <v>0</v>
      </c>
      <c r="J1670" s="3">
        <v>1341315000</v>
      </c>
      <c r="K1670" s="3">
        <f>Project_Data_NYSE[[#This Row],[Gross Profit]]-Project_Data_NYSE[[#This Row],[ Sales, General and Admin. ]]-Project_Data_NYSE[[#This Row],[ Research and Development ]]-Project_Data_NYSE[[#This Row],[ Other Operating Items ]]</f>
        <v>1021478000</v>
      </c>
      <c r="L1670" t="s">
        <v>46</v>
      </c>
      <c r="M1670" t="s">
        <v>49</v>
      </c>
      <c r="N1670" s="31">
        <f>Project_Data_NYSE[[#This Row],[Gross Profit]]/Project_Data_NYSE[[#This Row],[ Total Revenue ]]</f>
        <v>0.35787601440535499</v>
      </c>
      <c r="O1670" s="31">
        <f>Project_Data_NYSE[[#This Row],[Operating Profit]]/Project_Data_NYSE[[#This Row],[ Total Revenue ]]</f>
        <v>0.15471625125127475</v>
      </c>
    </row>
    <row r="1671" spans="1:15" x14ac:dyDescent="0.2">
      <c r="A1671">
        <v>1740</v>
      </c>
      <c r="B1671" t="s">
        <v>564</v>
      </c>
      <c r="C1671" t="s">
        <v>16</v>
      </c>
      <c r="D1671" s="48">
        <v>42369</v>
      </c>
      <c r="E1671" s="3">
        <v>9308926000</v>
      </c>
      <c r="F1671" s="3">
        <v>6199645000</v>
      </c>
      <c r="G1671" s="3">
        <f>Project_Data_NYSE[[#This Row],[ Total Revenue ]]-Project_Data_NYSE[[#This Row],[ Cost of Goods Sold ]]</f>
        <v>3109281000</v>
      </c>
      <c r="H1671" s="3">
        <v>0</v>
      </c>
      <c r="I1671" s="3">
        <v>0</v>
      </c>
      <c r="J1671" s="3">
        <v>1966939000</v>
      </c>
      <c r="K1671" s="3">
        <f>Project_Data_NYSE[[#This Row],[Gross Profit]]-Project_Data_NYSE[[#This Row],[ Sales, General and Admin. ]]-Project_Data_NYSE[[#This Row],[ Research and Development ]]-Project_Data_NYSE[[#This Row],[ Other Operating Items ]]</f>
        <v>1142342000</v>
      </c>
      <c r="L1671" t="s">
        <v>46</v>
      </c>
      <c r="M1671" t="s">
        <v>49</v>
      </c>
      <c r="N1671" s="31">
        <f>Project_Data_NYSE[[#This Row],[Gross Profit]]/Project_Data_NYSE[[#This Row],[ Total Revenue ]]</f>
        <v>0.33401071186944659</v>
      </c>
      <c r="O1671" s="31">
        <f>Project_Data_NYSE[[#This Row],[Operating Profit]]/Project_Data_NYSE[[#This Row],[ Total Revenue ]]</f>
        <v>0.12271469340286946</v>
      </c>
    </row>
    <row r="1672" spans="1:15" x14ac:dyDescent="0.2">
      <c r="A1672">
        <v>1741</v>
      </c>
      <c r="B1672" t="s">
        <v>565</v>
      </c>
      <c r="C1672" t="s">
        <v>11</v>
      </c>
      <c r="D1672" s="48">
        <v>41363</v>
      </c>
      <c r="E1672" s="3">
        <v>2168652000</v>
      </c>
      <c r="F1672" s="3">
        <v>737206000</v>
      </c>
      <c r="G1672" s="3">
        <f>Project_Data_NYSE[[#This Row],[ Total Revenue ]]-Project_Data_NYSE[[#This Row],[ Cost of Goods Sold ]]</f>
        <v>1431446000</v>
      </c>
      <c r="H1672" s="3">
        <v>365684000</v>
      </c>
      <c r="I1672" s="3">
        <v>475522000</v>
      </c>
      <c r="J1672" s="3">
        <v>9508000</v>
      </c>
      <c r="K1672" s="3">
        <f>Project_Data_NYSE[[#This Row],[Gross Profit]]-Project_Data_NYSE[[#This Row],[ Sales, General and Admin. ]]-Project_Data_NYSE[[#This Row],[ Research and Development ]]-Project_Data_NYSE[[#This Row],[ Other Operating Items ]]</f>
        <v>580732000</v>
      </c>
      <c r="L1672" t="s">
        <v>21</v>
      </c>
      <c r="M1672" t="s">
        <v>33</v>
      </c>
      <c r="N1672" s="31">
        <f>Project_Data_NYSE[[#This Row],[Gross Profit]]/Project_Data_NYSE[[#This Row],[ Total Revenue ]]</f>
        <v>0.66006256421039433</v>
      </c>
      <c r="O1672" s="31">
        <f>Project_Data_NYSE[[#This Row],[Operating Profit]]/Project_Data_NYSE[[#This Row],[ Total Revenue ]]</f>
        <v>0.26778478059181465</v>
      </c>
    </row>
    <row r="1673" spans="1:15" x14ac:dyDescent="0.2">
      <c r="A1673">
        <v>1742</v>
      </c>
      <c r="B1673" t="s">
        <v>565</v>
      </c>
      <c r="C1673" t="s">
        <v>14</v>
      </c>
      <c r="D1673" s="48">
        <v>41727</v>
      </c>
      <c r="E1673" s="3">
        <v>2382531000</v>
      </c>
      <c r="F1673" s="3">
        <v>743253000</v>
      </c>
      <c r="G1673" s="3">
        <f>Project_Data_NYSE[[#This Row],[ Total Revenue ]]-Project_Data_NYSE[[#This Row],[ Cost of Goods Sold ]]</f>
        <v>1639278000</v>
      </c>
      <c r="H1673" s="3">
        <v>378607000</v>
      </c>
      <c r="I1673" s="3">
        <v>492447000</v>
      </c>
      <c r="J1673" s="3">
        <v>9887000</v>
      </c>
      <c r="K1673" s="3">
        <f>Project_Data_NYSE[[#This Row],[Gross Profit]]-Project_Data_NYSE[[#This Row],[ Sales, General and Admin. ]]-Project_Data_NYSE[[#This Row],[ Research and Development ]]-Project_Data_NYSE[[#This Row],[ Other Operating Items ]]</f>
        <v>758337000</v>
      </c>
      <c r="L1673" t="s">
        <v>21</v>
      </c>
      <c r="M1673" t="s">
        <v>33</v>
      </c>
      <c r="N1673" s="31">
        <f>Project_Data_NYSE[[#This Row],[Gross Profit]]/Project_Data_NYSE[[#This Row],[ Total Revenue ]]</f>
        <v>0.68804057533773955</v>
      </c>
      <c r="O1673" s="31">
        <f>Project_Data_NYSE[[#This Row],[Operating Profit]]/Project_Data_NYSE[[#This Row],[ Total Revenue ]]</f>
        <v>0.3182905070280303</v>
      </c>
    </row>
    <row r="1674" spans="1:15" x14ac:dyDescent="0.2">
      <c r="A1674">
        <v>1743</v>
      </c>
      <c r="B1674" t="s">
        <v>565</v>
      </c>
      <c r="C1674" t="s">
        <v>15</v>
      </c>
      <c r="D1674" s="48">
        <v>42091</v>
      </c>
      <c r="E1674" s="3">
        <v>2377344000</v>
      </c>
      <c r="F1674" s="3">
        <v>708823000</v>
      </c>
      <c r="G1674" s="3">
        <f>Project_Data_NYSE[[#This Row],[ Total Revenue ]]-Project_Data_NYSE[[#This Row],[ Cost of Goods Sold ]]</f>
        <v>1668521000</v>
      </c>
      <c r="H1674" s="3">
        <v>353670000</v>
      </c>
      <c r="I1674" s="3">
        <v>525745000</v>
      </c>
      <c r="J1674" s="3">
        <v>9537000</v>
      </c>
      <c r="K1674" s="3">
        <f>Project_Data_NYSE[[#This Row],[Gross Profit]]-Project_Data_NYSE[[#This Row],[ Sales, General and Admin. ]]-Project_Data_NYSE[[#This Row],[ Research and Development ]]-Project_Data_NYSE[[#This Row],[ Other Operating Items ]]</f>
        <v>779569000</v>
      </c>
      <c r="L1674" t="s">
        <v>21</v>
      </c>
      <c r="M1674" t="s">
        <v>33</v>
      </c>
      <c r="N1674" s="31">
        <f>Project_Data_NYSE[[#This Row],[Gross Profit]]/Project_Data_NYSE[[#This Row],[ Total Revenue ]]</f>
        <v>0.70184247630969687</v>
      </c>
      <c r="O1674" s="31">
        <f>Project_Data_NYSE[[#This Row],[Operating Profit]]/Project_Data_NYSE[[#This Row],[ Total Revenue ]]</f>
        <v>0.32791594317019329</v>
      </c>
    </row>
    <row r="1675" spans="1:15" x14ac:dyDescent="0.2">
      <c r="A1675">
        <v>1744</v>
      </c>
      <c r="B1675" t="s">
        <v>565</v>
      </c>
      <c r="C1675" t="s">
        <v>16</v>
      </c>
      <c r="D1675" s="48">
        <v>42462</v>
      </c>
      <c r="E1675" s="3">
        <v>2213881000</v>
      </c>
      <c r="F1675" s="3">
        <v>671907000</v>
      </c>
      <c r="G1675" s="3">
        <f>Project_Data_NYSE[[#This Row],[ Total Revenue ]]-Project_Data_NYSE[[#This Row],[ Cost of Goods Sold ]]</f>
        <v>1541974000</v>
      </c>
      <c r="H1675" s="3">
        <v>331652000</v>
      </c>
      <c r="I1675" s="3">
        <v>533891000</v>
      </c>
      <c r="J1675" s="3">
        <v>6550000</v>
      </c>
      <c r="K1675" s="3">
        <f>Project_Data_NYSE[[#This Row],[Gross Profit]]-Project_Data_NYSE[[#This Row],[ Sales, General and Admin. ]]-Project_Data_NYSE[[#This Row],[ Research and Development ]]-Project_Data_NYSE[[#This Row],[ Other Operating Items ]]</f>
        <v>669881000</v>
      </c>
      <c r="L1675" t="s">
        <v>21</v>
      </c>
      <c r="M1675" t="s">
        <v>33</v>
      </c>
      <c r="N1675" s="31">
        <f>Project_Data_NYSE[[#This Row],[Gross Profit]]/Project_Data_NYSE[[#This Row],[ Total Revenue ]]</f>
        <v>0.69650265755024776</v>
      </c>
      <c r="O1675" s="31">
        <f>Project_Data_NYSE[[#This Row],[Operating Profit]]/Project_Data_NYSE[[#This Row],[ Total Revenue ]]</f>
        <v>0.30258220744475428</v>
      </c>
    </row>
    <row r="1676" spans="1:15" x14ac:dyDescent="0.2">
      <c r="A1676">
        <v>1745</v>
      </c>
      <c r="B1676" t="s">
        <v>566</v>
      </c>
      <c r="C1676" t="s">
        <v>11</v>
      </c>
      <c r="D1676" s="48">
        <v>41274</v>
      </c>
      <c r="E1676" s="3">
        <v>451509000000</v>
      </c>
      <c r="F1676" s="3">
        <v>302056000000</v>
      </c>
      <c r="G1676" s="3">
        <f>Project_Data_NYSE[[#This Row],[ Total Revenue ]]-Project_Data_NYSE[[#This Row],[ Cost of Goods Sold ]]</f>
        <v>149453000000</v>
      </c>
      <c r="H1676" s="3">
        <v>81844000000</v>
      </c>
      <c r="I1676" s="3">
        <v>0</v>
      </c>
      <c r="J1676" s="3">
        <v>15888000000</v>
      </c>
      <c r="K1676" s="3">
        <f>Project_Data_NYSE[[#This Row],[Gross Profit]]-Project_Data_NYSE[[#This Row],[ Sales, General and Admin. ]]-Project_Data_NYSE[[#This Row],[ Research and Development ]]-Project_Data_NYSE[[#This Row],[ Other Operating Items ]]</f>
        <v>51721000000</v>
      </c>
      <c r="L1676" t="s">
        <v>82</v>
      </c>
      <c r="M1676" t="s">
        <v>143</v>
      </c>
      <c r="N1676" s="31">
        <f>Project_Data_NYSE[[#This Row],[Gross Profit]]/Project_Data_NYSE[[#This Row],[ Total Revenue ]]</f>
        <v>0.33100779829416466</v>
      </c>
      <c r="O1676" s="31">
        <f>Project_Data_NYSE[[#This Row],[Operating Profit]]/Project_Data_NYSE[[#This Row],[ Total Revenue ]]</f>
        <v>0.11455142643889712</v>
      </c>
    </row>
    <row r="1677" spans="1:15" x14ac:dyDescent="0.2">
      <c r="A1677">
        <v>1746</v>
      </c>
      <c r="B1677" t="s">
        <v>566</v>
      </c>
      <c r="C1677" t="s">
        <v>14</v>
      </c>
      <c r="D1677" s="48">
        <v>41639</v>
      </c>
      <c r="E1677" s="3">
        <v>420836000000</v>
      </c>
      <c r="F1677" s="3">
        <v>284681000000</v>
      </c>
      <c r="G1677" s="3">
        <f>Project_Data_NYSE[[#This Row],[ Total Revenue ]]-Project_Data_NYSE[[#This Row],[ Cost of Goods Sold ]]</f>
        <v>136155000000</v>
      </c>
      <c r="H1677" s="3">
        <v>76696000000</v>
      </c>
      <c r="I1677" s="3">
        <v>0</v>
      </c>
      <c r="J1677" s="3">
        <v>17182000000</v>
      </c>
      <c r="K1677" s="3">
        <f>Project_Data_NYSE[[#This Row],[Gross Profit]]-Project_Data_NYSE[[#This Row],[ Sales, General and Admin. ]]-Project_Data_NYSE[[#This Row],[ Research and Development ]]-Project_Data_NYSE[[#This Row],[ Other Operating Items ]]</f>
        <v>42277000000</v>
      </c>
      <c r="L1677" t="s">
        <v>82</v>
      </c>
      <c r="M1677" t="s">
        <v>143</v>
      </c>
      <c r="N1677" s="31">
        <f>Project_Data_NYSE[[#This Row],[Gross Profit]]/Project_Data_NYSE[[#This Row],[ Total Revenue ]]</f>
        <v>0.323534583543233</v>
      </c>
      <c r="O1677" s="31">
        <f>Project_Data_NYSE[[#This Row],[Operating Profit]]/Project_Data_NYSE[[#This Row],[ Total Revenue ]]</f>
        <v>0.10045956144436312</v>
      </c>
    </row>
    <row r="1678" spans="1:15" x14ac:dyDescent="0.2">
      <c r="A1678">
        <v>1747</v>
      </c>
      <c r="B1678" t="s">
        <v>566</v>
      </c>
      <c r="C1678" t="s">
        <v>15</v>
      </c>
      <c r="D1678" s="48">
        <v>42004</v>
      </c>
      <c r="E1678" s="3">
        <v>394105000000</v>
      </c>
      <c r="F1678" s="3">
        <v>266831000000</v>
      </c>
      <c r="G1678" s="3">
        <f>Project_Data_NYSE[[#This Row],[ Total Revenue ]]-Project_Data_NYSE[[#This Row],[ Cost of Goods Sold ]]</f>
        <v>127274000000</v>
      </c>
      <c r="H1678" s="3">
        <v>74226000000</v>
      </c>
      <c r="I1678" s="3">
        <v>0</v>
      </c>
      <c r="J1678" s="3">
        <v>17297000000</v>
      </c>
      <c r="K1678" s="3">
        <f>Project_Data_NYSE[[#This Row],[Gross Profit]]-Project_Data_NYSE[[#This Row],[ Sales, General and Admin. ]]-Project_Data_NYSE[[#This Row],[ Research and Development ]]-Project_Data_NYSE[[#This Row],[ Other Operating Items ]]</f>
        <v>35751000000</v>
      </c>
      <c r="L1678" t="s">
        <v>82</v>
      </c>
      <c r="M1678" t="s">
        <v>143</v>
      </c>
      <c r="N1678" s="31">
        <f>Project_Data_NYSE[[#This Row],[Gross Profit]]/Project_Data_NYSE[[#This Row],[ Total Revenue ]]</f>
        <v>0.3229443929917154</v>
      </c>
      <c r="O1678" s="31">
        <f>Project_Data_NYSE[[#This Row],[Operating Profit]]/Project_Data_NYSE[[#This Row],[ Total Revenue ]]</f>
        <v>9.0714403521904061E-2</v>
      </c>
    </row>
    <row r="1679" spans="1:15" x14ac:dyDescent="0.2">
      <c r="A1679">
        <v>1748</v>
      </c>
      <c r="B1679" t="s">
        <v>566</v>
      </c>
      <c r="C1679" t="s">
        <v>16</v>
      </c>
      <c r="D1679" s="48">
        <v>42369</v>
      </c>
      <c r="E1679" s="3">
        <v>259488000000</v>
      </c>
      <c r="F1679" s="3">
        <v>165590000000</v>
      </c>
      <c r="G1679" s="3">
        <f>Project_Data_NYSE[[#This Row],[ Total Revenue ]]-Project_Data_NYSE[[#This Row],[ Cost of Goods Sold ]]</f>
        <v>93898000000</v>
      </c>
      <c r="H1679" s="3">
        <v>61444000000</v>
      </c>
      <c r="I1679" s="3">
        <v>0</v>
      </c>
      <c r="J1679" s="3">
        <v>18048000000</v>
      </c>
      <c r="K1679" s="3">
        <f>Project_Data_NYSE[[#This Row],[Gross Profit]]-Project_Data_NYSE[[#This Row],[ Sales, General and Admin. ]]-Project_Data_NYSE[[#This Row],[ Research and Development ]]-Project_Data_NYSE[[#This Row],[ Other Operating Items ]]</f>
        <v>14406000000</v>
      </c>
      <c r="L1679" t="s">
        <v>82</v>
      </c>
      <c r="M1679" t="s">
        <v>143</v>
      </c>
      <c r="N1679" s="31">
        <f>Project_Data_NYSE[[#This Row],[Gross Profit]]/Project_Data_NYSE[[#This Row],[ Total Revenue ]]</f>
        <v>0.36185873720557404</v>
      </c>
      <c r="O1679" s="31">
        <f>Project_Data_NYSE[[#This Row],[Operating Profit]]/Project_Data_NYSE[[#This Row],[ Total Revenue ]]</f>
        <v>5.551701812800592E-2</v>
      </c>
    </row>
    <row r="1680" spans="1:15" x14ac:dyDescent="0.2">
      <c r="A1680">
        <v>92</v>
      </c>
      <c r="B1680" t="s">
        <v>64</v>
      </c>
      <c r="C1680" t="s">
        <v>11</v>
      </c>
      <c r="D1680" s="48">
        <v>41639</v>
      </c>
      <c r="E1680" s="3">
        <v>1551346000</v>
      </c>
      <c r="F1680" s="3">
        <v>177556000</v>
      </c>
      <c r="G1680" s="3">
        <f>Project_Data_NYSE[[#This Row],[ Total Revenue ]]-Project_Data_NYSE[[#This Row],[ Cost of Goods Sold ]]</f>
        <v>1373790000</v>
      </c>
      <c r="H1680" s="3">
        <v>493726000</v>
      </c>
      <c r="I1680" s="3">
        <v>317093000</v>
      </c>
      <c r="J1680" s="3">
        <v>417000</v>
      </c>
      <c r="K1680" s="3">
        <f>Project_Data_NYSE[[#This Row],[Gross Profit]]-Project_Data_NYSE[[#This Row],[ Sales, General and Admin. ]]-Project_Data_NYSE[[#This Row],[ Research and Development ]]-Project_Data_NYSE[[#This Row],[ Other Operating Items ]]</f>
        <v>562554000</v>
      </c>
      <c r="L1680" t="s">
        <v>24</v>
      </c>
      <c r="M1680" t="s">
        <v>65</v>
      </c>
      <c r="N1680" s="31">
        <f>Project_Data_NYSE[[#This Row],[Gross Profit]]/Project_Data_NYSE[[#This Row],[ Total Revenue ]]</f>
        <v>0.88554713132982588</v>
      </c>
      <c r="O1680" s="31">
        <f>Project_Data_NYSE[[#This Row],[Operating Profit]]/Project_Data_NYSE[[#This Row],[ Total Revenue ]]</f>
        <v>0.36262316723670929</v>
      </c>
    </row>
    <row r="1681" spans="1:15" x14ac:dyDescent="0.2">
      <c r="A1681">
        <v>859</v>
      </c>
      <c r="B1681" t="s">
        <v>324</v>
      </c>
      <c r="C1681" t="s">
        <v>11</v>
      </c>
      <c r="D1681" s="48">
        <v>41639</v>
      </c>
      <c r="E1681" s="3">
        <v>2265100000</v>
      </c>
      <c r="F1681" s="3">
        <v>670900000</v>
      </c>
      <c r="G1681" s="3">
        <f>Project_Data_NYSE[[#This Row],[ Total Revenue ]]-Project_Data_NYSE[[#This Row],[ Cost of Goods Sold ]]</f>
        <v>1594200000</v>
      </c>
      <c r="H1681" s="3">
        <v>574000000</v>
      </c>
      <c r="I1681" s="3">
        <v>167700000</v>
      </c>
      <c r="J1681" s="3">
        <v>0</v>
      </c>
      <c r="K1681" s="3">
        <f>Project_Data_NYSE[[#This Row],[Gross Profit]]-Project_Data_NYSE[[#This Row],[ Sales, General and Admin. ]]-Project_Data_NYSE[[#This Row],[ Research and Development ]]-Project_Data_NYSE[[#This Row],[ Other Operating Items ]]</f>
        <v>852500000</v>
      </c>
      <c r="L1681" t="s">
        <v>24</v>
      </c>
      <c r="M1681" t="s">
        <v>29</v>
      </c>
      <c r="N1681" s="31">
        <f>Project_Data_NYSE[[#This Row],[Gross Profit]]/Project_Data_NYSE[[#This Row],[ Total Revenue ]]</f>
        <v>0.70380998631406999</v>
      </c>
      <c r="O1681" s="31">
        <f>Project_Data_NYSE[[#This Row],[Operating Profit]]/Project_Data_NYSE[[#This Row],[ Total Revenue ]]</f>
        <v>0.37636307447794798</v>
      </c>
    </row>
    <row r="1682" spans="1:15" x14ac:dyDescent="0.2">
      <c r="A1682">
        <v>110</v>
      </c>
      <c r="B1682" t="s">
        <v>70</v>
      </c>
      <c r="C1682" t="s">
        <v>15</v>
      </c>
      <c r="D1682" s="48">
        <v>42369</v>
      </c>
      <c r="E1682" s="3">
        <v>21662000000</v>
      </c>
      <c r="F1682" s="3">
        <v>4227000000</v>
      </c>
      <c r="G1682" s="3">
        <f>Project_Data_NYSE[[#This Row],[ Total Revenue ]]-Project_Data_NYSE[[#This Row],[ Cost of Goods Sold ]]</f>
        <v>17435000000</v>
      </c>
      <c r="H1682" s="3">
        <v>4895000000</v>
      </c>
      <c r="I1682" s="3">
        <v>4070000000</v>
      </c>
      <c r="J1682" s="3">
        <v>0</v>
      </c>
      <c r="K1682" s="3">
        <f>Project_Data_NYSE[[#This Row],[Gross Profit]]-Project_Data_NYSE[[#This Row],[ Sales, General and Admin. ]]-Project_Data_NYSE[[#This Row],[ Research and Development ]]-Project_Data_NYSE[[#This Row],[ Other Operating Items ]]</f>
        <v>8470000000</v>
      </c>
      <c r="L1682" t="s">
        <v>24</v>
      </c>
      <c r="M1682" t="s">
        <v>65</v>
      </c>
      <c r="N1682" s="31">
        <f>Project_Data_NYSE[[#This Row],[Gross Profit]]/Project_Data_NYSE[[#This Row],[ Total Revenue ]]</f>
        <v>0.80486566337364973</v>
      </c>
      <c r="O1682" s="31">
        <f>Project_Data_NYSE[[#This Row],[Operating Profit]]/Project_Data_NYSE[[#This Row],[ Total Revenue ]]</f>
        <v>0.39100729387868155</v>
      </c>
    </row>
    <row r="1683" spans="1:15" x14ac:dyDescent="0.2">
      <c r="A1683">
        <v>93</v>
      </c>
      <c r="B1683" t="s">
        <v>64</v>
      </c>
      <c r="C1683" t="s">
        <v>14</v>
      </c>
      <c r="D1683" s="48">
        <v>42004</v>
      </c>
      <c r="E1683" s="3">
        <v>2234000000</v>
      </c>
      <c r="F1683" s="3">
        <v>174000000</v>
      </c>
      <c r="G1683" s="3">
        <f>Project_Data_NYSE[[#This Row],[ Total Revenue ]]-Project_Data_NYSE[[#This Row],[ Cost of Goods Sold ]]</f>
        <v>2060000000</v>
      </c>
      <c r="H1683" s="3">
        <v>650000000</v>
      </c>
      <c r="I1683" s="3">
        <v>514000000</v>
      </c>
      <c r="J1683" s="3">
        <v>0</v>
      </c>
      <c r="K1683" s="3">
        <f>Project_Data_NYSE[[#This Row],[Gross Profit]]-Project_Data_NYSE[[#This Row],[ Sales, General and Admin. ]]-Project_Data_NYSE[[#This Row],[ Research and Development ]]-Project_Data_NYSE[[#This Row],[ Other Operating Items ]]</f>
        <v>896000000</v>
      </c>
      <c r="L1683" t="s">
        <v>24</v>
      </c>
      <c r="M1683" t="s">
        <v>65</v>
      </c>
      <c r="N1683" s="31">
        <f>Project_Data_NYSE[[#This Row],[Gross Profit]]/Project_Data_NYSE[[#This Row],[ Total Revenue ]]</f>
        <v>0.92211280214861235</v>
      </c>
      <c r="O1683" s="31">
        <f>Project_Data_NYSE[[#This Row],[Operating Profit]]/Project_Data_NYSE[[#This Row],[ Total Revenue ]]</f>
        <v>0.40107430617726053</v>
      </c>
    </row>
    <row r="1684" spans="1:15" x14ac:dyDescent="0.2">
      <c r="A1684">
        <v>1753</v>
      </c>
      <c r="B1684" t="s">
        <v>568</v>
      </c>
      <c r="C1684" t="s">
        <v>11</v>
      </c>
      <c r="D1684" s="48">
        <v>41274</v>
      </c>
      <c r="E1684" s="3">
        <v>20421000000</v>
      </c>
      <c r="F1684" s="3">
        <v>13634000000</v>
      </c>
      <c r="G1684" s="3">
        <f>Project_Data_NYSE[[#This Row],[ Total Revenue ]]-Project_Data_NYSE[[#This Row],[ Cost of Goods Sold ]]</f>
        <v>6787000000</v>
      </c>
      <c r="H1684" s="3">
        <v>4398000000</v>
      </c>
      <c r="I1684" s="3">
        <v>655000000</v>
      </c>
      <c r="J1684" s="3">
        <v>301000000</v>
      </c>
      <c r="K1684" s="3">
        <f>Project_Data_NYSE[[#This Row],[Gross Profit]]-Project_Data_NYSE[[#This Row],[ Sales, General and Admin. ]]-Project_Data_NYSE[[#This Row],[ Research and Development ]]-Project_Data_NYSE[[#This Row],[ Other Operating Items ]]</f>
        <v>1433000000</v>
      </c>
      <c r="L1684" t="s">
        <v>21</v>
      </c>
      <c r="M1684" t="s">
        <v>175</v>
      </c>
      <c r="N1684" s="31">
        <f>Project_Data_NYSE[[#This Row],[Gross Profit]]/Project_Data_NYSE[[#This Row],[ Total Revenue ]]</f>
        <v>0.33235394936584889</v>
      </c>
      <c r="O1684" s="31">
        <f>Project_Data_NYSE[[#This Row],[Operating Profit]]/Project_Data_NYSE[[#This Row],[ Total Revenue ]]</f>
        <v>7.0172861270261011E-2</v>
      </c>
    </row>
    <row r="1685" spans="1:15" x14ac:dyDescent="0.2">
      <c r="A1685">
        <v>1754</v>
      </c>
      <c r="B1685" t="s">
        <v>568</v>
      </c>
      <c r="C1685" t="s">
        <v>14</v>
      </c>
      <c r="D1685" s="48">
        <v>41639</v>
      </c>
      <c r="E1685" s="3">
        <v>20006000000</v>
      </c>
      <c r="F1685" s="3">
        <v>13521000000</v>
      </c>
      <c r="G1685" s="3">
        <f>Project_Data_NYSE[[#This Row],[ Total Revenue ]]-Project_Data_NYSE[[#This Row],[ Cost of Goods Sold ]]</f>
        <v>6485000000</v>
      </c>
      <c r="H1685" s="3">
        <v>4219000000</v>
      </c>
      <c r="I1685" s="3">
        <v>603000000</v>
      </c>
      <c r="J1685" s="3">
        <v>305000000</v>
      </c>
      <c r="K1685" s="3">
        <f>Project_Data_NYSE[[#This Row],[Gross Profit]]-Project_Data_NYSE[[#This Row],[ Sales, General and Admin. ]]-Project_Data_NYSE[[#This Row],[ Research and Development ]]-Project_Data_NYSE[[#This Row],[ Other Operating Items ]]</f>
        <v>1358000000</v>
      </c>
      <c r="L1685" t="s">
        <v>21</v>
      </c>
      <c r="M1685" t="s">
        <v>175</v>
      </c>
      <c r="N1685" s="31">
        <f>Project_Data_NYSE[[#This Row],[Gross Profit]]/Project_Data_NYSE[[#This Row],[ Total Revenue ]]</f>
        <v>0.32415275417374789</v>
      </c>
      <c r="O1685" s="31">
        <f>Project_Data_NYSE[[#This Row],[Operating Profit]]/Project_Data_NYSE[[#This Row],[ Total Revenue ]]</f>
        <v>6.7879636109167252E-2</v>
      </c>
    </row>
    <row r="1686" spans="1:15" x14ac:dyDescent="0.2">
      <c r="A1686">
        <v>1755</v>
      </c>
      <c r="B1686" t="s">
        <v>568</v>
      </c>
      <c r="C1686" t="s">
        <v>15</v>
      </c>
      <c r="D1686" s="48">
        <v>42004</v>
      </c>
      <c r="E1686" s="3">
        <v>19540000000</v>
      </c>
      <c r="F1686" s="3">
        <v>13294000000</v>
      </c>
      <c r="G1686" s="3">
        <f>Project_Data_NYSE[[#This Row],[ Total Revenue ]]-Project_Data_NYSE[[#This Row],[ Cost of Goods Sold ]]</f>
        <v>6246000000</v>
      </c>
      <c r="H1686" s="3">
        <v>4020000000</v>
      </c>
      <c r="I1686" s="3">
        <v>577000000</v>
      </c>
      <c r="J1686" s="3">
        <v>315000000</v>
      </c>
      <c r="K1686" s="3">
        <f>Project_Data_NYSE[[#This Row],[Gross Profit]]-Project_Data_NYSE[[#This Row],[ Sales, General and Admin. ]]-Project_Data_NYSE[[#This Row],[ Research and Development ]]-Project_Data_NYSE[[#This Row],[ Other Operating Items ]]</f>
        <v>1334000000</v>
      </c>
      <c r="L1686" t="s">
        <v>21</v>
      </c>
      <c r="M1686" t="s">
        <v>175</v>
      </c>
      <c r="N1686" s="31">
        <f>Project_Data_NYSE[[#This Row],[Gross Profit]]/Project_Data_NYSE[[#This Row],[ Total Revenue ]]</f>
        <v>0.31965199590583421</v>
      </c>
      <c r="O1686" s="31">
        <f>Project_Data_NYSE[[#This Row],[Operating Profit]]/Project_Data_NYSE[[#This Row],[ Total Revenue ]]</f>
        <v>6.8270214943705221E-2</v>
      </c>
    </row>
    <row r="1687" spans="1:15" x14ac:dyDescent="0.2">
      <c r="A1687">
        <v>1756</v>
      </c>
      <c r="B1687" t="s">
        <v>568</v>
      </c>
      <c r="C1687" t="s">
        <v>16</v>
      </c>
      <c r="D1687" s="48">
        <v>42369</v>
      </c>
      <c r="E1687" s="3">
        <v>18045000000</v>
      </c>
      <c r="F1687" s="3">
        <v>12782000000</v>
      </c>
      <c r="G1687" s="3">
        <f>Project_Data_NYSE[[#This Row],[ Total Revenue ]]-Project_Data_NYSE[[#This Row],[ Cost of Goods Sold ]]</f>
        <v>5263000000</v>
      </c>
      <c r="H1687" s="3">
        <v>3792000000</v>
      </c>
      <c r="I1687" s="3">
        <v>563000000</v>
      </c>
      <c r="J1687" s="3">
        <v>310000000</v>
      </c>
      <c r="K1687" s="3">
        <f>Project_Data_NYSE[[#This Row],[Gross Profit]]-Project_Data_NYSE[[#This Row],[ Sales, General and Admin. ]]-Project_Data_NYSE[[#This Row],[ Research and Development ]]-Project_Data_NYSE[[#This Row],[ Other Operating Items ]]</f>
        <v>598000000</v>
      </c>
      <c r="L1687" t="s">
        <v>21</v>
      </c>
      <c r="M1687" t="s">
        <v>175</v>
      </c>
      <c r="N1687" s="31">
        <f>Project_Data_NYSE[[#This Row],[Gross Profit]]/Project_Data_NYSE[[#This Row],[ Total Revenue ]]</f>
        <v>0.29165973954003876</v>
      </c>
      <c r="O1687" s="31">
        <f>Project_Data_NYSE[[#This Row],[Operating Profit]]/Project_Data_NYSE[[#This Row],[ Total Revenue ]]</f>
        <v>3.3139373787752842E-2</v>
      </c>
    </row>
    <row r="1688" spans="1:15" x14ac:dyDescent="0.2">
      <c r="A1688">
        <v>1757</v>
      </c>
      <c r="B1688" t="s">
        <v>569</v>
      </c>
      <c r="C1688" t="s">
        <v>11</v>
      </c>
      <c r="D1688" s="48">
        <v>41274</v>
      </c>
      <c r="E1688" s="3">
        <v>3791000000</v>
      </c>
      <c r="F1688" s="3">
        <v>2289000000</v>
      </c>
      <c r="G1688" s="3">
        <f>Project_Data_NYSE[[#This Row],[ Total Revenue ]]-Project_Data_NYSE[[#This Row],[ Cost of Goods Sold ]]</f>
        <v>1502000000</v>
      </c>
      <c r="H1688" s="3">
        <v>936000000</v>
      </c>
      <c r="I1688" s="3">
        <v>106000000</v>
      </c>
      <c r="J1688" s="3">
        <v>0</v>
      </c>
      <c r="K1688" s="3">
        <f>Project_Data_NYSE[[#This Row],[Gross Profit]]-Project_Data_NYSE[[#This Row],[ Sales, General and Admin. ]]-Project_Data_NYSE[[#This Row],[ Research and Development ]]-Project_Data_NYSE[[#This Row],[ Other Operating Items ]]</f>
        <v>460000000</v>
      </c>
      <c r="L1688" t="s">
        <v>12</v>
      </c>
      <c r="M1688" t="s">
        <v>163</v>
      </c>
      <c r="N1688" s="31">
        <f>Project_Data_NYSE[[#This Row],[Gross Profit]]/Project_Data_NYSE[[#This Row],[ Total Revenue ]]</f>
        <v>0.39620152993933</v>
      </c>
      <c r="O1688" s="31">
        <f>Project_Data_NYSE[[#This Row],[Operating Profit]]/Project_Data_NYSE[[#This Row],[ Total Revenue ]]</f>
        <v>0.12134001582695858</v>
      </c>
    </row>
    <row r="1689" spans="1:15" x14ac:dyDescent="0.2">
      <c r="A1689">
        <v>1758</v>
      </c>
      <c r="B1689" t="s">
        <v>569</v>
      </c>
      <c r="C1689" t="s">
        <v>14</v>
      </c>
      <c r="D1689" s="48">
        <v>41639</v>
      </c>
      <c r="E1689" s="3">
        <v>3837000000</v>
      </c>
      <c r="F1689" s="3">
        <v>2338000000</v>
      </c>
      <c r="G1689" s="3">
        <f>Project_Data_NYSE[[#This Row],[ Total Revenue ]]-Project_Data_NYSE[[#This Row],[ Cost of Goods Sold ]]</f>
        <v>1499000000</v>
      </c>
      <c r="H1689" s="3">
        <v>990000000</v>
      </c>
      <c r="I1689" s="3">
        <v>104000000</v>
      </c>
      <c r="J1689" s="3">
        <v>0</v>
      </c>
      <c r="K1689" s="3">
        <f>Project_Data_NYSE[[#This Row],[Gross Profit]]-Project_Data_NYSE[[#This Row],[ Sales, General and Admin. ]]-Project_Data_NYSE[[#This Row],[ Research and Development ]]-Project_Data_NYSE[[#This Row],[ Other Operating Items ]]</f>
        <v>405000000</v>
      </c>
      <c r="L1689" t="s">
        <v>12</v>
      </c>
      <c r="M1689" t="s">
        <v>163</v>
      </c>
      <c r="N1689" s="31">
        <f>Project_Data_NYSE[[#This Row],[Gross Profit]]/Project_Data_NYSE[[#This Row],[ Total Revenue ]]</f>
        <v>0.39066979410998176</v>
      </c>
      <c r="O1689" s="31">
        <f>Project_Data_NYSE[[#This Row],[Operating Profit]]/Project_Data_NYSE[[#This Row],[ Total Revenue ]]</f>
        <v>0.1055512118842846</v>
      </c>
    </row>
    <row r="1690" spans="1:15" x14ac:dyDescent="0.2">
      <c r="A1690">
        <v>1759</v>
      </c>
      <c r="B1690" t="s">
        <v>569</v>
      </c>
      <c r="C1690" t="s">
        <v>15</v>
      </c>
      <c r="D1690" s="48">
        <v>42004</v>
      </c>
      <c r="E1690" s="3">
        <v>3916000000</v>
      </c>
      <c r="F1690" s="3">
        <v>2403000000</v>
      </c>
      <c r="G1690" s="3">
        <f>Project_Data_NYSE[[#This Row],[ Total Revenue ]]-Project_Data_NYSE[[#This Row],[ Cost of Goods Sold ]]</f>
        <v>1513000000</v>
      </c>
      <c r="H1690" s="3">
        <v>920000000</v>
      </c>
      <c r="I1690" s="3">
        <v>104000000</v>
      </c>
      <c r="J1690" s="3">
        <v>0</v>
      </c>
      <c r="K1690" s="3">
        <f>Project_Data_NYSE[[#This Row],[Gross Profit]]-Project_Data_NYSE[[#This Row],[ Sales, General and Admin. ]]-Project_Data_NYSE[[#This Row],[ Research and Development ]]-Project_Data_NYSE[[#This Row],[ Other Operating Items ]]</f>
        <v>489000000</v>
      </c>
      <c r="L1690" t="s">
        <v>12</v>
      </c>
      <c r="M1690" t="s">
        <v>163</v>
      </c>
      <c r="N1690" s="31">
        <f>Project_Data_NYSE[[#This Row],[Gross Profit]]/Project_Data_NYSE[[#This Row],[ Total Revenue ]]</f>
        <v>0.38636363636363635</v>
      </c>
      <c r="O1690" s="31">
        <f>Project_Data_NYSE[[#This Row],[Operating Profit]]/Project_Data_NYSE[[#This Row],[ Total Revenue ]]</f>
        <v>0.12487231869254341</v>
      </c>
    </row>
    <row r="1691" spans="1:15" x14ac:dyDescent="0.2">
      <c r="A1691">
        <v>1760</v>
      </c>
      <c r="B1691" t="s">
        <v>569</v>
      </c>
      <c r="C1691" t="s">
        <v>16</v>
      </c>
      <c r="D1691" s="48">
        <v>42369</v>
      </c>
      <c r="E1691" s="3">
        <v>3653000000</v>
      </c>
      <c r="F1691" s="3">
        <v>2249000000</v>
      </c>
      <c r="G1691" s="3">
        <f>Project_Data_NYSE[[#This Row],[ Total Revenue ]]-Project_Data_NYSE[[#This Row],[ Cost of Goods Sold ]]</f>
        <v>1404000000</v>
      </c>
      <c r="H1691" s="3">
        <v>854000000</v>
      </c>
      <c r="I1691" s="3">
        <v>95000000</v>
      </c>
      <c r="J1691" s="3">
        <v>0</v>
      </c>
      <c r="K1691" s="3">
        <f>Project_Data_NYSE[[#This Row],[Gross Profit]]-Project_Data_NYSE[[#This Row],[ Sales, General and Admin. ]]-Project_Data_NYSE[[#This Row],[ Research and Development ]]-Project_Data_NYSE[[#This Row],[ Other Operating Items ]]</f>
        <v>455000000</v>
      </c>
      <c r="L1691" t="s">
        <v>12</v>
      </c>
      <c r="M1691" t="s">
        <v>163</v>
      </c>
      <c r="N1691" s="31">
        <f>Project_Data_NYSE[[#This Row],[Gross Profit]]/Project_Data_NYSE[[#This Row],[ Total Revenue ]]</f>
        <v>0.38434163701067614</v>
      </c>
      <c r="O1691" s="31">
        <f>Project_Data_NYSE[[#This Row],[Operating Profit]]/Project_Data_NYSE[[#This Row],[ Total Revenue ]]</f>
        <v>0.12455516014234876</v>
      </c>
    </row>
    <row r="1692" spans="1:15" x14ac:dyDescent="0.2">
      <c r="A1692">
        <v>1761</v>
      </c>
      <c r="B1692" t="s">
        <v>570</v>
      </c>
      <c r="C1692" t="s">
        <v>11</v>
      </c>
      <c r="D1692" s="48">
        <v>41274</v>
      </c>
      <c r="E1692" s="3">
        <v>4986566000</v>
      </c>
      <c r="F1692" s="3">
        <v>1620566000</v>
      </c>
      <c r="G1692" s="3">
        <f>Project_Data_NYSE[[#This Row],[ Total Revenue ]]-Project_Data_NYSE[[#This Row],[ Cost of Goods Sold ]]</f>
        <v>3366000000</v>
      </c>
      <c r="H1692" s="3">
        <v>1641819000</v>
      </c>
      <c r="I1692" s="3">
        <v>885824000</v>
      </c>
      <c r="J1692" s="3">
        <v>35819000</v>
      </c>
      <c r="K1692" s="3">
        <f>Project_Data_NYSE[[#This Row],[Gross Profit]]-Project_Data_NYSE[[#This Row],[ Sales, General and Admin. ]]-Project_Data_NYSE[[#This Row],[ Research and Development ]]-Project_Data_NYSE[[#This Row],[ Other Operating Items ]]</f>
        <v>802538000</v>
      </c>
      <c r="L1692" t="s">
        <v>21</v>
      </c>
      <c r="M1692" t="s">
        <v>56</v>
      </c>
      <c r="N1692" s="31">
        <f>Project_Data_NYSE[[#This Row],[Gross Profit]]/Project_Data_NYSE[[#This Row],[ Total Revenue ]]</f>
        <v>0.67501362661198105</v>
      </c>
      <c r="O1692" s="31">
        <f>Project_Data_NYSE[[#This Row],[Operating Profit]]/Project_Data_NYSE[[#This Row],[ Total Revenue ]]</f>
        <v>0.16094001362861737</v>
      </c>
    </row>
    <row r="1693" spans="1:15" x14ac:dyDescent="0.2">
      <c r="A1693">
        <v>1762</v>
      </c>
      <c r="B1693" t="s">
        <v>570</v>
      </c>
      <c r="C1693" t="s">
        <v>14</v>
      </c>
      <c r="D1693" s="48">
        <v>41639</v>
      </c>
      <c r="E1693" s="3">
        <v>4680380000</v>
      </c>
      <c r="F1693" s="3">
        <v>1349380000</v>
      </c>
      <c r="G1693" s="3">
        <f>Project_Data_NYSE[[#This Row],[ Total Revenue ]]-Project_Data_NYSE[[#This Row],[ Cost of Goods Sold ]]</f>
        <v>3331000000</v>
      </c>
      <c r="H1693" s="3">
        <v>1751275000</v>
      </c>
      <c r="I1693" s="3">
        <v>957587000</v>
      </c>
      <c r="J1693" s="3">
        <v>44841000</v>
      </c>
      <c r="K1693" s="3">
        <f>Project_Data_NYSE[[#This Row],[Gross Profit]]-Project_Data_NYSE[[#This Row],[ Sales, General and Admin. ]]-Project_Data_NYSE[[#This Row],[ Research and Development ]]-Project_Data_NYSE[[#This Row],[ Other Operating Items ]]</f>
        <v>577297000</v>
      </c>
      <c r="L1693" t="s">
        <v>21</v>
      </c>
      <c r="M1693" t="s">
        <v>56</v>
      </c>
      <c r="N1693" s="31">
        <f>Project_Data_NYSE[[#This Row],[Gross Profit]]/Project_Data_NYSE[[#This Row],[ Total Revenue ]]</f>
        <v>0.71169434960409195</v>
      </c>
      <c r="O1693" s="31">
        <f>Project_Data_NYSE[[#This Row],[Operating Profit]]/Project_Data_NYSE[[#This Row],[ Total Revenue ]]</f>
        <v>0.12334404471431806</v>
      </c>
    </row>
    <row r="1694" spans="1:15" x14ac:dyDescent="0.2">
      <c r="A1694">
        <v>1763</v>
      </c>
      <c r="B1694" t="s">
        <v>570</v>
      </c>
      <c r="C1694" t="s">
        <v>15</v>
      </c>
      <c r="D1694" s="48">
        <v>42004</v>
      </c>
      <c r="E1694" s="3">
        <v>4618133000</v>
      </c>
      <c r="F1694" s="3">
        <v>1387375000</v>
      </c>
      <c r="G1694" s="3">
        <f>Project_Data_NYSE[[#This Row],[ Total Revenue ]]-Project_Data_NYSE[[#This Row],[ Cost of Goods Sold ]]</f>
        <v>3230758000</v>
      </c>
      <c r="H1694" s="3">
        <v>1770710000</v>
      </c>
      <c r="I1694" s="3">
        <v>1156386000</v>
      </c>
      <c r="J1694" s="3">
        <v>66750000</v>
      </c>
      <c r="K1694" s="3">
        <f>Project_Data_NYSE[[#This Row],[Gross Profit]]-Project_Data_NYSE[[#This Row],[ Sales, General and Admin. ]]-Project_Data_NYSE[[#This Row],[ Research and Development ]]-Project_Data_NYSE[[#This Row],[ Other Operating Items ]]</f>
        <v>236912000</v>
      </c>
      <c r="L1694" t="s">
        <v>21</v>
      </c>
      <c r="M1694" t="s">
        <v>56</v>
      </c>
      <c r="N1694" s="31">
        <f>Project_Data_NYSE[[#This Row],[Gross Profit]]/Project_Data_NYSE[[#This Row],[ Total Revenue ]]</f>
        <v>0.6995809778540375</v>
      </c>
      <c r="O1694" s="31">
        <f>Project_Data_NYSE[[#This Row],[Operating Profit]]/Project_Data_NYSE[[#This Row],[ Total Revenue ]]</f>
        <v>5.1300384809185876E-2</v>
      </c>
    </row>
    <row r="1695" spans="1:15" x14ac:dyDescent="0.2">
      <c r="A1695">
        <v>1764</v>
      </c>
      <c r="B1695" t="s">
        <v>570</v>
      </c>
      <c r="C1695" t="s">
        <v>16</v>
      </c>
      <c r="D1695" s="48">
        <v>42369</v>
      </c>
      <c r="E1695" s="3">
        <v>4968301000</v>
      </c>
      <c r="F1695" s="3">
        <v>2077748000</v>
      </c>
      <c r="G1695" s="3">
        <f>Project_Data_NYSE[[#This Row],[ Total Revenue ]]-Project_Data_NYSE[[#This Row],[ Cost of Goods Sold ]]</f>
        <v>2890553000</v>
      </c>
      <c r="H1695" s="3">
        <v>1768522000</v>
      </c>
      <c r="I1695" s="3">
        <v>1177923000</v>
      </c>
      <c r="J1695" s="3">
        <v>79042000</v>
      </c>
      <c r="K1695" s="3">
        <f>Project_Data_NYSE[[#This Row],[Gross Profit]]-Project_Data_NYSE[[#This Row],[ Sales, General and Admin. ]]-Project_Data_NYSE[[#This Row],[ Research and Development ]]-Project_Data_NYSE[[#This Row],[ Other Operating Items ]]</f>
        <v>-134934000</v>
      </c>
      <c r="L1695" t="s">
        <v>21</v>
      </c>
      <c r="M1695" t="s">
        <v>56</v>
      </c>
      <c r="N1695" s="31">
        <f>Project_Data_NYSE[[#This Row],[Gross Profit]]/Project_Data_NYSE[[#This Row],[ Total Revenue ]]</f>
        <v>0.58179908986995754</v>
      </c>
      <c r="O1695" s="31">
        <f>Project_Data_NYSE[[#This Row],[Operating Profit]]/Project_Data_NYSE[[#This Row],[ Total Revenue ]]</f>
        <v>-2.7158982517363581E-2</v>
      </c>
    </row>
    <row r="1696" spans="1:15" x14ac:dyDescent="0.2">
      <c r="A1696">
        <v>1765</v>
      </c>
      <c r="B1696" t="s">
        <v>571</v>
      </c>
      <c r="C1696" t="s">
        <v>11</v>
      </c>
      <c r="D1696" s="48">
        <v>41272</v>
      </c>
      <c r="E1696" s="3">
        <v>13633000000</v>
      </c>
      <c r="F1696" s="3">
        <v>9852000000</v>
      </c>
      <c r="G1696" s="3">
        <f>Project_Data_NYSE[[#This Row],[ Total Revenue ]]-Project_Data_NYSE[[#This Row],[ Cost of Goods Sold ]]</f>
        <v>3781000000</v>
      </c>
      <c r="H1696" s="3">
        <v>1450000000</v>
      </c>
      <c r="I1696" s="3">
        <v>0</v>
      </c>
      <c r="J1696" s="3">
        <v>0</v>
      </c>
      <c r="K1696" s="3">
        <f>Project_Data_NYSE[[#This Row],[Gross Profit]]-Project_Data_NYSE[[#This Row],[ Sales, General and Admin. ]]-Project_Data_NYSE[[#This Row],[ Research and Development ]]-Project_Data_NYSE[[#This Row],[ Other Operating Items ]]</f>
        <v>2331000000</v>
      </c>
      <c r="L1696" t="s">
        <v>18</v>
      </c>
      <c r="M1696" t="s">
        <v>154</v>
      </c>
      <c r="N1696" s="31">
        <f>Project_Data_NYSE[[#This Row],[Gross Profit]]/Project_Data_NYSE[[#This Row],[ Total Revenue ]]</f>
        <v>0.2773417442969266</v>
      </c>
      <c r="O1696" s="31">
        <f>Project_Data_NYSE[[#This Row],[Operating Profit]]/Project_Data_NYSE[[#This Row],[ Total Revenue ]]</f>
        <v>0.17098217560331549</v>
      </c>
    </row>
    <row r="1697" spans="1:15" x14ac:dyDescent="0.2">
      <c r="A1697">
        <v>1766</v>
      </c>
      <c r="B1697" t="s">
        <v>571</v>
      </c>
      <c r="C1697" t="s">
        <v>14</v>
      </c>
      <c r="D1697" s="48">
        <v>41636</v>
      </c>
      <c r="E1697" s="3">
        <v>13084000000</v>
      </c>
      <c r="F1697" s="3">
        <v>9501000000</v>
      </c>
      <c r="G1697" s="3">
        <f>Project_Data_NYSE[[#This Row],[ Total Revenue ]]-Project_Data_NYSE[[#This Row],[ Cost of Goods Sold ]]</f>
        <v>3583000000</v>
      </c>
      <c r="H1697" s="3">
        <v>1454000000</v>
      </c>
      <c r="I1697" s="3">
        <v>0</v>
      </c>
      <c r="J1697" s="3">
        <v>0</v>
      </c>
      <c r="K1697" s="3">
        <f>Project_Data_NYSE[[#This Row],[Gross Profit]]-Project_Data_NYSE[[#This Row],[ Sales, General and Admin. ]]-Project_Data_NYSE[[#This Row],[ Research and Development ]]-Project_Data_NYSE[[#This Row],[ Other Operating Items ]]</f>
        <v>2129000000</v>
      </c>
      <c r="L1697" t="s">
        <v>18</v>
      </c>
      <c r="M1697" t="s">
        <v>154</v>
      </c>
      <c r="N1697" s="31">
        <f>Project_Data_NYSE[[#This Row],[Gross Profit]]/Project_Data_NYSE[[#This Row],[ Total Revenue ]]</f>
        <v>0.27384591867930297</v>
      </c>
      <c r="O1697" s="31">
        <f>Project_Data_NYSE[[#This Row],[Operating Profit]]/Project_Data_NYSE[[#This Row],[ Total Revenue ]]</f>
        <v>0.16271782329562826</v>
      </c>
    </row>
    <row r="1698" spans="1:15" x14ac:dyDescent="0.2">
      <c r="A1698">
        <v>1767</v>
      </c>
      <c r="B1698" t="s">
        <v>571</v>
      </c>
      <c r="C1698" t="s">
        <v>15</v>
      </c>
      <c r="D1698" s="48">
        <v>42000</v>
      </c>
      <c r="E1698" s="3">
        <v>13279000000</v>
      </c>
      <c r="F1698" s="3">
        <v>9682000000</v>
      </c>
      <c r="G1698" s="3">
        <f>Project_Data_NYSE[[#This Row],[ Total Revenue ]]-Project_Data_NYSE[[#This Row],[ Cost of Goods Sold ]]</f>
        <v>3597000000</v>
      </c>
      <c r="H1698" s="3">
        <v>1505000000</v>
      </c>
      <c r="I1698" s="3">
        <v>0</v>
      </c>
      <c r="J1698" s="3">
        <v>0</v>
      </c>
      <c r="K1698" s="3">
        <f>Project_Data_NYSE[[#This Row],[Gross Profit]]-Project_Data_NYSE[[#This Row],[ Sales, General and Admin. ]]-Project_Data_NYSE[[#This Row],[ Research and Development ]]-Project_Data_NYSE[[#This Row],[ Other Operating Items ]]</f>
        <v>2092000000</v>
      </c>
      <c r="L1698" t="s">
        <v>18</v>
      </c>
      <c r="M1698" t="s">
        <v>154</v>
      </c>
      <c r="N1698" s="31">
        <f>Project_Data_NYSE[[#This Row],[Gross Profit]]/Project_Data_NYSE[[#This Row],[ Total Revenue ]]</f>
        <v>0.27087883123729195</v>
      </c>
      <c r="O1698" s="31">
        <f>Project_Data_NYSE[[#This Row],[Operating Profit]]/Project_Data_NYSE[[#This Row],[ Total Revenue ]]</f>
        <v>0.15754198358310115</v>
      </c>
    </row>
    <row r="1699" spans="1:15" x14ac:dyDescent="0.2">
      <c r="A1699">
        <v>1768</v>
      </c>
      <c r="B1699" t="s">
        <v>571</v>
      </c>
      <c r="C1699" t="s">
        <v>16</v>
      </c>
      <c r="D1699" s="48">
        <v>42364</v>
      </c>
      <c r="E1699" s="3">
        <v>13105000000</v>
      </c>
      <c r="F1699" s="3">
        <v>9359000000</v>
      </c>
      <c r="G1699" s="3">
        <f>Project_Data_NYSE[[#This Row],[ Total Revenue ]]-Project_Data_NYSE[[#This Row],[ Cost of Goods Sold ]]</f>
        <v>3746000000</v>
      </c>
      <c r="H1699" s="3">
        <v>1746000000</v>
      </c>
      <c r="I1699" s="3">
        <v>0</v>
      </c>
      <c r="J1699" s="3">
        <v>0</v>
      </c>
      <c r="K1699" s="3">
        <f>Project_Data_NYSE[[#This Row],[Gross Profit]]-Project_Data_NYSE[[#This Row],[ Sales, General and Admin. ]]-Project_Data_NYSE[[#This Row],[ Research and Development ]]-Project_Data_NYSE[[#This Row],[ Other Operating Items ]]</f>
        <v>2000000000</v>
      </c>
      <c r="L1699" t="s">
        <v>18</v>
      </c>
      <c r="M1699" t="s">
        <v>154</v>
      </c>
      <c r="N1699" s="31">
        <f>Project_Data_NYSE[[#This Row],[Gross Profit]]/Project_Data_NYSE[[#This Row],[ Total Revenue ]]</f>
        <v>0.28584509729111024</v>
      </c>
      <c r="O1699" s="31">
        <f>Project_Data_NYSE[[#This Row],[Operating Profit]]/Project_Data_NYSE[[#This Row],[ Total Revenue ]]</f>
        <v>0.15261350629530712</v>
      </c>
    </row>
    <row r="1700" spans="1:15" x14ac:dyDescent="0.2">
      <c r="A1700">
        <v>689</v>
      </c>
      <c r="B1700" t="s">
        <v>269</v>
      </c>
      <c r="C1700" t="s">
        <v>14</v>
      </c>
      <c r="D1700" s="48">
        <v>41639</v>
      </c>
      <c r="E1700" s="3">
        <v>11202000000</v>
      </c>
      <c r="F1700" s="3">
        <v>2859000000</v>
      </c>
      <c r="G1700" s="3">
        <f>Project_Data_NYSE[[#This Row],[ Total Revenue ]]-Project_Data_NYSE[[#This Row],[ Cost of Goods Sold ]]</f>
        <v>8343000000</v>
      </c>
      <c r="H1700" s="3">
        <v>1699000000</v>
      </c>
      <c r="I1700" s="3">
        <v>2120000000</v>
      </c>
      <c r="J1700" s="3">
        <v>0</v>
      </c>
      <c r="K1700" s="3">
        <f>Project_Data_NYSE[[#This Row],[Gross Profit]]-Project_Data_NYSE[[#This Row],[ Sales, General and Admin. ]]-Project_Data_NYSE[[#This Row],[ Research and Development ]]-Project_Data_NYSE[[#This Row],[ Other Operating Items ]]</f>
        <v>4524000000</v>
      </c>
      <c r="L1700" t="s">
        <v>24</v>
      </c>
      <c r="M1700" t="s">
        <v>65</v>
      </c>
      <c r="N1700" s="31">
        <f>Project_Data_NYSE[[#This Row],[Gross Profit]]/Project_Data_NYSE[[#This Row],[ Total Revenue ]]</f>
        <v>0.7447777182645956</v>
      </c>
      <c r="O1700" s="31">
        <f>Project_Data_NYSE[[#This Row],[Operating Profit]]/Project_Data_NYSE[[#This Row],[ Total Revenue ]]</f>
        <v>0.40385645420460631</v>
      </c>
    </row>
    <row r="1701" spans="1:15" x14ac:dyDescent="0.2">
      <c r="A1701">
        <v>223</v>
      </c>
      <c r="B1701" t="s">
        <v>114</v>
      </c>
      <c r="C1701" t="s">
        <v>14</v>
      </c>
      <c r="D1701" s="48">
        <v>42004</v>
      </c>
      <c r="E1701" s="3">
        <v>9703300000</v>
      </c>
      <c r="F1701" s="3">
        <v>1171000000</v>
      </c>
      <c r="G1701" s="3">
        <f>Project_Data_NYSE[[#This Row],[ Total Revenue ]]-Project_Data_NYSE[[#This Row],[ Cost of Goods Sold ]]</f>
        <v>8532300000</v>
      </c>
      <c r="H1701" s="3">
        <v>2193400000</v>
      </c>
      <c r="I1701" s="3">
        <v>1893400000</v>
      </c>
      <c r="J1701" s="3">
        <v>489800000</v>
      </c>
      <c r="K1701" s="3">
        <f>Project_Data_NYSE[[#This Row],[Gross Profit]]-Project_Data_NYSE[[#This Row],[ Sales, General and Admin. ]]-Project_Data_NYSE[[#This Row],[ Research and Development ]]-Project_Data_NYSE[[#This Row],[ Other Operating Items ]]</f>
        <v>3955700000</v>
      </c>
      <c r="L1701" t="s">
        <v>24</v>
      </c>
      <c r="M1701" t="s">
        <v>65</v>
      </c>
      <c r="N1701" s="31">
        <f>Project_Data_NYSE[[#This Row],[Gross Profit]]/Project_Data_NYSE[[#This Row],[ Total Revenue ]]</f>
        <v>0.87931940679974852</v>
      </c>
      <c r="O1701" s="31">
        <f>Project_Data_NYSE[[#This Row],[Operating Profit]]/Project_Data_NYSE[[#This Row],[ Total Revenue ]]</f>
        <v>0.40766543340925254</v>
      </c>
    </row>
    <row r="1702" spans="1:15" x14ac:dyDescent="0.2">
      <c r="A1702">
        <v>688</v>
      </c>
      <c r="B1702" t="s">
        <v>269</v>
      </c>
      <c r="C1702" t="s">
        <v>11</v>
      </c>
      <c r="D1702" s="48">
        <v>41274</v>
      </c>
      <c r="E1702" s="3">
        <v>9702000000</v>
      </c>
      <c r="F1702" s="3">
        <v>2471000000</v>
      </c>
      <c r="G1702" s="3">
        <f>Project_Data_NYSE[[#This Row],[ Total Revenue ]]-Project_Data_NYSE[[#This Row],[ Cost of Goods Sold ]]</f>
        <v>7231000000</v>
      </c>
      <c r="H1702" s="3">
        <v>1461000000</v>
      </c>
      <c r="I1702" s="3">
        <v>1760000000</v>
      </c>
      <c r="J1702" s="3">
        <v>0</v>
      </c>
      <c r="K1702" s="3">
        <f>Project_Data_NYSE[[#This Row],[Gross Profit]]-Project_Data_NYSE[[#This Row],[ Sales, General and Admin. ]]-Project_Data_NYSE[[#This Row],[ Research and Development ]]-Project_Data_NYSE[[#This Row],[ Other Operating Items ]]</f>
        <v>4010000000</v>
      </c>
      <c r="L1702" t="s">
        <v>24</v>
      </c>
      <c r="M1702" t="s">
        <v>65</v>
      </c>
      <c r="N1702" s="31">
        <f>Project_Data_NYSE[[#This Row],[Gross Profit]]/Project_Data_NYSE[[#This Row],[ Total Revenue ]]</f>
        <v>0.74531024531024526</v>
      </c>
      <c r="O1702" s="31">
        <f>Project_Data_NYSE[[#This Row],[Operating Profit]]/Project_Data_NYSE[[#This Row],[ Total Revenue ]]</f>
        <v>0.41331684188827045</v>
      </c>
    </row>
    <row r="1703" spans="1:15" x14ac:dyDescent="0.2">
      <c r="A1703">
        <v>111</v>
      </c>
      <c r="B1703" t="s">
        <v>70</v>
      </c>
      <c r="C1703" t="s">
        <v>16</v>
      </c>
      <c r="D1703" s="48">
        <v>42735</v>
      </c>
      <c r="E1703" s="3">
        <v>22991000000</v>
      </c>
      <c r="F1703" s="3">
        <v>4162000000</v>
      </c>
      <c r="G1703" s="3">
        <f>Project_Data_NYSE[[#This Row],[ Total Revenue ]]-Project_Data_NYSE[[#This Row],[ Cost of Goods Sold ]]</f>
        <v>18829000000</v>
      </c>
      <c r="H1703" s="3">
        <v>5195000000</v>
      </c>
      <c r="I1703" s="3">
        <v>3840000000</v>
      </c>
      <c r="J1703" s="3">
        <v>0</v>
      </c>
      <c r="K1703" s="3">
        <f>Project_Data_NYSE[[#This Row],[Gross Profit]]-Project_Data_NYSE[[#This Row],[ Sales, General and Admin. ]]-Project_Data_NYSE[[#This Row],[ Research and Development ]]-Project_Data_NYSE[[#This Row],[ Other Operating Items ]]</f>
        <v>9794000000</v>
      </c>
      <c r="L1703" t="s">
        <v>24</v>
      </c>
      <c r="M1703" t="s">
        <v>65</v>
      </c>
      <c r="N1703" s="31">
        <f>Project_Data_NYSE[[#This Row],[Gross Profit]]/Project_Data_NYSE[[#This Row],[ Total Revenue ]]</f>
        <v>0.81897264146840065</v>
      </c>
      <c r="O1703" s="31">
        <f>Project_Data_NYSE[[#This Row],[Operating Profit]]/Project_Data_NYSE[[#This Row],[ Total Revenue ]]</f>
        <v>0.4259927797833935</v>
      </c>
    </row>
    <row r="1704" spans="1:15" x14ac:dyDescent="0.2">
      <c r="A1704">
        <v>1773</v>
      </c>
      <c r="B1704" t="s">
        <v>573</v>
      </c>
      <c r="C1704" t="s">
        <v>11</v>
      </c>
      <c r="D1704" s="48">
        <v>41274</v>
      </c>
      <c r="E1704" s="3">
        <v>2458592000</v>
      </c>
      <c r="F1704" s="3">
        <v>80146000</v>
      </c>
      <c r="G1704" s="3">
        <f>Project_Data_NYSE[[#This Row],[ Total Revenue ]]-Project_Data_NYSE[[#This Row],[ Cost of Goods Sold ]]</f>
        <v>2378446000</v>
      </c>
      <c r="H1704" s="3">
        <v>1579007000</v>
      </c>
      <c r="I1704" s="3">
        <v>0</v>
      </c>
      <c r="J1704" s="3">
        <v>31237000</v>
      </c>
      <c r="K1704" s="3">
        <f>Project_Data_NYSE[[#This Row],[Gross Profit]]-Project_Data_NYSE[[#This Row],[ Sales, General and Admin. ]]-Project_Data_NYSE[[#This Row],[ Research and Development ]]-Project_Data_NYSE[[#This Row],[ Other Operating Items ]]</f>
        <v>768202000</v>
      </c>
      <c r="L1704" t="s">
        <v>46</v>
      </c>
      <c r="M1704" t="s">
        <v>139</v>
      </c>
      <c r="N1704" s="31">
        <f>Project_Data_NYSE[[#This Row],[Gross Profit]]/Project_Data_NYSE[[#This Row],[ Total Revenue ]]</f>
        <v>0.96740166729575305</v>
      </c>
      <c r="O1704" s="31">
        <f>Project_Data_NYSE[[#This Row],[Operating Profit]]/Project_Data_NYSE[[#This Row],[ Total Revenue ]]</f>
        <v>0.31245607241868517</v>
      </c>
    </row>
    <row r="1705" spans="1:15" x14ac:dyDescent="0.2">
      <c r="A1705">
        <v>1774</v>
      </c>
      <c r="B1705" t="s">
        <v>573</v>
      </c>
      <c r="C1705" t="s">
        <v>14</v>
      </c>
      <c r="D1705" s="48">
        <v>41639</v>
      </c>
      <c r="E1705" s="3">
        <v>2278812000</v>
      </c>
      <c r="F1705" s="3">
        <v>58913000</v>
      </c>
      <c r="G1705" s="3">
        <f>Project_Data_NYSE[[#This Row],[ Total Revenue ]]-Project_Data_NYSE[[#This Row],[ Cost of Goods Sold ]]</f>
        <v>2219899000</v>
      </c>
      <c r="H1705" s="3">
        <v>1700064000</v>
      </c>
      <c r="I1705" s="3">
        <v>0</v>
      </c>
      <c r="J1705" s="3">
        <v>-72761000</v>
      </c>
      <c r="K1705" s="3">
        <f>Project_Data_NYSE[[#This Row],[Gross Profit]]-Project_Data_NYSE[[#This Row],[ Sales, General and Admin. ]]-Project_Data_NYSE[[#This Row],[ Research and Development ]]-Project_Data_NYSE[[#This Row],[ Other Operating Items ]]</f>
        <v>592596000</v>
      </c>
      <c r="L1705" t="s">
        <v>46</v>
      </c>
      <c r="M1705" t="s">
        <v>139</v>
      </c>
      <c r="N1705" s="31">
        <f>Project_Data_NYSE[[#This Row],[Gross Profit]]/Project_Data_NYSE[[#This Row],[ Total Revenue ]]</f>
        <v>0.97414749439620296</v>
      </c>
      <c r="O1705" s="31">
        <f>Project_Data_NYSE[[#This Row],[Operating Profit]]/Project_Data_NYSE[[#This Row],[ Total Revenue ]]</f>
        <v>0.26004602398091636</v>
      </c>
    </row>
    <row r="1706" spans="1:15" x14ac:dyDescent="0.2">
      <c r="A1706">
        <v>1775</v>
      </c>
      <c r="B1706" t="s">
        <v>573</v>
      </c>
      <c r="C1706" t="s">
        <v>15</v>
      </c>
      <c r="D1706" s="48">
        <v>42004</v>
      </c>
      <c r="E1706" s="3">
        <v>2361631000</v>
      </c>
      <c r="F1706" s="3">
        <v>49736000</v>
      </c>
      <c r="G1706" s="3">
        <f>Project_Data_NYSE[[#This Row],[ Total Revenue ]]-Project_Data_NYSE[[#This Row],[ Cost of Goods Sold ]]</f>
        <v>2311895000</v>
      </c>
      <c r="H1706" s="3">
        <v>1654369000</v>
      </c>
      <c r="I1706" s="3">
        <v>0</v>
      </c>
      <c r="J1706" s="3">
        <v>-87159000</v>
      </c>
      <c r="K1706" s="3">
        <f>Project_Data_NYSE[[#This Row],[Gross Profit]]-Project_Data_NYSE[[#This Row],[ Sales, General and Admin. ]]-Project_Data_NYSE[[#This Row],[ Research and Development ]]-Project_Data_NYSE[[#This Row],[ Other Operating Items ]]</f>
        <v>744685000</v>
      </c>
      <c r="L1706" t="s">
        <v>46</v>
      </c>
      <c r="M1706" t="s">
        <v>139</v>
      </c>
      <c r="N1706" s="31">
        <f>Project_Data_NYSE[[#This Row],[Gross Profit]]/Project_Data_NYSE[[#This Row],[ Total Revenue ]]</f>
        <v>0.97893997834547397</v>
      </c>
      <c r="O1706" s="31">
        <f>Project_Data_NYSE[[#This Row],[Operating Profit]]/Project_Data_NYSE[[#This Row],[ Total Revenue ]]</f>
        <v>0.31532656879927473</v>
      </c>
    </row>
    <row r="1707" spans="1:15" x14ac:dyDescent="0.2">
      <c r="A1707">
        <v>1776</v>
      </c>
      <c r="B1707" t="s">
        <v>573</v>
      </c>
      <c r="C1707" t="s">
        <v>16</v>
      </c>
      <c r="D1707" s="48">
        <v>42369</v>
      </c>
      <c r="E1707" s="3">
        <v>2210591000</v>
      </c>
      <c r="F1707" s="3">
        <v>49344000</v>
      </c>
      <c r="G1707" s="3">
        <f>Project_Data_NYSE[[#This Row],[ Total Revenue ]]-Project_Data_NYSE[[#This Row],[ Cost of Goods Sold ]]</f>
        <v>2161247000</v>
      </c>
      <c r="H1707" s="3">
        <v>1591239000</v>
      </c>
      <c r="I1707" s="3">
        <v>0</v>
      </c>
      <c r="J1707" s="3">
        <v>49282000</v>
      </c>
      <c r="K1707" s="3">
        <f>Project_Data_NYSE[[#This Row],[Gross Profit]]-Project_Data_NYSE[[#This Row],[ Sales, General and Admin. ]]-Project_Data_NYSE[[#This Row],[ Research and Development ]]-Project_Data_NYSE[[#This Row],[ Other Operating Items ]]</f>
        <v>520726000</v>
      </c>
      <c r="L1707" t="s">
        <v>46</v>
      </c>
      <c r="M1707" t="s">
        <v>139</v>
      </c>
      <c r="N1707" s="31">
        <f>Project_Data_NYSE[[#This Row],[Gross Profit]]/Project_Data_NYSE[[#This Row],[ Total Revenue ]]</f>
        <v>0.97767836745919978</v>
      </c>
      <c r="O1707" s="31">
        <f>Project_Data_NYSE[[#This Row],[Operating Profit]]/Project_Data_NYSE[[#This Row],[ Total Revenue ]]</f>
        <v>0.23555963088603907</v>
      </c>
    </row>
    <row r="1708" spans="1:15" x14ac:dyDescent="0.2">
      <c r="A1708">
        <v>224</v>
      </c>
      <c r="B1708" t="s">
        <v>114</v>
      </c>
      <c r="C1708" t="s">
        <v>15</v>
      </c>
      <c r="D1708" s="48">
        <v>42369</v>
      </c>
      <c r="E1708" s="3">
        <v>10763800000</v>
      </c>
      <c r="F1708" s="3">
        <v>1240400000</v>
      </c>
      <c r="G1708" s="3">
        <f>Project_Data_NYSE[[#This Row],[ Total Revenue ]]-Project_Data_NYSE[[#This Row],[ Cost of Goods Sold ]]</f>
        <v>9523400000</v>
      </c>
      <c r="H1708" s="3">
        <v>2143600000</v>
      </c>
      <c r="I1708" s="3">
        <v>2012800000</v>
      </c>
      <c r="J1708" s="3">
        <v>382600000</v>
      </c>
      <c r="K1708" s="3">
        <f>Project_Data_NYSE[[#This Row],[Gross Profit]]-Project_Data_NYSE[[#This Row],[ Sales, General and Admin. ]]-Project_Data_NYSE[[#This Row],[ Research and Development ]]-Project_Data_NYSE[[#This Row],[ Other Operating Items ]]</f>
        <v>4984400000</v>
      </c>
      <c r="L1708" t="s">
        <v>24</v>
      </c>
      <c r="M1708" t="s">
        <v>65</v>
      </c>
      <c r="N1708" s="31">
        <f>Project_Data_NYSE[[#This Row],[Gross Profit]]/Project_Data_NYSE[[#This Row],[ Total Revenue ]]</f>
        <v>0.88476188706590608</v>
      </c>
      <c r="O1708" s="31">
        <f>Project_Data_NYSE[[#This Row],[Operating Profit]]/Project_Data_NYSE[[#This Row],[ Total Revenue ]]</f>
        <v>0.46307066277708614</v>
      </c>
    </row>
    <row r="1709" spans="1:15" x14ac:dyDescent="0.2">
      <c r="A1709">
        <v>225</v>
      </c>
      <c r="B1709" t="s">
        <v>114</v>
      </c>
      <c r="C1709" t="s">
        <v>16</v>
      </c>
      <c r="D1709" s="48">
        <v>42735</v>
      </c>
      <c r="E1709" s="3">
        <v>11448800000</v>
      </c>
      <c r="F1709" s="3">
        <v>1478700000</v>
      </c>
      <c r="G1709" s="3">
        <f>Project_Data_NYSE[[#This Row],[ Total Revenue ]]-Project_Data_NYSE[[#This Row],[ Cost of Goods Sold ]]</f>
        <v>9970100000</v>
      </c>
      <c r="H1709" s="3">
        <v>1972900000</v>
      </c>
      <c r="I1709" s="3">
        <v>1973300000</v>
      </c>
      <c r="J1709" s="3">
        <v>385600000</v>
      </c>
      <c r="K1709" s="3">
        <f>Project_Data_NYSE[[#This Row],[Gross Profit]]-Project_Data_NYSE[[#This Row],[ Sales, General and Admin. ]]-Project_Data_NYSE[[#This Row],[ Research and Development ]]-Project_Data_NYSE[[#This Row],[ Other Operating Items ]]</f>
        <v>5638300000</v>
      </c>
      <c r="L1709" t="s">
        <v>24</v>
      </c>
      <c r="M1709" t="s">
        <v>65</v>
      </c>
      <c r="N1709" s="31">
        <f>Project_Data_NYSE[[#This Row],[Gross Profit]]/Project_Data_NYSE[[#This Row],[ Total Revenue ]]</f>
        <v>0.87084235902452656</v>
      </c>
      <c r="O1709" s="31">
        <f>Project_Data_NYSE[[#This Row],[Operating Profit]]/Project_Data_NYSE[[#This Row],[ Total Revenue ]]</f>
        <v>0.49247956117671721</v>
      </c>
    </row>
    <row r="1710" spans="1:15" x14ac:dyDescent="0.2">
      <c r="A1710">
        <v>690</v>
      </c>
      <c r="B1710" t="s">
        <v>269</v>
      </c>
      <c r="C1710" t="s">
        <v>15</v>
      </c>
      <c r="D1710" s="48">
        <v>42004</v>
      </c>
      <c r="E1710" s="3">
        <v>24890000000</v>
      </c>
      <c r="F1710" s="3">
        <v>3788000000</v>
      </c>
      <c r="G1710" s="3">
        <f>Project_Data_NYSE[[#This Row],[ Total Revenue ]]-Project_Data_NYSE[[#This Row],[ Cost of Goods Sold ]]</f>
        <v>21102000000</v>
      </c>
      <c r="H1710" s="3">
        <v>2983000000</v>
      </c>
      <c r="I1710" s="3">
        <v>2854000000</v>
      </c>
      <c r="J1710" s="3">
        <v>0</v>
      </c>
      <c r="K1710" s="3">
        <f>Project_Data_NYSE[[#This Row],[Gross Profit]]-Project_Data_NYSE[[#This Row],[ Sales, General and Admin. ]]-Project_Data_NYSE[[#This Row],[ Research and Development ]]-Project_Data_NYSE[[#This Row],[ Other Operating Items ]]</f>
        <v>15265000000</v>
      </c>
      <c r="L1710" t="s">
        <v>24</v>
      </c>
      <c r="M1710" t="s">
        <v>65</v>
      </c>
      <c r="N1710" s="31">
        <f>Project_Data_NYSE[[#This Row],[Gross Profit]]/Project_Data_NYSE[[#This Row],[ Total Revenue ]]</f>
        <v>0.84781036560867817</v>
      </c>
      <c r="O1710" s="31">
        <f>Project_Data_NYSE[[#This Row],[Operating Profit]]/Project_Data_NYSE[[#This Row],[ Total Revenue ]]</f>
        <v>0.6132985134592206</v>
      </c>
    </row>
    <row r="1711" spans="1:15" x14ac:dyDescent="0.2">
      <c r="A1711">
        <v>691</v>
      </c>
      <c r="B1711" t="s">
        <v>269</v>
      </c>
      <c r="C1711" t="s">
        <v>16</v>
      </c>
      <c r="D1711" s="48">
        <v>42369</v>
      </c>
      <c r="E1711" s="3">
        <v>32639000000</v>
      </c>
      <c r="F1711" s="3">
        <v>4006000000</v>
      </c>
      <c r="G1711" s="3">
        <f>Project_Data_NYSE[[#This Row],[ Total Revenue ]]-Project_Data_NYSE[[#This Row],[ Cost of Goods Sold ]]</f>
        <v>28633000000</v>
      </c>
      <c r="H1711" s="3">
        <v>3426000000</v>
      </c>
      <c r="I1711" s="3">
        <v>3014000000</v>
      </c>
      <c r="J1711" s="3">
        <v>0</v>
      </c>
      <c r="K1711" s="3">
        <f>Project_Data_NYSE[[#This Row],[Gross Profit]]-Project_Data_NYSE[[#This Row],[ Sales, General and Admin. ]]-Project_Data_NYSE[[#This Row],[ Research and Development ]]-Project_Data_NYSE[[#This Row],[ Other Operating Items ]]</f>
        <v>22193000000</v>
      </c>
      <c r="L1711" t="s">
        <v>24</v>
      </c>
      <c r="M1711" t="s">
        <v>65</v>
      </c>
      <c r="N1711" s="31">
        <f>Project_Data_NYSE[[#This Row],[Gross Profit]]/Project_Data_NYSE[[#This Row],[ Total Revenue ]]</f>
        <v>0.87726339655013941</v>
      </c>
      <c r="O1711" s="31">
        <f>Project_Data_NYSE[[#This Row],[Operating Profit]]/Project_Data_NYSE[[#This Row],[ Total Revenue ]]</f>
        <v>0.67995342994577035</v>
      </c>
    </row>
  </sheetData>
  <phoneticPr fontId="20" type="noConversion"/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F342-D8AB-1C4C-803E-BFB333165031}">
  <dimension ref="A1:U419"/>
  <sheetViews>
    <sheetView workbookViewId="0">
      <selection activeCell="I252" sqref="I252"/>
    </sheetView>
  </sheetViews>
  <sheetFormatPr baseColWidth="10" defaultRowHeight="16" x14ac:dyDescent="0.2"/>
  <cols>
    <col min="1" max="1" width="30.33203125" customWidth="1"/>
    <col min="2" max="7" width="14.1640625" customWidth="1"/>
    <col min="9" max="9" width="14.83203125" customWidth="1"/>
    <col min="10" max="10" width="27.6640625" customWidth="1"/>
    <col min="12" max="21" width="12.33203125" customWidth="1"/>
  </cols>
  <sheetData>
    <row r="1" spans="1:16" ht="20" customHeight="1" x14ac:dyDescent="0.2">
      <c r="A1" s="50" t="s">
        <v>614</v>
      </c>
      <c r="B1" s="50" t="s">
        <v>607</v>
      </c>
      <c r="C1" s="50" t="s">
        <v>609</v>
      </c>
      <c r="D1" s="50" t="s">
        <v>608</v>
      </c>
      <c r="E1" s="50" t="s">
        <v>612</v>
      </c>
      <c r="F1" s="50" t="s">
        <v>610</v>
      </c>
      <c r="G1" s="50" t="s">
        <v>611</v>
      </c>
      <c r="J1" s="54" t="s">
        <v>614</v>
      </c>
      <c r="K1" s="54" t="s">
        <v>607</v>
      </c>
      <c r="M1" s="50"/>
      <c r="N1" s="54" t="s">
        <v>624</v>
      </c>
    </row>
    <row r="2" spans="1:16" ht="20" customHeight="1" x14ac:dyDescent="0.2">
      <c r="A2" s="62" t="s">
        <v>27</v>
      </c>
      <c r="B2" s="63">
        <v>0.2925175839438578</v>
      </c>
      <c r="C2" s="63">
        <v>2.4942609140233999E-2</v>
      </c>
      <c r="D2" s="63">
        <v>0.76394927536231882</v>
      </c>
      <c r="E2" s="63">
        <v>0.17076975602179931</v>
      </c>
      <c r="F2" s="63">
        <v>5.5240353100265913E-2</v>
      </c>
      <c r="G2" s="63">
        <v>0.5876898928187837</v>
      </c>
      <c r="J2" s="55" t="s">
        <v>80</v>
      </c>
      <c r="K2" s="56">
        <v>0.26239554646228902</v>
      </c>
      <c r="M2" s="50"/>
      <c r="N2" t="s">
        <v>620</v>
      </c>
      <c r="O2">
        <f>O3-'Summary Statistics'!$H$14</f>
        <v>-0.17582150797631835</v>
      </c>
      <c r="P2">
        <v>0</v>
      </c>
    </row>
    <row r="3" spans="1:16" ht="20" customHeight="1" x14ac:dyDescent="0.2">
      <c r="A3" s="49" t="s">
        <v>80</v>
      </c>
      <c r="B3" s="64">
        <v>0.26239554646228902</v>
      </c>
      <c r="C3" s="64">
        <v>0.16387176325524044</v>
      </c>
      <c r="D3" s="64">
        <v>0.38895571976857424</v>
      </c>
      <c r="E3" s="64">
        <v>0.23240071916126631</v>
      </c>
      <c r="F3" s="64">
        <v>0.21087771203840966</v>
      </c>
      <c r="G3" s="64">
        <v>0.34302499208855636</v>
      </c>
      <c r="J3" s="40" t="s">
        <v>27</v>
      </c>
      <c r="K3" s="57">
        <v>0.2925175839438578</v>
      </c>
      <c r="N3" t="s">
        <v>619</v>
      </c>
      <c r="O3">
        <f>O4-'Summary Statistics'!$H$14</f>
        <v>6.8330713543277799E-2</v>
      </c>
      <c r="P3">
        <v>0</v>
      </c>
    </row>
    <row r="4" spans="1:16" ht="20" customHeight="1" x14ac:dyDescent="0.2">
      <c r="A4" s="39" t="s">
        <v>198</v>
      </c>
      <c r="B4" s="58">
        <v>0.47183128839647825</v>
      </c>
      <c r="C4" s="58">
        <v>0.28711723988609067</v>
      </c>
      <c r="D4" s="58">
        <v>0.83270326125308736</v>
      </c>
      <c r="E4" s="58">
        <v>0.38062459291614281</v>
      </c>
      <c r="F4" s="58">
        <v>0.3303428311369957</v>
      </c>
      <c r="G4" s="58">
        <v>0.51291935838540592</v>
      </c>
      <c r="J4" s="39" t="s">
        <v>198</v>
      </c>
      <c r="K4" s="58">
        <v>0.47183128839647825</v>
      </c>
      <c r="N4" t="s">
        <v>618</v>
      </c>
      <c r="O4">
        <f>O5-'Summary Statistics'!$H$14</f>
        <v>0.31248293506287395</v>
      </c>
      <c r="P4">
        <v>0</v>
      </c>
    </row>
    <row r="5" spans="1:16" ht="20" customHeight="1" x14ac:dyDescent="0.2">
      <c r="A5" s="40" t="s">
        <v>165</v>
      </c>
      <c r="B5" s="57">
        <v>0.48193296486987219</v>
      </c>
      <c r="C5" s="57">
        <v>0.24555799716449933</v>
      </c>
      <c r="D5" s="57">
        <v>0.64671652836605831</v>
      </c>
      <c r="E5" s="57">
        <v>0.5409781040001066</v>
      </c>
      <c r="F5" s="57">
        <v>0.31657487055527478</v>
      </c>
      <c r="G5" s="57">
        <v>0.59578110569447429</v>
      </c>
      <c r="J5" s="40" t="s">
        <v>165</v>
      </c>
      <c r="K5" s="57">
        <v>0.48193296486987219</v>
      </c>
      <c r="N5" t="s">
        <v>607</v>
      </c>
      <c r="O5">
        <f>'Summary Statistics'!$B$14</f>
        <v>0.55663515658247009</v>
      </c>
      <c r="P5">
        <v>0</v>
      </c>
    </row>
    <row r="6" spans="1:16" ht="20" customHeight="1" x14ac:dyDescent="0.2">
      <c r="A6" s="40" t="s">
        <v>29</v>
      </c>
      <c r="B6" s="57">
        <v>0.57038081459311196</v>
      </c>
      <c r="C6" s="57">
        <v>0.41389435642605898</v>
      </c>
      <c r="D6" s="57">
        <v>0.75249629065244417</v>
      </c>
      <c r="E6" s="57">
        <v>0.54917837152186411</v>
      </c>
      <c r="F6" s="57">
        <v>0.45671274179597143</v>
      </c>
      <c r="G6" s="57">
        <v>0.66940452275265383</v>
      </c>
      <c r="J6" s="60" t="s">
        <v>24</v>
      </c>
      <c r="K6" s="58">
        <v>0.5566351565824702</v>
      </c>
      <c r="N6" t="s">
        <v>621</v>
      </c>
      <c r="O6">
        <f>O5+'Summary Statistics'!$H$14</f>
        <v>0.80078737810206624</v>
      </c>
      <c r="P6">
        <v>0</v>
      </c>
    </row>
    <row r="7" spans="1:16" ht="20" customHeight="1" x14ac:dyDescent="0.2">
      <c r="A7" s="60" t="s">
        <v>24</v>
      </c>
      <c r="B7" s="58">
        <v>0.5566351565824702</v>
      </c>
      <c r="C7" s="58">
        <v>2.4942609140233999E-2</v>
      </c>
      <c r="D7" s="58">
        <v>0.96099454992341393</v>
      </c>
      <c r="E7" s="58">
        <v>0.58636565614494307</v>
      </c>
      <c r="F7" s="58">
        <v>0.38619974590423017</v>
      </c>
      <c r="G7" s="58">
        <v>0.74849975808355462</v>
      </c>
      <c r="J7" s="40" t="s">
        <v>29</v>
      </c>
      <c r="K7" s="57">
        <v>0.57038081459311196</v>
      </c>
      <c r="N7" t="s">
        <v>622</v>
      </c>
      <c r="O7">
        <f>O6+'Summary Statistics'!$H$14</f>
        <v>1.0449395996216624</v>
      </c>
      <c r="P7">
        <v>0</v>
      </c>
    </row>
    <row r="8" spans="1:16" ht="20" customHeight="1" x14ac:dyDescent="0.2">
      <c r="A8" s="39" t="s">
        <v>317</v>
      </c>
      <c r="B8" s="58">
        <v>0.61922163048616918</v>
      </c>
      <c r="C8" s="58">
        <v>0.53885922154611299</v>
      </c>
      <c r="D8" s="58">
        <v>0.69795320399213967</v>
      </c>
      <c r="E8" s="58">
        <v>0.60699305646099067</v>
      </c>
      <c r="F8" s="58">
        <v>0.55994196891495807</v>
      </c>
      <c r="G8" s="58">
        <v>0.69541440694253098</v>
      </c>
      <c r="J8" s="39" t="s">
        <v>317</v>
      </c>
      <c r="K8" s="58">
        <v>0.61922163048616918</v>
      </c>
      <c r="N8" t="s">
        <v>623</v>
      </c>
      <c r="O8">
        <f>O7+'Summary Statistics'!$H$14</f>
        <v>1.2890918211412585</v>
      </c>
      <c r="P8">
        <v>0</v>
      </c>
    </row>
    <row r="9" spans="1:16" ht="20" customHeight="1" x14ac:dyDescent="0.2">
      <c r="A9" s="40" t="s">
        <v>25</v>
      </c>
      <c r="B9" s="57">
        <v>0.6988002997217142</v>
      </c>
      <c r="C9" s="57">
        <v>0.44712757044531409</v>
      </c>
      <c r="D9" s="57">
        <v>0.8203157875477981</v>
      </c>
      <c r="E9" s="57">
        <v>0.74808040484194893</v>
      </c>
      <c r="F9" s="57">
        <v>0.63436787738923439</v>
      </c>
      <c r="G9" s="57">
        <v>0.78776019899076499</v>
      </c>
      <c r="J9" s="40" t="s">
        <v>25</v>
      </c>
      <c r="K9" s="57">
        <v>0.6988002997217142</v>
      </c>
    </row>
    <row r="10" spans="1:16" ht="20" customHeight="1" x14ac:dyDescent="0.2">
      <c r="A10" s="39" t="s">
        <v>135</v>
      </c>
      <c r="B10" s="58">
        <v>0.82836383281599213</v>
      </c>
      <c r="C10" s="58">
        <v>0.82238326412854723</v>
      </c>
      <c r="D10" s="58">
        <v>0.8375648106431538</v>
      </c>
      <c r="E10" s="58">
        <v>0.82675362824613363</v>
      </c>
      <c r="F10" s="58">
        <v>0.82296959761680166</v>
      </c>
      <c r="G10" s="58">
        <v>0.8321478634453241</v>
      </c>
      <c r="J10" s="39" t="s">
        <v>135</v>
      </c>
      <c r="K10" s="58">
        <v>0.82836383281599213</v>
      </c>
    </row>
    <row r="11" spans="1:16" ht="20" customHeight="1" x14ac:dyDescent="0.2">
      <c r="A11" s="51" t="s">
        <v>65</v>
      </c>
      <c r="B11" s="61">
        <v>0.87777464384798509</v>
      </c>
      <c r="C11" s="61">
        <v>0.7447777182645956</v>
      </c>
      <c r="D11" s="61">
        <v>0.96099454992341393</v>
      </c>
      <c r="E11" s="61">
        <v>0.88515450919786598</v>
      </c>
      <c r="F11" s="61">
        <v>0.84106766925898235</v>
      </c>
      <c r="G11" s="61">
        <v>0.92313165362963723</v>
      </c>
      <c r="J11" s="43" t="s">
        <v>65</v>
      </c>
      <c r="K11" s="59">
        <v>0.87777464384798509</v>
      </c>
    </row>
    <row r="12" spans="1:16" ht="20" customHeight="1" x14ac:dyDescent="0.2"/>
    <row r="13" spans="1:16" ht="20" customHeight="1" x14ac:dyDescent="0.2">
      <c r="A13" s="50" t="s">
        <v>614</v>
      </c>
      <c r="B13" s="50" t="s">
        <v>607</v>
      </c>
      <c r="C13" s="50" t="s">
        <v>609</v>
      </c>
      <c r="D13" s="50" t="s">
        <v>608</v>
      </c>
      <c r="E13" s="50" t="s">
        <v>612</v>
      </c>
      <c r="F13" s="50" t="s">
        <v>610</v>
      </c>
      <c r="G13" s="50" t="s">
        <v>611</v>
      </c>
      <c r="J13" s="54" t="s">
        <v>614</v>
      </c>
      <c r="K13" s="54" t="s">
        <v>607</v>
      </c>
    </row>
    <row r="14" spans="1:16" ht="20" customHeight="1" x14ac:dyDescent="0.2">
      <c r="A14" s="62" t="s">
        <v>27</v>
      </c>
      <c r="B14" s="63">
        <v>9.4585917426842303E-2</v>
      </c>
      <c r="C14" s="63">
        <v>3.1054310157978709E-3</v>
      </c>
      <c r="D14" s="63">
        <v>0.28166086610795893</v>
      </c>
      <c r="E14" s="63">
        <v>4.5161244364828323E-2</v>
      </c>
      <c r="F14" s="63">
        <v>1.856866941058926E-2</v>
      </c>
      <c r="G14" s="63">
        <v>0.16961694100158542</v>
      </c>
      <c r="J14" s="55" t="s">
        <v>80</v>
      </c>
      <c r="K14" s="56">
        <v>5.8895173090930883E-2</v>
      </c>
      <c r="N14" t="s">
        <v>620</v>
      </c>
      <c r="O14">
        <f>O15-'Summary Statistics'!$H$30</f>
        <v>-0.2902813264401819</v>
      </c>
      <c r="P14">
        <v>0</v>
      </c>
    </row>
    <row r="15" spans="1:16" ht="20" customHeight="1" x14ac:dyDescent="0.2">
      <c r="A15" s="49" t="s">
        <v>80</v>
      </c>
      <c r="B15" s="64">
        <v>5.8895173090930883E-2</v>
      </c>
      <c r="C15" s="64">
        <v>1.6769420468557335E-2</v>
      </c>
      <c r="D15" s="64">
        <v>9.4632525634415987E-2</v>
      </c>
      <c r="E15" s="64">
        <v>6.6919161756114398E-2</v>
      </c>
      <c r="F15" s="64">
        <v>4.04277043084042E-2</v>
      </c>
      <c r="G15" s="64">
        <v>7.2936868089007637E-2</v>
      </c>
      <c r="J15" s="40" t="s">
        <v>27</v>
      </c>
      <c r="K15" s="57">
        <v>9.4585917426842303E-2</v>
      </c>
      <c r="N15" t="s">
        <v>619</v>
      </c>
      <c r="O15">
        <f>O16-'Summary Statistics'!$H$30</f>
        <v>-0.13528587559389452</v>
      </c>
      <c r="P15">
        <v>0</v>
      </c>
    </row>
    <row r="16" spans="1:16" ht="20" customHeight="1" x14ac:dyDescent="0.2">
      <c r="A16" s="39" t="s">
        <v>198</v>
      </c>
      <c r="B16" s="58">
        <v>0.14928641996396411</v>
      </c>
      <c r="C16" s="58">
        <v>9.9539996010691467E-2</v>
      </c>
      <c r="D16" s="58">
        <v>0.18670759375417056</v>
      </c>
      <c r="E16" s="58">
        <v>0.14810856182442228</v>
      </c>
      <c r="F16" s="58">
        <v>0.13811190124092543</v>
      </c>
      <c r="G16" s="58">
        <v>0.16386851185534904</v>
      </c>
      <c r="J16" s="39" t="s">
        <v>198</v>
      </c>
      <c r="K16" s="58">
        <v>0.14928641996396411</v>
      </c>
      <c r="N16" t="s">
        <v>618</v>
      </c>
      <c r="O16">
        <f>O17-'Summary Statistics'!$H$30</f>
        <v>1.9709575252392864E-2</v>
      </c>
      <c r="P16">
        <v>0</v>
      </c>
    </row>
    <row r="17" spans="1:21" ht="20" customHeight="1" x14ac:dyDescent="0.2">
      <c r="A17" s="39" t="s">
        <v>165</v>
      </c>
      <c r="B17" s="58">
        <v>0.20130729596527178</v>
      </c>
      <c r="C17" s="58">
        <v>0.13169899725106562</v>
      </c>
      <c r="D17" s="58">
        <v>0.32738509605708987</v>
      </c>
      <c r="E17" s="58">
        <v>0.17159716649166051</v>
      </c>
      <c r="F17" s="58">
        <v>0.15384980483459842</v>
      </c>
      <c r="G17" s="58">
        <v>0.25196353810104793</v>
      </c>
      <c r="J17" s="45" t="s">
        <v>24</v>
      </c>
      <c r="K17" s="57">
        <v>0.17470502609868024</v>
      </c>
      <c r="N17" t="s">
        <v>607</v>
      </c>
      <c r="O17">
        <f>'Summary Statistics'!$B$30</f>
        <v>0.17470502609868024</v>
      </c>
      <c r="P17">
        <v>0</v>
      </c>
    </row>
    <row r="18" spans="1:21" ht="20" customHeight="1" x14ac:dyDescent="0.2">
      <c r="A18" s="39" t="s">
        <v>29</v>
      </c>
      <c r="B18" s="58">
        <v>0.17763347491260292</v>
      </c>
      <c r="C18" s="58">
        <v>4.5044141252006419E-2</v>
      </c>
      <c r="D18" s="58">
        <v>0.37636307447794798</v>
      </c>
      <c r="E18" s="58">
        <v>0.1761544541155739</v>
      </c>
      <c r="F18" s="58">
        <v>0.12886910956277248</v>
      </c>
      <c r="G18" s="58">
        <v>0.21133052647259398</v>
      </c>
      <c r="J18" s="39" t="s">
        <v>29</v>
      </c>
      <c r="K18" s="58">
        <v>0.17763347491260292</v>
      </c>
      <c r="N18" t="s">
        <v>621</v>
      </c>
      <c r="O18">
        <f>O17+'Summary Statistics'!$H$30</f>
        <v>0.32970047694496762</v>
      </c>
      <c r="P18">
        <v>0</v>
      </c>
    </row>
    <row r="19" spans="1:21" ht="20" customHeight="1" x14ac:dyDescent="0.2">
      <c r="A19" s="45" t="s">
        <v>24</v>
      </c>
      <c r="B19" s="57">
        <v>0.17470502609868024</v>
      </c>
      <c r="C19" s="57">
        <v>-1.1052212640955179</v>
      </c>
      <c r="D19" s="57">
        <v>0.67995342994577035</v>
      </c>
      <c r="E19" s="57">
        <v>0.1768327315250097</v>
      </c>
      <c r="F19" s="57">
        <v>0.1022652217068451</v>
      </c>
      <c r="G19" s="57">
        <v>0.2542822953437045</v>
      </c>
      <c r="J19" s="40" t="s">
        <v>135</v>
      </c>
      <c r="K19" s="57">
        <v>0.19715019551205218</v>
      </c>
      <c r="N19" t="s">
        <v>622</v>
      </c>
      <c r="O19">
        <f>O18+'Summary Statistics'!$H$30</f>
        <v>0.48469592779125503</v>
      </c>
      <c r="P19">
        <v>0</v>
      </c>
    </row>
    <row r="20" spans="1:21" ht="20" customHeight="1" x14ac:dyDescent="0.2">
      <c r="A20" s="40" t="s">
        <v>135</v>
      </c>
      <c r="B20" s="57">
        <v>0.19715019551205218</v>
      </c>
      <c r="C20" s="57">
        <v>0.17651725873263693</v>
      </c>
      <c r="D20" s="57">
        <v>0.22425818533089723</v>
      </c>
      <c r="E20" s="57">
        <v>0.19391266899233728</v>
      </c>
      <c r="F20" s="57">
        <v>0.18657976733868342</v>
      </c>
      <c r="G20" s="57">
        <v>0.20448309716570606</v>
      </c>
      <c r="J20" s="39" t="s">
        <v>165</v>
      </c>
      <c r="K20" s="58">
        <v>0.20130729596527178</v>
      </c>
      <c r="N20" t="s">
        <v>623</v>
      </c>
      <c r="O20">
        <f>O19+'Summary Statistics'!$H$30</f>
        <v>0.63969137863754244</v>
      </c>
      <c r="P20">
        <v>0</v>
      </c>
    </row>
    <row r="21" spans="1:21" ht="20" customHeight="1" x14ac:dyDescent="0.2">
      <c r="A21" s="40" t="s">
        <v>317</v>
      </c>
      <c r="B21" s="57">
        <v>0.21663919890031352</v>
      </c>
      <c r="C21" s="57">
        <v>0.16736749372703488</v>
      </c>
      <c r="D21" s="57">
        <v>0.28188472457858094</v>
      </c>
      <c r="E21" s="57">
        <v>0.21363484554832085</v>
      </c>
      <c r="F21" s="57">
        <v>0.19123007176689716</v>
      </c>
      <c r="G21" s="57">
        <v>0.23657830763734627</v>
      </c>
      <c r="J21" s="40" t="s">
        <v>317</v>
      </c>
      <c r="K21" s="57">
        <v>0.21663919890031352</v>
      </c>
    </row>
    <row r="22" spans="1:21" ht="20" customHeight="1" x14ac:dyDescent="0.2">
      <c r="A22" s="39" t="s">
        <v>25</v>
      </c>
      <c r="B22" s="58">
        <v>0.23550299769513575</v>
      </c>
      <c r="C22" s="58">
        <v>0.14460246253698578</v>
      </c>
      <c r="D22" s="58">
        <v>0.33627892733715387</v>
      </c>
      <c r="E22" s="58">
        <v>0.21675794743402615</v>
      </c>
      <c r="F22" s="58">
        <v>0.18552659541265507</v>
      </c>
      <c r="G22" s="58">
        <v>0.28238392940069429</v>
      </c>
      <c r="J22" s="39" t="s">
        <v>25</v>
      </c>
      <c r="K22" s="58">
        <v>0.23550299769513575</v>
      </c>
    </row>
    <row r="23" spans="1:21" ht="20" customHeight="1" x14ac:dyDescent="0.2">
      <c r="A23" s="51" t="s">
        <v>65</v>
      </c>
      <c r="B23" s="61">
        <v>0.26040943892965146</v>
      </c>
      <c r="C23" s="61">
        <v>-1.1052212640955179</v>
      </c>
      <c r="D23" s="61">
        <v>0.67995342994577035</v>
      </c>
      <c r="E23" s="61">
        <v>0.32445043932753809</v>
      </c>
      <c r="F23" s="61">
        <v>0.27541079231379684</v>
      </c>
      <c r="G23" s="61">
        <v>0.40480869900576788</v>
      </c>
      <c r="J23" s="43" t="s">
        <v>65</v>
      </c>
      <c r="K23" s="59">
        <v>0.26040943892965146</v>
      </c>
    </row>
    <row r="24" spans="1:21" ht="20" customHeight="1" x14ac:dyDescent="0.2">
      <c r="B24" s="44"/>
      <c r="C24" s="44"/>
      <c r="D24" s="44"/>
      <c r="E24" s="44"/>
      <c r="F24" s="44"/>
      <c r="G24" s="44"/>
      <c r="L24" s="2"/>
    </row>
    <row r="25" spans="1:21" x14ac:dyDescent="0.2">
      <c r="A25" s="107" t="s">
        <v>615</v>
      </c>
      <c r="B25" s="107"/>
      <c r="C25" s="107"/>
      <c r="D25" s="107"/>
      <c r="E25" s="107"/>
      <c r="F25" s="107"/>
      <c r="G25" s="107"/>
      <c r="H25" s="107"/>
      <c r="I25" s="107"/>
      <c r="J25" s="107"/>
      <c r="L25" s="107" t="s">
        <v>616</v>
      </c>
      <c r="M25" s="107"/>
      <c r="N25" s="107"/>
      <c r="O25" s="107"/>
      <c r="P25" s="107"/>
      <c r="Q25" s="107"/>
      <c r="R25" s="107"/>
      <c r="S25" s="107"/>
      <c r="T25" s="107"/>
      <c r="U25" s="107"/>
    </row>
    <row r="26" spans="1:21" x14ac:dyDescent="0.2">
      <c r="A26" s="27" t="s">
        <v>65</v>
      </c>
      <c r="B26" s="27" t="s">
        <v>27</v>
      </c>
      <c r="C26" s="27" t="s">
        <v>29</v>
      </c>
      <c r="D26" s="27" t="s">
        <v>198</v>
      </c>
      <c r="E26" s="27" t="s">
        <v>165</v>
      </c>
      <c r="F26" s="27" t="s">
        <v>135</v>
      </c>
      <c r="G26" s="27" t="s">
        <v>317</v>
      </c>
      <c r="H26" s="27" t="s">
        <v>80</v>
      </c>
      <c r="I26" s="27" t="s">
        <v>25</v>
      </c>
      <c r="J26" s="27" t="s">
        <v>24</v>
      </c>
      <c r="L26" s="27" t="s">
        <v>65</v>
      </c>
      <c r="M26" s="27" t="s">
        <v>27</v>
      </c>
      <c r="N26" s="27" t="s">
        <v>29</v>
      </c>
      <c r="O26" s="27" t="s">
        <v>198</v>
      </c>
      <c r="P26" s="27" t="s">
        <v>165</v>
      </c>
      <c r="Q26" s="27" t="s">
        <v>135</v>
      </c>
      <c r="R26" s="27" t="s">
        <v>317</v>
      </c>
      <c r="S26" s="27" t="s">
        <v>80</v>
      </c>
      <c r="T26" s="27" t="s">
        <v>25</v>
      </c>
      <c r="U26" s="27" t="s">
        <v>24</v>
      </c>
    </row>
    <row r="27" spans="1:21" x14ac:dyDescent="0.2">
      <c r="A27" s="52">
        <v>0.88554713132982588</v>
      </c>
      <c r="B27" s="52">
        <v>2.8511172689936911E-2</v>
      </c>
      <c r="C27" s="52">
        <v>0.53286089238845147</v>
      </c>
      <c r="D27" s="52">
        <v>0.40877691995123933</v>
      </c>
      <c r="E27" s="52">
        <v>0.64671652836605831</v>
      </c>
      <c r="F27" s="52">
        <v>0.82316504211288644</v>
      </c>
      <c r="G27" s="52">
        <v>0.64164165220683123</v>
      </c>
      <c r="H27" s="52">
        <v>0.21600333023292118</v>
      </c>
      <c r="I27" s="52">
        <v>0.75473340587595217</v>
      </c>
      <c r="J27" s="52">
        <v>0.88554713132982588</v>
      </c>
      <c r="L27" s="52">
        <v>0.36262316723670929</v>
      </c>
      <c r="M27" s="52">
        <v>1.0213818873477963E-2</v>
      </c>
      <c r="N27" s="52">
        <v>7.1391076115485563E-2</v>
      </c>
      <c r="O27" s="52">
        <v>0.16267100094812406</v>
      </c>
      <c r="P27" s="52">
        <v>0.20595947031129447</v>
      </c>
      <c r="Q27" s="52">
        <v>0.19789140111064235</v>
      </c>
      <c r="R27" s="52">
        <v>0.16736749372703488</v>
      </c>
      <c r="S27" s="52">
        <v>7.1061771918071073E-2</v>
      </c>
      <c r="T27" s="52">
        <v>0.33215451577801958</v>
      </c>
      <c r="U27" s="52">
        <v>0.36262316723670929</v>
      </c>
    </row>
    <row r="28" spans="1:21" x14ac:dyDescent="0.2">
      <c r="A28" s="31">
        <v>0.92211280214861235</v>
      </c>
      <c r="B28" s="31">
        <v>2.4942609140233999E-2</v>
      </c>
      <c r="C28" s="31">
        <v>0.53232945006867782</v>
      </c>
      <c r="D28" s="31">
        <v>0.39462636439966414</v>
      </c>
      <c r="E28" s="31">
        <v>0.63545537951397624</v>
      </c>
      <c r="F28" s="31">
        <v>0.82238326412854723</v>
      </c>
      <c r="G28" s="31">
        <v>0.69718452871505643</v>
      </c>
      <c r="H28" s="31">
        <v>0.20819024689011384</v>
      </c>
      <c r="I28" s="31">
        <v>0.75620010643959557</v>
      </c>
      <c r="J28" s="31">
        <v>0.92211280214861235</v>
      </c>
      <c r="L28" s="31">
        <v>0.40107430617726053</v>
      </c>
      <c r="M28" s="31">
        <v>6.5409108490020167E-3</v>
      </c>
      <c r="N28" s="31">
        <v>0.10851096301571959</v>
      </c>
      <c r="O28" s="31">
        <v>0.14007836551917158</v>
      </c>
      <c r="P28" s="31">
        <v>0.17842023639869226</v>
      </c>
      <c r="Q28" s="31">
        <v>0.22425818533089723</v>
      </c>
      <c r="R28" s="31">
        <v>0.23516916144019581</v>
      </c>
      <c r="S28" s="31">
        <v>6.4601153139453846E-2</v>
      </c>
      <c r="T28" s="31">
        <v>0.31942522618414049</v>
      </c>
      <c r="U28" s="31">
        <v>0.40107430617726053</v>
      </c>
    </row>
    <row r="29" spans="1:21" x14ac:dyDescent="0.2">
      <c r="A29" s="52">
        <v>0.91052227342549918</v>
      </c>
      <c r="B29" s="52">
        <v>2.5958121487988799E-2</v>
      </c>
      <c r="C29" s="52">
        <v>0.54472267496419224</v>
      </c>
      <c r="D29" s="52">
        <v>0.37632817753866848</v>
      </c>
      <c r="E29" s="52">
        <v>0.59556275249574309</v>
      </c>
      <c r="F29" s="52">
        <v>0.83034221437938094</v>
      </c>
      <c r="G29" s="52">
        <v>0.69795320399213967</v>
      </c>
      <c r="H29" s="52">
        <v>0.23038114846746019</v>
      </c>
      <c r="I29" s="52">
        <v>0.77825651302605214</v>
      </c>
      <c r="J29" s="52">
        <v>0.91052227342549918</v>
      </c>
      <c r="L29" s="52">
        <v>0.23732718894009217</v>
      </c>
      <c r="M29" s="52">
        <v>3.1054310157978709E-3</v>
      </c>
      <c r="N29" s="52">
        <v>0.12836469600434633</v>
      </c>
      <c r="O29" s="52">
        <v>0.13221250840618695</v>
      </c>
      <c r="P29" s="52">
        <v>0.13169899725106562</v>
      </c>
      <c r="Q29" s="52">
        <v>0.17651725873263693</v>
      </c>
      <c r="R29" s="52">
        <v>0.28188472457858094</v>
      </c>
      <c r="S29" s="52">
        <v>6.8358193196262296E-2</v>
      </c>
      <c r="T29" s="52">
        <v>0.18852705410821644</v>
      </c>
      <c r="U29" s="52">
        <v>0.23732718894009217</v>
      </c>
    </row>
    <row r="30" spans="1:21" x14ac:dyDescent="0.2">
      <c r="A30" s="31">
        <v>0.91634241245136183</v>
      </c>
      <c r="B30" s="31">
        <v>2.9095097962960576E-2</v>
      </c>
      <c r="C30" s="31">
        <v>0.57133055623621665</v>
      </c>
      <c r="D30" s="31">
        <v>0.37848658748164954</v>
      </c>
      <c r="E30" s="31">
        <v>0.59643616529066801</v>
      </c>
      <c r="F30" s="53">
        <v>0.8375648106431538</v>
      </c>
      <c r="G30" s="31">
        <v>0.6948243663516892</v>
      </c>
      <c r="H30" s="31">
        <v>0.22789789846696101</v>
      </c>
      <c r="I30" s="31">
        <v>0.803140994794173</v>
      </c>
      <c r="J30" s="31">
        <v>0.91634241245136183</v>
      </c>
      <c r="L30" s="31">
        <v>0.2454604409857328</v>
      </c>
      <c r="M30" s="31">
        <v>1.0390039240533343E-2</v>
      </c>
      <c r="N30" s="31">
        <v>0.14050477824062729</v>
      </c>
      <c r="O30" s="31">
        <v>0.18670759375417056</v>
      </c>
      <c r="P30" s="31">
        <v>0.16477409658462874</v>
      </c>
      <c r="Q30" s="53">
        <v>0.18993393687403223</v>
      </c>
      <c r="R30" s="31">
        <v>0.24080574622879761</v>
      </c>
      <c r="S30" s="31">
        <v>6.6636346983507358E-2</v>
      </c>
      <c r="T30" s="31">
        <v>0.33627892733715387</v>
      </c>
      <c r="U30" s="31">
        <v>0.2454604409857328</v>
      </c>
    </row>
    <row r="31" spans="1:21" x14ac:dyDescent="0.2">
      <c r="A31" s="52">
        <v>0.820839580209895</v>
      </c>
      <c r="B31" s="52">
        <v>0.73838034163781852</v>
      </c>
      <c r="C31" s="52">
        <v>0.51191159586681978</v>
      </c>
      <c r="D31" s="52">
        <v>0.3179381843767865</v>
      </c>
      <c r="E31" s="52">
        <v>0.32738509605708987</v>
      </c>
      <c r="G31" s="52">
        <v>0.53885922154611321</v>
      </c>
      <c r="H31" s="52">
        <v>0.38528108794944882</v>
      </c>
      <c r="I31" s="52">
        <v>0.78779741100896328</v>
      </c>
      <c r="J31" s="52">
        <v>0.820839580209895</v>
      </c>
      <c r="L31" s="52">
        <v>0.3141464981794817</v>
      </c>
      <c r="M31" s="52">
        <v>0.23210941490267295</v>
      </c>
      <c r="N31" s="52">
        <v>0.19876578645235363</v>
      </c>
      <c r="O31" s="52">
        <v>0.16746104457702399</v>
      </c>
      <c r="P31" s="52">
        <v>0.32738509605708987</v>
      </c>
      <c r="R31" s="52">
        <v>0.18846501766309146</v>
      </c>
      <c r="S31" s="52">
        <v>8.5064734365877956E-2</v>
      </c>
      <c r="T31" s="52">
        <v>0.25170107152021376</v>
      </c>
      <c r="U31" s="52">
        <v>0.3141464981794817</v>
      </c>
    </row>
    <row r="32" spans="1:21" x14ac:dyDescent="0.2">
      <c r="A32" s="31">
        <v>0.77959427802422365</v>
      </c>
      <c r="B32" s="31">
        <v>0.71809581934696365</v>
      </c>
      <c r="C32" s="31">
        <v>0.44215446722617657</v>
      </c>
      <c r="D32" s="31">
        <v>0.3030991027749797</v>
      </c>
      <c r="E32" s="31">
        <v>0.28414419404982955</v>
      </c>
      <c r="G32" s="31">
        <v>0.54656447771364491</v>
      </c>
      <c r="H32" s="31">
        <v>0.35562075355157502</v>
      </c>
      <c r="I32" s="31">
        <v>0.78764856293617036</v>
      </c>
      <c r="J32" s="31">
        <v>0.77959427802422365</v>
      </c>
      <c r="L32" s="31">
        <v>0.30857797936500025</v>
      </c>
      <c r="M32" s="31">
        <v>0.1889533109551419</v>
      </c>
      <c r="N32" s="31">
        <v>5.2693084032720702E-2</v>
      </c>
      <c r="O32" s="31">
        <v>0.12924358532988214</v>
      </c>
      <c r="P32" s="31">
        <v>0.28414419404982955</v>
      </c>
      <c r="R32" s="31">
        <v>0.19215175646816571</v>
      </c>
      <c r="S32" s="31">
        <v>6.7201976528721438E-2</v>
      </c>
      <c r="T32" s="31">
        <v>0.26249183363547079</v>
      </c>
      <c r="U32" s="31">
        <v>0.30857797936500025</v>
      </c>
    </row>
    <row r="33" spans="1:21" x14ac:dyDescent="0.2">
      <c r="A33" s="52">
        <v>0.80486566337364973</v>
      </c>
      <c r="B33" s="52">
        <v>0.75237735373764092</v>
      </c>
      <c r="C33" s="52">
        <v>0.42737195633921077</v>
      </c>
      <c r="D33" s="52">
        <v>0.2872817935232424</v>
      </c>
      <c r="E33" s="52">
        <v>0.27118016091069369</v>
      </c>
      <c r="G33" s="52">
        <v>0.56440113264872904</v>
      </c>
      <c r="H33" s="52">
        <v>0.38895571976857424</v>
      </c>
      <c r="I33" s="52">
        <v>0.74854197679398027</v>
      </c>
      <c r="J33" s="52">
        <v>0.80486566337364973</v>
      </c>
      <c r="L33" s="52">
        <v>0.39100729387868155</v>
      </c>
      <c r="M33" s="52">
        <v>0.16317148435039991</v>
      </c>
      <c r="N33" s="52">
        <v>6.1199738781602758E-2</v>
      </c>
      <c r="O33" s="52">
        <v>0.14117585270493266</v>
      </c>
      <c r="P33" s="52">
        <v>0.27118016091069369</v>
      </c>
      <c r="R33" s="52">
        <v>0.20921189239419616</v>
      </c>
      <c r="S33" s="52">
        <v>9.4632525634415987E-2</v>
      </c>
      <c r="T33" s="52">
        <v>0.18705520096249922</v>
      </c>
      <c r="U33" s="52">
        <v>0.39100729387868155</v>
      </c>
    </row>
    <row r="34" spans="1:21" x14ac:dyDescent="0.2">
      <c r="A34" s="31">
        <v>0.81897264146840065</v>
      </c>
      <c r="B34" s="31">
        <v>0.76394927536231882</v>
      </c>
      <c r="C34" s="31">
        <v>0.4159309791332263</v>
      </c>
      <c r="D34" s="31">
        <v>0.28711723988609067</v>
      </c>
      <c r="E34" s="31">
        <v>0.24555799716449933</v>
      </c>
      <c r="G34" s="53">
        <v>0.57234446071514999</v>
      </c>
      <c r="H34" s="31">
        <v>0.38509874326750448</v>
      </c>
      <c r="I34" s="31">
        <v>0.74761883288991771</v>
      </c>
      <c r="J34" s="31">
        <v>0.81897264146840065</v>
      </c>
      <c r="L34" s="31">
        <v>0.4259927797833935</v>
      </c>
      <c r="M34" s="31">
        <v>0.11413043478260869</v>
      </c>
      <c r="N34" s="31">
        <v>4.5044141252006419E-2</v>
      </c>
      <c r="O34" s="31">
        <v>9.9539996010691467E-2</v>
      </c>
      <c r="P34" s="31">
        <v>0.24555799716449933</v>
      </c>
      <c r="R34" s="53">
        <v>0.21805779870244557</v>
      </c>
      <c r="S34" s="31">
        <v>8.7839264969901784E-2</v>
      </c>
      <c r="T34" s="31">
        <v>0.18501706022937367</v>
      </c>
      <c r="U34" s="31">
        <v>0.4259927797833935</v>
      </c>
    </row>
    <row r="35" spans="1:21" x14ac:dyDescent="0.2">
      <c r="A35" s="52">
        <v>0.87627304463229572</v>
      </c>
      <c r="B35" s="52">
        <v>4.8677950006429722E-2</v>
      </c>
      <c r="C35" s="52">
        <v>0.60832923430070507</v>
      </c>
      <c r="D35" s="52">
        <v>0.8268257958985854</v>
      </c>
      <c r="E35" s="52">
        <v>0.53147506734839733</v>
      </c>
      <c r="H35" s="52">
        <v>0.16387176325524044</v>
      </c>
      <c r="I35" s="52">
        <v>0.65206169208961851</v>
      </c>
      <c r="J35" s="52">
        <v>0.87627304463229572</v>
      </c>
      <c r="L35" s="52">
        <v>0.35926545685352412</v>
      </c>
      <c r="M35" s="52">
        <v>1.8675872711265865E-2</v>
      </c>
      <c r="N35" s="52">
        <v>0.20957534021970814</v>
      </c>
      <c r="O35" s="52">
        <v>0.14588192530215369</v>
      </c>
      <c r="P35" s="52">
        <v>0.13920637993955121</v>
      </c>
      <c r="S35" s="52">
        <v>1.6769420468557335E-2</v>
      </c>
      <c r="T35" s="52">
        <v>0.20896185499397044</v>
      </c>
      <c r="U35" s="52">
        <v>0.35926545685352412</v>
      </c>
    </row>
    <row r="36" spans="1:21" x14ac:dyDescent="0.2">
      <c r="A36" s="31">
        <v>0.87931940679974852</v>
      </c>
      <c r="B36" s="31">
        <v>5.6661982345966359E-2</v>
      </c>
      <c r="C36" s="31">
        <v>0.62131423757371529</v>
      </c>
      <c r="D36" s="31">
        <v>0.82534667368790593</v>
      </c>
      <c r="E36" s="31">
        <v>0.53456689711264738</v>
      </c>
      <c r="H36" s="31">
        <v>0.17195986375770966</v>
      </c>
      <c r="I36" s="31">
        <v>0.6149705902391388</v>
      </c>
      <c r="J36" s="31">
        <v>0.87931940679974852</v>
      </c>
      <c r="L36" s="31">
        <v>0.40766543340925254</v>
      </c>
      <c r="M36" s="31">
        <v>2.0969654384963329E-2</v>
      </c>
      <c r="N36" s="31">
        <v>0.23513659886869659</v>
      </c>
      <c r="O36" s="31">
        <v>0.14019074366625708</v>
      </c>
      <c r="P36" s="31">
        <v>0.14660431069540464</v>
      </c>
      <c r="S36" s="31">
        <v>2.5499401638589707E-2</v>
      </c>
      <c r="T36" s="31">
        <v>0.17407398996207391</v>
      </c>
      <c r="U36" s="31">
        <v>0.40766543340925254</v>
      </c>
    </row>
    <row r="37" spans="1:21" x14ac:dyDescent="0.2">
      <c r="A37" s="52">
        <v>0.88476188706590608</v>
      </c>
      <c r="B37" s="52">
        <v>5.5709980396172865E-2</v>
      </c>
      <c r="C37" s="52">
        <v>0.61908665105386418</v>
      </c>
      <c r="D37" s="52">
        <v>0.83038084403272117</v>
      </c>
      <c r="E37" s="52">
        <v>0.54738931088756582</v>
      </c>
      <c r="H37" s="52">
        <v>0.23442028985507246</v>
      </c>
      <c r="I37" s="52">
        <v>0.60300210715723179</v>
      </c>
      <c r="J37" s="52">
        <v>0.88476188706590608</v>
      </c>
      <c r="L37" s="52">
        <v>0.46307066277708614</v>
      </c>
      <c r="M37" s="52">
        <v>2.1369146892159446E-2</v>
      </c>
      <c r="N37" s="52">
        <v>0.24692622950819673</v>
      </c>
      <c r="O37" s="52">
        <v>0.15073947667804324</v>
      </c>
      <c r="P37" s="52">
        <v>0.15626496954766303</v>
      </c>
      <c r="S37" s="52">
        <v>2.8019323671497585E-2</v>
      </c>
      <c r="T37" s="52">
        <v>0.15822619977744631</v>
      </c>
      <c r="U37" s="52">
        <v>0.46307066277708614</v>
      </c>
    </row>
    <row r="38" spans="1:21" x14ac:dyDescent="0.2">
      <c r="A38" s="31">
        <v>0.87084235902452656</v>
      </c>
      <c r="B38" s="31">
        <v>5.3831471212545043E-2</v>
      </c>
      <c r="C38" s="31">
        <v>0.63066774367259015</v>
      </c>
      <c r="D38" s="31">
        <v>0.83270326125308736</v>
      </c>
      <c r="E38" s="31">
        <v>0.56732602924129683</v>
      </c>
      <c r="H38" s="31">
        <v>0.24244288224956062</v>
      </c>
      <c r="I38" s="31">
        <v>0.62190490657754827</v>
      </c>
      <c r="J38" s="31">
        <v>0.87084235902452656</v>
      </c>
      <c r="L38" s="31">
        <v>0.49247956117671721</v>
      </c>
      <c r="M38" s="31">
        <v>2.004179487601402E-2</v>
      </c>
      <c r="N38" s="31">
        <v>0.25514270328486804</v>
      </c>
      <c r="O38" s="31">
        <v>0.15033519834669087</v>
      </c>
      <c r="P38" s="31">
        <v>0.16449164267284896</v>
      </c>
      <c r="S38" s="31">
        <v>3.0975395430579963E-2</v>
      </c>
      <c r="T38" s="31">
        <v>0.19107296571978327</v>
      </c>
      <c r="U38" s="31">
        <v>0.49247956117671721</v>
      </c>
    </row>
    <row r="39" spans="1:21" x14ac:dyDescent="0.2">
      <c r="A39" s="52">
        <v>0.94758157655646069</v>
      </c>
      <c r="B39" s="52">
        <v>0.2804834738204291</v>
      </c>
      <c r="C39" s="52">
        <v>0.51787931462627268</v>
      </c>
      <c r="D39" s="52">
        <v>0.39667454244101985</v>
      </c>
      <c r="H39" s="52">
        <v>0.21177353375450828</v>
      </c>
      <c r="I39" s="52">
        <v>0.45701849836779107</v>
      </c>
      <c r="J39" s="52">
        <v>0.94758157655646069</v>
      </c>
      <c r="L39" s="52">
        <v>0.30490152296770817</v>
      </c>
      <c r="M39" s="52">
        <v>7.0934601883877194E-2</v>
      </c>
      <c r="N39" s="52">
        <v>0.1558231934442513</v>
      </c>
      <c r="O39" s="52">
        <v>0.18492788376767641</v>
      </c>
      <c r="S39" s="52">
        <v>4.9887444630019609E-2</v>
      </c>
      <c r="T39" s="52">
        <v>0.18142131716669258</v>
      </c>
      <c r="U39" s="52">
        <v>0.30490152296770817</v>
      </c>
    </row>
    <row r="40" spans="1:21" x14ac:dyDescent="0.2">
      <c r="A40" s="31">
        <v>0.94968971631205679</v>
      </c>
      <c r="B40" s="31">
        <v>0.27780693084892688</v>
      </c>
      <c r="C40" s="31">
        <v>0.50923514089509825</v>
      </c>
      <c r="D40" s="31">
        <v>0.38276259835063614</v>
      </c>
      <c r="H40" s="31">
        <v>0.2130721649484536</v>
      </c>
      <c r="I40" s="31">
        <v>0.44712757044531409</v>
      </c>
      <c r="J40" s="31">
        <v>0.94968971631205679</v>
      </c>
      <c r="L40" s="31">
        <v>0.33475438047559447</v>
      </c>
      <c r="M40" s="31">
        <v>7.0816755393228098E-2</v>
      </c>
      <c r="N40" s="31">
        <v>0.19014918304522851</v>
      </c>
      <c r="O40" s="31">
        <v>0.17435394177298005</v>
      </c>
      <c r="S40" s="31">
        <v>4.8701030927835051E-2</v>
      </c>
      <c r="T40" s="31">
        <v>0.14460246253698578</v>
      </c>
      <c r="U40" s="31">
        <v>0.33475438047559447</v>
      </c>
    </row>
    <row r="41" spans="1:21" x14ac:dyDescent="0.2">
      <c r="A41" s="52">
        <v>0.95461322385479686</v>
      </c>
      <c r="B41" s="52">
        <v>0.28070634697952734</v>
      </c>
      <c r="C41" s="52">
        <v>0.45662322505349157</v>
      </c>
      <c r="D41" s="52">
        <v>0.36647481535697651</v>
      </c>
      <c r="H41" s="52">
        <v>0.18456777616091657</v>
      </c>
      <c r="I41" s="52">
        <v>0.8203157875477981</v>
      </c>
      <c r="J41" s="52">
        <v>0.95461322385479686</v>
      </c>
      <c r="L41" s="52">
        <v>0.27595073465859982</v>
      </c>
      <c r="M41" s="52">
        <v>6.8953341837497198E-2</v>
      </c>
      <c r="N41" s="52">
        <v>0.14588601439408674</v>
      </c>
      <c r="O41" s="52">
        <v>0.15440149045179319</v>
      </c>
      <c r="S41" s="52">
        <v>4.3231593877212697E-2</v>
      </c>
      <c r="T41" s="52">
        <v>0.31238450701648462</v>
      </c>
      <c r="U41" s="52">
        <v>0.27595073465859982</v>
      </c>
    </row>
    <row r="42" spans="1:21" x14ac:dyDescent="0.2">
      <c r="A42" s="31">
        <v>0.96099454992341393</v>
      </c>
      <c r="B42" s="31">
        <v>0.28338086829952891</v>
      </c>
      <c r="C42" s="31">
        <v>0.47993270848353758</v>
      </c>
      <c r="D42" s="31">
        <v>0.33447771339039872</v>
      </c>
      <c r="H42" s="31">
        <v>0.17234594236745804</v>
      </c>
      <c r="I42" s="31">
        <v>0.81416718362282881</v>
      </c>
      <c r="J42" s="31">
        <v>0.96099454992341393</v>
      </c>
      <c r="L42" s="31">
        <v>0.28536316033199161</v>
      </c>
      <c r="M42" s="31">
        <v>7.2335214129366915E-2</v>
      </c>
      <c r="N42" s="31">
        <v>0.17287511014980372</v>
      </c>
      <c r="O42" s="31">
        <v>0.12866211218764761</v>
      </c>
      <c r="S42" s="31">
        <v>3.2016035601978708E-2</v>
      </c>
      <c r="T42" s="31">
        <v>0.31726892059553352</v>
      </c>
      <c r="U42" s="31">
        <v>0.28536316033199161</v>
      </c>
    </row>
    <row r="43" spans="1:21" x14ac:dyDescent="0.2">
      <c r="A43" s="52">
        <v>0.74531024531024526</v>
      </c>
      <c r="B43" s="52">
        <v>5.6311172215129789E-2</v>
      </c>
      <c r="C43" s="52">
        <v>0.67595530417988692</v>
      </c>
      <c r="H43" s="52">
        <v>0.2680240674672828</v>
      </c>
      <c r="I43" s="52">
        <v>0.80693478479991931</v>
      </c>
      <c r="J43" s="52">
        <v>0.74531024531024526</v>
      </c>
      <c r="L43" s="52">
        <v>0.41331684188827045</v>
      </c>
      <c r="M43" s="52">
        <v>1.9133195849291303E-2</v>
      </c>
      <c r="N43" s="52">
        <v>0.15036556766450546</v>
      </c>
      <c r="S43" s="52">
        <v>7.8562156601817312E-2</v>
      </c>
      <c r="T43" s="52">
        <v>0.27212982562241711</v>
      </c>
      <c r="U43" s="52">
        <v>0.41331684188827045</v>
      </c>
    </row>
    <row r="44" spans="1:21" x14ac:dyDescent="0.2">
      <c r="A44" s="31">
        <v>0.7447777182645956</v>
      </c>
      <c r="B44" s="31">
        <v>6.0789565622452545E-2</v>
      </c>
      <c r="C44" s="31">
        <v>0.69564608707825848</v>
      </c>
      <c r="H44" s="31">
        <v>0.28236276959394208</v>
      </c>
      <c r="I44" s="31">
        <v>0.80250148410472666</v>
      </c>
      <c r="J44" s="31">
        <v>0.7447777182645956</v>
      </c>
      <c r="L44" s="31">
        <v>0.40385645420460631</v>
      </c>
      <c r="M44" s="31">
        <v>1.8247059508559451E-2</v>
      </c>
      <c r="N44" s="31">
        <v>0.14279714405711885</v>
      </c>
      <c r="S44" s="31">
        <v>7.8743657740239434E-2</v>
      </c>
      <c r="T44" s="31">
        <v>0.2656240404495302</v>
      </c>
      <c r="U44" s="31">
        <v>0.40385645420460631</v>
      </c>
    </row>
    <row r="45" spans="1:21" x14ac:dyDescent="0.2">
      <c r="A45" s="52">
        <v>0.84781036560867817</v>
      </c>
      <c r="B45" s="52">
        <v>6.3732581194671734E-2</v>
      </c>
      <c r="C45" s="52">
        <v>0.70054200542005418</v>
      </c>
      <c r="H45" s="52">
        <v>0.33882640493421678</v>
      </c>
      <c r="I45" s="52">
        <v>0.63407147555360666</v>
      </c>
      <c r="J45" s="52">
        <v>0.84781036560867817</v>
      </c>
      <c r="L45" s="52">
        <v>0.6132985134592206</v>
      </c>
      <c r="M45" s="52">
        <v>1.7414616437208524E-2</v>
      </c>
      <c r="N45" s="52">
        <v>0.14878048780487804</v>
      </c>
      <c r="S45" s="52">
        <v>7.0149643236774931E-2</v>
      </c>
      <c r="T45" s="52">
        <v>0.17978513483885114</v>
      </c>
      <c r="U45" s="52">
        <v>0.6132985134592206</v>
      </c>
    </row>
    <row r="46" spans="1:21" x14ac:dyDescent="0.2">
      <c r="A46" s="31">
        <v>0.87726339655013941</v>
      </c>
      <c r="B46" s="31">
        <v>5.9805955449382872E-2</v>
      </c>
      <c r="C46" s="31">
        <v>0.709375417948375</v>
      </c>
      <c r="H46" s="53">
        <v>0.36681454230686</v>
      </c>
      <c r="I46" s="31">
        <v>0.64117032392894457</v>
      </c>
      <c r="J46" s="31">
        <v>0.87726339655013941</v>
      </c>
      <c r="L46" s="31">
        <v>0.67995342994577035</v>
      </c>
      <c r="M46" s="31">
        <v>1.9634961547327173E-2</v>
      </c>
      <c r="N46" s="31">
        <v>0.1253176407650127</v>
      </c>
      <c r="S46" s="53">
        <v>6.9952391257303612E-2</v>
      </c>
      <c r="T46" s="31">
        <v>0.2025078369905956</v>
      </c>
      <c r="U46" s="31">
        <v>0.67995342994577035</v>
      </c>
    </row>
    <row r="47" spans="1:21" x14ac:dyDescent="0.2">
      <c r="A47" s="52">
        <v>0.92618820807271185</v>
      </c>
      <c r="B47" s="52">
        <v>0.59991451698025811</v>
      </c>
      <c r="C47" s="52">
        <v>0.74152453148031161</v>
      </c>
      <c r="I47" s="52">
        <v>0.63525708289611749</v>
      </c>
      <c r="J47" s="52">
        <v>0.92618820807271185</v>
      </c>
      <c r="L47" s="52">
        <v>0.35303564089711581</v>
      </c>
      <c r="M47" s="52">
        <v>0.28146694502888575</v>
      </c>
      <c r="N47" s="52">
        <v>0.22104653611286587</v>
      </c>
      <c r="T47" s="52">
        <v>0.22455403987408185</v>
      </c>
      <c r="U47" s="52">
        <v>0.35303564089711581</v>
      </c>
    </row>
    <row r="48" spans="1:21" x14ac:dyDescent="0.2">
      <c r="A48" s="31">
        <v>0.92728715894021652</v>
      </c>
      <c r="B48" s="31">
        <v>0.58856811562541689</v>
      </c>
      <c r="C48" s="31">
        <v>0.74744561231972628</v>
      </c>
      <c r="I48" s="53">
        <v>0.6591653027823241</v>
      </c>
      <c r="J48" s="31">
        <v>0.92728715894021652</v>
      </c>
      <c r="L48" s="31">
        <v>0.29221576297269392</v>
      </c>
      <c r="M48" s="31">
        <v>0.27168265398184449</v>
      </c>
      <c r="N48" s="31">
        <v>0.2230261549743339</v>
      </c>
      <c r="T48" s="53">
        <v>0.28580196399345337</v>
      </c>
      <c r="U48" s="31">
        <v>0.29221576297269392</v>
      </c>
    </row>
    <row r="49" spans="1:21" x14ac:dyDescent="0.2">
      <c r="A49" s="52">
        <v>0.90430433011154732</v>
      </c>
      <c r="B49" s="52">
        <v>0.58533416040664665</v>
      </c>
      <c r="C49" s="52">
        <v>0.73068147574152997</v>
      </c>
      <c r="J49" s="52">
        <v>0.90430433011154732</v>
      </c>
      <c r="L49" s="52">
        <v>0.30506797721486412</v>
      </c>
      <c r="M49" s="52">
        <v>0.26811049270513293</v>
      </c>
      <c r="N49" s="52">
        <v>0.18171251452925222</v>
      </c>
      <c r="U49" s="52">
        <v>0.30506797721486412</v>
      </c>
    </row>
    <row r="50" spans="1:21" x14ac:dyDescent="0.2">
      <c r="A50" s="31">
        <v>0.93833998535519614</v>
      </c>
      <c r="B50" s="31">
        <v>0.58739715188323938</v>
      </c>
      <c r="C50" s="31">
        <v>0.75249629065244417</v>
      </c>
      <c r="J50" s="31">
        <v>0.93833998535519614</v>
      </c>
      <c r="L50" s="31">
        <v>0.27379096527938801</v>
      </c>
      <c r="M50" s="31">
        <v>0.28166086610795893</v>
      </c>
      <c r="N50" s="31">
        <v>0.25772947828527892</v>
      </c>
      <c r="U50" s="31">
        <v>0.27379096527938801</v>
      </c>
    </row>
    <row r="51" spans="1:21" x14ac:dyDescent="0.2">
      <c r="A51" s="52">
        <v>0.8167142750494093</v>
      </c>
      <c r="C51" s="52">
        <v>0.46599526541748587</v>
      </c>
      <c r="J51" s="52">
        <v>0.8167142750494093</v>
      </c>
      <c r="L51" s="52">
        <v>3.1807245642228567E-2</v>
      </c>
      <c r="N51" s="52">
        <v>7.627492677446536E-2</v>
      </c>
      <c r="U51" s="52">
        <v>3.1807245642228567E-2</v>
      </c>
    </row>
    <row r="52" spans="1:21" x14ac:dyDescent="0.2">
      <c r="A52" s="31">
        <v>0.89250850883887867</v>
      </c>
      <c r="C52" s="31">
        <v>0.49215632038566404</v>
      </c>
      <c r="J52" s="31">
        <v>0.89250850883887867</v>
      </c>
      <c r="L52" s="31">
        <v>-0.12919985973308029</v>
      </c>
      <c r="N52" s="31">
        <v>0.13316473702928044</v>
      </c>
      <c r="U52" s="31">
        <v>-0.12919985973308029</v>
      </c>
    </row>
    <row r="53" spans="1:21" x14ac:dyDescent="0.2">
      <c r="A53" s="52">
        <v>0.89492518284331035</v>
      </c>
      <c r="C53" s="52">
        <v>0.5296487985212569</v>
      </c>
      <c r="J53" s="52">
        <v>0.89492518284331035</v>
      </c>
      <c r="L53" s="52">
        <v>-1.1052212640955179</v>
      </c>
      <c r="N53" s="52">
        <v>0.17878003696857672</v>
      </c>
      <c r="U53" s="52">
        <v>-1.1052212640955179</v>
      </c>
    </row>
    <row r="54" spans="1:21" x14ac:dyDescent="0.2">
      <c r="A54" s="31">
        <v>0.87938810619798202</v>
      </c>
      <c r="C54" s="31">
        <v>0.55187630176157021</v>
      </c>
      <c r="J54" s="31">
        <v>0.87938810619798202</v>
      </c>
      <c r="L54" s="31">
        <v>-0.45011798484214444</v>
      </c>
      <c r="N54" s="31">
        <v>0.19737353055388851</v>
      </c>
      <c r="U54" s="31">
        <v>-0.45011798484214444</v>
      </c>
    </row>
    <row r="55" spans="1:21" x14ac:dyDescent="0.2">
      <c r="C55" s="52">
        <v>0.54057639998206197</v>
      </c>
      <c r="J55" s="52">
        <v>2.8511172689936911E-2</v>
      </c>
      <c r="N55" s="52">
        <v>0.2030118963488276</v>
      </c>
      <c r="U55" s="52">
        <v>1.0213818873477963E-2</v>
      </c>
    </row>
    <row r="56" spans="1:21" x14ac:dyDescent="0.2">
      <c r="C56" s="31">
        <v>0.54908217373560153</v>
      </c>
      <c r="J56" s="31">
        <v>2.4942609140233999E-2</v>
      </c>
      <c r="N56" s="31">
        <v>0.19371878308684165</v>
      </c>
      <c r="U56" s="31">
        <v>6.5409108490020167E-3</v>
      </c>
    </row>
    <row r="57" spans="1:21" x14ac:dyDescent="0.2">
      <c r="C57" s="52">
        <v>0.54927456930812679</v>
      </c>
      <c r="J57" s="52">
        <v>2.5958121487988799E-2</v>
      </c>
      <c r="N57" s="52">
        <v>0.17516070391376537</v>
      </c>
      <c r="U57" s="52">
        <v>3.1054310157978709E-3</v>
      </c>
    </row>
    <row r="58" spans="1:21" x14ac:dyDescent="0.2">
      <c r="C58" s="31">
        <v>0.55576156195299053</v>
      </c>
      <c r="J58" s="31">
        <v>2.9095097962960576E-2</v>
      </c>
      <c r="N58" s="31">
        <v>0.19235004607052161</v>
      </c>
      <c r="U58" s="31">
        <v>1.0390039240533343E-2</v>
      </c>
    </row>
    <row r="59" spans="1:21" x14ac:dyDescent="0.2">
      <c r="C59" s="52">
        <v>0.70380998631406999</v>
      </c>
      <c r="J59" s="52">
        <v>0.73838034163781852</v>
      </c>
      <c r="N59" s="52">
        <v>0.37636307447794798</v>
      </c>
      <c r="U59" s="52">
        <v>0.23210941490267295</v>
      </c>
    </row>
    <row r="60" spans="1:21" x14ac:dyDescent="0.2">
      <c r="C60" s="31">
        <v>0.66322653281418587</v>
      </c>
      <c r="J60" s="31">
        <v>0.71809581934696365</v>
      </c>
      <c r="N60" s="31">
        <v>0.25557067129521038</v>
      </c>
      <c r="U60" s="31">
        <v>0.1889533109551419</v>
      </c>
    </row>
    <row r="61" spans="1:21" x14ac:dyDescent="0.2">
      <c r="C61" s="52">
        <v>0.66175977185036072</v>
      </c>
      <c r="J61" s="52">
        <v>0.75237735373764092</v>
      </c>
      <c r="N61" s="52">
        <v>0.31035061231337024</v>
      </c>
      <c r="U61" s="52">
        <v>0.16317148435039991</v>
      </c>
    </row>
    <row r="62" spans="1:21" x14ac:dyDescent="0.2">
      <c r="C62" s="31">
        <v>0.69889809199822517</v>
      </c>
      <c r="J62" s="31">
        <v>0.76394927536231882</v>
      </c>
      <c r="N62" s="31">
        <v>0.34950451116698711</v>
      </c>
      <c r="U62" s="31">
        <v>0.11413043478260869</v>
      </c>
    </row>
    <row r="63" spans="1:21" x14ac:dyDescent="0.2">
      <c r="C63" s="52">
        <v>0.45674258071013135</v>
      </c>
      <c r="J63" s="52">
        <v>4.8677950006429722E-2</v>
      </c>
      <c r="N63" s="52">
        <v>9.6107331031717827E-2</v>
      </c>
      <c r="U63" s="52">
        <v>1.8675872711265865E-2</v>
      </c>
    </row>
    <row r="64" spans="1:21" x14ac:dyDescent="0.2">
      <c r="C64" s="31">
        <v>0.45242321742910829</v>
      </c>
      <c r="J64" s="31">
        <v>5.6661982345966359E-2</v>
      </c>
      <c r="N64" s="31">
        <v>0.12135970478117675</v>
      </c>
      <c r="U64" s="31">
        <v>2.0969654384963329E-2</v>
      </c>
    </row>
    <row r="65" spans="3:21" x14ac:dyDescent="0.2">
      <c r="C65" s="52">
        <v>0.44904320944887383</v>
      </c>
      <c r="J65" s="52">
        <v>5.5709980396172865E-2</v>
      </c>
      <c r="N65" s="52">
        <v>0.10018330793722027</v>
      </c>
      <c r="U65" s="52">
        <v>2.1369146892159446E-2</v>
      </c>
    </row>
    <row r="66" spans="3:21" x14ac:dyDescent="0.2">
      <c r="C66" s="31">
        <v>0.45284590111472139</v>
      </c>
      <c r="J66" s="31">
        <v>5.3831471212545043E-2</v>
      </c>
      <c r="N66" s="31">
        <v>0.13248295252875428</v>
      </c>
      <c r="U66" s="31">
        <v>2.004179487601402E-2</v>
      </c>
    </row>
    <row r="67" spans="3:21" x14ac:dyDescent="0.2">
      <c r="C67" s="52">
        <v>0.6672209289435761</v>
      </c>
      <c r="J67" s="52">
        <v>0.2804834738204291</v>
      </c>
      <c r="N67" s="52">
        <v>0.13923068395964971</v>
      </c>
      <c r="U67" s="52">
        <v>7.0934601883877194E-2</v>
      </c>
    </row>
    <row r="68" spans="3:21" x14ac:dyDescent="0.2">
      <c r="C68" s="31">
        <v>0.65695090439276482</v>
      </c>
      <c r="J68" s="31">
        <v>0.27780693084892688</v>
      </c>
      <c r="N68" s="31">
        <v>0.12878552971576226</v>
      </c>
      <c r="U68" s="31">
        <v>7.0816755393228098E-2</v>
      </c>
    </row>
    <row r="69" spans="3:21" x14ac:dyDescent="0.2">
      <c r="C69" s="52">
        <v>0.66378443595415237</v>
      </c>
      <c r="J69" s="52">
        <v>0.28070634697952734</v>
      </c>
      <c r="N69" s="52">
        <v>0.18711039613915142</v>
      </c>
      <c r="U69" s="52">
        <v>6.8953341837497198E-2</v>
      </c>
    </row>
    <row r="70" spans="3:21" x14ac:dyDescent="0.2">
      <c r="C70" s="31">
        <v>0.66181015452538627</v>
      </c>
      <c r="J70" s="31">
        <v>0.28338086829952891</v>
      </c>
      <c r="N70" s="31">
        <v>0.19125827814569538</v>
      </c>
      <c r="U70" s="31">
        <v>7.2335214129366915E-2</v>
      </c>
    </row>
    <row r="71" spans="3:21" x14ac:dyDescent="0.2">
      <c r="C71" s="52">
        <v>0.42330474264382612</v>
      </c>
      <c r="J71" s="52">
        <v>5.6311172215129789E-2</v>
      </c>
      <c r="N71" s="52">
        <v>0.1250369707191904</v>
      </c>
      <c r="U71" s="52">
        <v>1.9133195849291303E-2</v>
      </c>
    </row>
    <row r="72" spans="3:21" x14ac:dyDescent="0.2">
      <c r="C72" s="31">
        <v>0.42238145802617205</v>
      </c>
      <c r="J72" s="31">
        <v>6.0789565622452545E-2</v>
      </c>
      <c r="N72" s="31">
        <v>0.1288969695117759</v>
      </c>
      <c r="U72" s="31">
        <v>1.8247059508559451E-2</v>
      </c>
    </row>
    <row r="73" spans="3:21" x14ac:dyDescent="0.2">
      <c r="C73" s="52">
        <v>0.44358658582796512</v>
      </c>
      <c r="J73" s="52">
        <v>6.3732581194671734E-2</v>
      </c>
      <c r="N73" s="52">
        <v>0.11277946191739295</v>
      </c>
      <c r="U73" s="52">
        <v>1.7414616437208524E-2</v>
      </c>
    </row>
    <row r="74" spans="3:21" x14ac:dyDescent="0.2">
      <c r="C74" s="31">
        <v>0.45715986655192331</v>
      </c>
      <c r="J74" s="31">
        <v>5.9805955449382872E-2</v>
      </c>
      <c r="N74" s="31">
        <v>0.14449998231695096</v>
      </c>
      <c r="U74" s="31">
        <v>1.9634961547327173E-2</v>
      </c>
    </row>
    <row r="75" spans="3:21" x14ac:dyDescent="0.2">
      <c r="C75" s="52">
        <v>0.42464517106782873</v>
      </c>
      <c r="J75" s="52">
        <v>0.59991451698025811</v>
      </c>
      <c r="N75" s="52">
        <v>0.20690156672149926</v>
      </c>
      <c r="U75" s="52">
        <v>0.28146694502888575</v>
      </c>
    </row>
    <row r="76" spans="3:21" x14ac:dyDescent="0.2">
      <c r="C76" s="31">
        <v>0.42681487310643323</v>
      </c>
      <c r="J76" s="31">
        <v>0.58856811562541689</v>
      </c>
      <c r="N76" s="31">
        <v>0.19552101777165715</v>
      </c>
      <c r="U76" s="31">
        <v>0.27168265398184449</v>
      </c>
    </row>
    <row r="77" spans="3:21" x14ac:dyDescent="0.2">
      <c r="C77" s="52">
        <v>0.41389435642605915</v>
      </c>
      <c r="J77" s="52">
        <v>0.58533416040664665</v>
      </c>
      <c r="N77" s="52">
        <v>0.17714820431738246</v>
      </c>
      <c r="U77" s="52">
        <v>0.26811049270513293</v>
      </c>
    </row>
    <row r="78" spans="3:21" x14ac:dyDescent="0.2">
      <c r="C78" s="31">
        <v>0.42305301758965752</v>
      </c>
      <c r="J78" s="31">
        <v>0.58739715188323938</v>
      </c>
      <c r="N78" s="31">
        <v>0.17117285101622226</v>
      </c>
      <c r="U78" s="31">
        <v>0.28166086610795893</v>
      </c>
    </row>
    <row r="79" spans="3:21" x14ac:dyDescent="0.2">
      <c r="C79" s="52">
        <v>0.74837310195227769</v>
      </c>
      <c r="J79" s="52">
        <v>0.53286089238845147</v>
      </c>
      <c r="N79" s="52">
        <v>0.29044882259543353</v>
      </c>
      <c r="U79" s="52">
        <v>7.1391076115485563E-2</v>
      </c>
    </row>
    <row r="80" spans="3:21" x14ac:dyDescent="0.2">
      <c r="C80" s="31">
        <v>0.72602413808020072</v>
      </c>
      <c r="J80" s="31">
        <v>0.53232945006867782</v>
      </c>
      <c r="N80" s="31">
        <v>0.27661461262274517</v>
      </c>
      <c r="U80" s="31">
        <v>0.10851096301571959</v>
      </c>
    </row>
    <row r="81" spans="3:21" x14ac:dyDescent="0.2">
      <c r="C81" s="52">
        <v>0.73406372370701645</v>
      </c>
      <c r="J81" s="52">
        <v>0.54472267496419224</v>
      </c>
      <c r="N81" s="52">
        <v>0.29495217512250443</v>
      </c>
      <c r="U81" s="52">
        <v>0.12836469600434633</v>
      </c>
    </row>
    <row r="82" spans="3:21" x14ac:dyDescent="0.2">
      <c r="C82" s="31">
        <v>0.69978992297175635</v>
      </c>
      <c r="J82" s="31">
        <v>0.57133055623621665</v>
      </c>
      <c r="N82" s="31">
        <v>0.21659608523125146</v>
      </c>
      <c r="U82" s="31">
        <v>0.14050477824062729</v>
      </c>
    </row>
    <row r="83" spans="3:21" x14ac:dyDescent="0.2">
      <c r="J83" s="52">
        <v>0.51191159586681978</v>
      </c>
      <c r="U83" s="52">
        <v>0.19876578645235363</v>
      </c>
    </row>
    <row r="84" spans="3:21" x14ac:dyDescent="0.2">
      <c r="J84" s="31">
        <v>0.44215446722617657</v>
      </c>
      <c r="U84" s="31">
        <v>5.2693084032720702E-2</v>
      </c>
    </row>
    <row r="85" spans="3:21" x14ac:dyDescent="0.2">
      <c r="J85" s="52">
        <v>0.42737195633921077</v>
      </c>
      <c r="U85" s="52">
        <v>6.1199738781602758E-2</v>
      </c>
    </row>
    <row r="86" spans="3:21" x14ac:dyDescent="0.2">
      <c r="J86" s="31">
        <v>0.4159309791332263</v>
      </c>
      <c r="U86" s="31">
        <v>4.5044141252006419E-2</v>
      </c>
    </row>
    <row r="87" spans="3:21" x14ac:dyDescent="0.2">
      <c r="J87" s="52">
        <v>0.60832923430070507</v>
      </c>
      <c r="U87" s="52">
        <v>0.20957534021970814</v>
      </c>
    </row>
    <row r="88" spans="3:21" x14ac:dyDescent="0.2">
      <c r="J88" s="31">
        <v>0.62131423757371529</v>
      </c>
      <c r="U88" s="31">
        <v>0.23513659886869659</v>
      </c>
    </row>
    <row r="89" spans="3:21" x14ac:dyDescent="0.2">
      <c r="J89" s="52">
        <v>0.61908665105386418</v>
      </c>
      <c r="U89" s="52">
        <v>0.24692622950819673</v>
      </c>
    </row>
    <row r="90" spans="3:21" x14ac:dyDescent="0.2">
      <c r="J90" s="31">
        <v>0.63066774367259015</v>
      </c>
      <c r="U90" s="31">
        <v>0.25514270328486804</v>
      </c>
    </row>
    <row r="91" spans="3:21" x14ac:dyDescent="0.2">
      <c r="J91" s="52">
        <v>0.51787931462627268</v>
      </c>
      <c r="U91" s="52">
        <v>0.1558231934442513</v>
      </c>
    </row>
    <row r="92" spans="3:21" x14ac:dyDescent="0.2">
      <c r="J92" s="31">
        <v>0.50923514089509825</v>
      </c>
      <c r="U92" s="31">
        <v>0.19014918304522851</v>
      </c>
    </row>
    <row r="93" spans="3:21" x14ac:dyDescent="0.2">
      <c r="J93" s="52">
        <v>0.45662322505349157</v>
      </c>
      <c r="U93" s="52">
        <v>0.14588601439408674</v>
      </c>
    </row>
    <row r="94" spans="3:21" x14ac:dyDescent="0.2">
      <c r="J94" s="31">
        <v>0.47993270848353758</v>
      </c>
      <c r="U94" s="31">
        <v>0.17287511014980372</v>
      </c>
    </row>
    <row r="95" spans="3:21" x14ac:dyDescent="0.2">
      <c r="J95" s="52">
        <v>0.67595530417988692</v>
      </c>
      <c r="U95" s="52">
        <v>0.15036556766450546</v>
      </c>
    </row>
    <row r="96" spans="3:21" x14ac:dyDescent="0.2">
      <c r="J96" s="31">
        <v>0.69564608707825848</v>
      </c>
      <c r="U96" s="31">
        <v>0.14279714405711885</v>
      </c>
    </row>
    <row r="97" spans="10:21" x14ac:dyDescent="0.2">
      <c r="J97" s="52">
        <v>0.70054200542005418</v>
      </c>
      <c r="U97" s="52">
        <v>0.14878048780487804</v>
      </c>
    </row>
    <row r="98" spans="10:21" x14ac:dyDescent="0.2">
      <c r="J98" s="31">
        <v>0.709375417948375</v>
      </c>
      <c r="U98" s="31">
        <v>0.1253176407650127</v>
      </c>
    </row>
    <row r="99" spans="10:21" x14ac:dyDescent="0.2">
      <c r="J99" s="52">
        <v>0.74152453148031161</v>
      </c>
      <c r="U99" s="52">
        <v>0.22104653611286587</v>
      </c>
    </row>
    <row r="100" spans="10:21" x14ac:dyDescent="0.2">
      <c r="J100" s="31">
        <v>0.74744561231972628</v>
      </c>
      <c r="U100" s="31">
        <v>0.2230261549743339</v>
      </c>
    </row>
    <row r="101" spans="10:21" x14ac:dyDescent="0.2">
      <c r="J101" s="52">
        <v>0.73068147574152997</v>
      </c>
      <c r="U101" s="52">
        <v>0.18171251452925222</v>
      </c>
    </row>
    <row r="102" spans="10:21" x14ac:dyDescent="0.2">
      <c r="J102" s="31">
        <v>0.75249629065244417</v>
      </c>
      <c r="U102" s="31">
        <v>0.25772947828527892</v>
      </c>
    </row>
    <row r="103" spans="10:21" x14ac:dyDescent="0.2">
      <c r="J103" s="52">
        <v>0.46599526541748587</v>
      </c>
      <c r="U103" s="52">
        <v>7.627492677446536E-2</v>
      </c>
    </row>
    <row r="104" spans="10:21" x14ac:dyDescent="0.2">
      <c r="J104" s="31">
        <v>0.49215632038566404</v>
      </c>
      <c r="U104" s="31">
        <v>0.13316473702928044</v>
      </c>
    </row>
    <row r="105" spans="10:21" x14ac:dyDescent="0.2">
      <c r="J105" s="52">
        <v>0.5296487985212569</v>
      </c>
      <c r="U105" s="52">
        <v>0.17878003696857672</v>
      </c>
    </row>
    <row r="106" spans="10:21" x14ac:dyDescent="0.2">
      <c r="J106" s="31">
        <v>0.55187630176157021</v>
      </c>
      <c r="U106" s="31">
        <v>0.19737353055388851</v>
      </c>
    </row>
    <row r="107" spans="10:21" x14ac:dyDescent="0.2">
      <c r="J107" s="52">
        <v>0.54057639998206197</v>
      </c>
      <c r="U107" s="52">
        <v>0.2030118963488276</v>
      </c>
    </row>
    <row r="108" spans="10:21" x14ac:dyDescent="0.2">
      <c r="J108" s="31">
        <v>0.54908217373560153</v>
      </c>
      <c r="U108" s="31">
        <v>0.19371878308684165</v>
      </c>
    </row>
    <row r="109" spans="10:21" x14ac:dyDescent="0.2">
      <c r="J109" s="52">
        <v>0.54927456930812679</v>
      </c>
      <c r="U109" s="52">
        <v>0.17516070391376537</v>
      </c>
    </row>
    <row r="110" spans="10:21" x14ac:dyDescent="0.2">
      <c r="J110" s="31">
        <v>0.55576156195299053</v>
      </c>
      <c r="U110" s="31">
        <v>0.19235004607052161</v>
      </c>
    </row>
    <row r="111" spans="10:21" x14ac:dyDescent="0.2">
      <c r="J111" s="52">
        <v>0.70380998631406999</v>
      </c>
      <c r="U111" s="52">
        <v>0.37636307447794798</v>
      </c>
    </row>
    <row r="112" spans="10:21" x14ac:dyDescent="0.2">
      <c r="J112" s="31">
        <v>0.66322653281418587</v>
      </c>
      <c r="U112" s="31">
        <v>0.25557067129521038</v>
      </c>
    </row>
    <row r="113" spans="10:21" x14ac:dyDescent="0.2">
      <c r="J113" s="52">
        <v>0.66175977185036072</v>
      </c>
      <c r="U113" s="52">
        <v>0.31035061231337024</v>
      </c>
    </row>
    <row r="114" spans="10:21" x14ac:dyDescent="0.2">
      <c r="J114" s="31">
        <v>0.69889809199822517</v>
      </c>
      <c r="U114" s="31">
        <v>0.34950451116698711</v>
      </c>
    </row>
    <row r="115" spans="10:21" x14ac:dyDescent="0.2">
      <c r="J115" s="52">
        <v>0.45674258071013135</v>
      </c>
      <c r="U115" s="52">
        <v>9.6107331031717827E-2</v>
      </c>
    </row>
    <row r="116" spans="10:21" x14ac:dyDescent="0.2">
      <c r="J116" s="31">
        <v>0.45242321742910829</v>
      </c>
      <c r="U116" s="31">
        <v>0.12135970478117675</v>
      </c>
    </row>
    <row r="117" spans="10:21" x14ac:dyDescent="0.2">
      <c r="J117" s="52">
        <v>0.44904320944887383</v>
      </c>
      <c r="U117" s="52">
        <v>0.10018330793722027</v>
      </c>
    </row>
    <row r="118" spans="10:21" x14ac:dyDescent="0.2">
      <c r="J118" s="31">
        <v>0.45284590111472139</v>
      </c>
      <c r="U118" s="31">
        <v>0.13248295252875428</v>
      </c>
    </row>
    <row r="119" spans="10:21" x14ac:dyDescent="0.2">
      <c r="J119" s="52">
        <v>0.6672209289435761</v>
      </c>
      <c r="U119" s="52">
        <v>0.13923068395964971</v>
      </c>
    </row>
    <row r="120" spans="10:21" x14ac:dyDescent="0.2">
      <c r="J120" s="31">
        <v>0.65695090439276482</v>
      </c>
      <c r="U120" s="31">
        <v>0.12878552971576226</v>
      </c>
    </row>
    <row r="121" spans="10:21" x14ac:dyDescent="0.2">
      <c r="J121" s="52">
        <v>0.66378443595415237</v>
      </c>
      <c r="U121" s="52">
        <v>0.18711039613915142</v>
      </c>
    </row>
    <row r="122" spans="10:21" x14ac:dyDescent="0.2">
      <c r="J122" s="31">
        <v>0.66181015452538627</v>
      </c>
      <c r="U122" s="31">
        <v>0.19125827814569538</v>
      </c>
    </row>
    <row r="123" spans="10:21" x14ac:dyDescent="0.2">
      <c r="J123" s="52">
        <v>0.42330474264382612</v>
      </c>
      <c r="U123" s="52">
        <v>0.1250369707191904</v>
      </c>
    </row>
    <row r="124" spans="10:21" x14ac:dyDescent="0.2">
      <c r="J124" s="31">
        <v>0.42238145802617205</v>
      </c>
      <c r="U124" s="31">
        <v>0.1288969695117759</v>
      </c>
    </row>
    <row r="125" spans="10:21" x14ac:dyDescent="0.2">
      <c r="J125" s="52">
        <v>0.44358658582796512</v>
      </c>
      <c r="U125" s="52">
        <v>0.11277946191739295</v>
      </c>
    </row>
    <row r="126" spans="10:21" x14ac:dyDescent="0.2">
      <c r="J126" s="31">
        <v>0.45715986655192331</v>
      </c>
      <c r="U126" s="31">
        <v>0.14449998231695096</v>
      </c>
    </row>
    <row r="127" spans="10:21" x14ac:dyDescent="0.2">
      <c r="J127" s="52">
        <v>0.42464517106782873</v>
      </c>
      <c r="U127" s="52">
        <v>0.20690156672149926</v>
      </c>
    </row>
    <row r="128" spans="10:21" x14ac:dyDescent="0.2">
      <c r="J128" s="31">
        <v>0.42681487310643323</v>
      </c>
      <c r="U128" s="31">
        <v>0.19552101777165715</v>
      </c>
    </row>
    <row r="129" spans="10:21" x14ac:dyDescent="0.2">
      <c r="J129" s="52">
        <v>0.41389435642605915</v>
      </c>
      <c r="U129" s="52">
        <v>0.17714820431738246</v>
      </c>
    </row>
    <row r="130" spans="10:21" x14ac:dyDescent="0.2">
      <c r="J130" s="31">
        <v>0.42305301758965752</v>
      </c>
      <c r="U130" s="31">
        <v>0.17117285101622226</v>
      </c>
    </row>
    <row r="131" spans="10:21" x14ac:dyDescent="0.2">
      <c r="J131" s="52">
        <v>0.74837310195227769</v>
      </c>
      <c r="U131" s="52">
        <v>0.29044882259543353</v>
      </c>
    </row>
    <row r="132" spans="10:21" x14ac:dyDescent="0.2">
      <c r="J132" s="31">
        <v>0.72602413808020072</v>
      </c>
      <c r="U132" s="31">
        <v>0.27661461262274517</v>
      </c>
    </row>
    <row r="133" spans="10:21" x14ac:dyDescent="0.2">
      <c r="J133" s="52">
        <v>0.73406372370701645</v>
      </c>
      <c r="U133" s="52">
        <v>0.29495217512250443</v>
      </c>
    </row>
    <row r="134" spans="10:21" x14ac:dyDescent="0.2">
      <c r="J134" s="31">
        <v>0.69978992297175635</v>
      </c>
      <c r="U134" s="31">
        <v>0.21659608523125146</v>
      </c>
    </row>
    <row r="135" spans="10:21" x14ac:dyDescent="0.2">
      <c r="J135" s="52">
        <v>0.40877691995123933</v>
      </c>
      <c r="U135" s="52">
        <v>0.16267100094812406</v>
      </c>
    </row>
    <row r="136" spans="10:21" x14ac:dyDescent="0.2">
      <c r="J136" s="31">
        <v>0.39462636439966414</v>
      </c>
      <c r="U136" s="31">
        <v>0.14007836551917158</v>
      </c>
    </row>
    <row r="137" spans="10:21" x14ac:dyDescent="0.2">
      <c r="J137" s="52">
        <v>0.37632817753866848</v>
      </c>
      <c r="U137" s="52">
        <v>0.13221250840618695</v>
      </c>
    </row>
    <row r="138" spans="10:21" x14ac:dyDescent="0.2">
      <c r="J138" s="31">
        <v>0.37848658748164954</v>
      </c>
      <c r="U138" s="31">
        <v>0.18670759375417056</v>
      </c>
    </row>
    <row r="139" spans="10:21" x14ac:dyDescent="0.2">
      <c r="J139" s="52">
        <v>0.3179381843767865</v>
      </c>
      <c r="U139" s="52">
        <v>0.16746104457702399</v>
      </c>
    </row>
    <row r="140" spans="10:21" x14ac:dyDescent="0.2">
      <c r="J140" s="31">
        <v>0.3030991027749797</v>
      </c>
      <c r="U140" s="31">
        <v>0.12924358532988214</v>
      </c>
    </row>
    <row r="141" spans="10:21" x14ac:dyDescent="0.2">
      <c r="J141" s="52">
        <v>0.2872817935232424</v>
      </c>
      <c r="U141" s="52">
        <v>0.14117585270493266</v>
      </c>
    </row>
    <row r="142" spans="10:21" x14ac:dyDescent="0.2">
      <c r="J142" s="31">
        <v>0.28711723988609067</v>
      </c>
      <c r="U142" s="31">
        <v>9.9539996010691467E-2</v>
      </c>
    </row>
    <row r="143" spans="10:21" x14ac:dyDescent="0.2">
      <c r="J143" s="52">
        <v>0.8268257958985854</v>
      </c>
      <c r="U143" s="52">
        <v>0.14588192530215369</v>
      </c>
    </row>
    <row r="144" spans="10:21" x14ac:dyDescent="0.2">
      <c r="J144" s="31">
        <v>0.82534667368790593</v>
      </c>
      <c r="U144" s="31">
        <v>0.14019074366625708</v>
      </c>
    </row>
    <row r="145" spans="10:21" x14ac:dyDescent="0.2">
      <c r="J145" s="52">
        <v>0.83038084403272117</v>
      </c>
      <c r="U145" s="52">
        <v>0.15073947667804324</v>
      </c>
    </row>
    <row r="146" spans="10:21" x14ac:dyDescent="0.2">
      <c r="J146" s="31">
        <v>0.83270326125308736</v>
      </c>
      <c r="U146" s="31">
        <v>0.15033519834669087</v>
      </c>
    </row>
    <row r="147" spans="10:21" x14ac:dyDescent="0.2">
      <c r="J147" s="52">
        <v>0.39667454244101985</v>
      </c>
      <c r="U147" s="52">
        <v>0.18492788376767641</v>
      </c>
    </row>
    <row r="148" spans="10:21" x14ac:dyDescent="0.2">
      <c r="J148" s="31">
        <v>0.38276259835063614</v>
      </c>
      <c r="U148" s="31">
        <v>0.17435394177298005</v>
      </c>
    </row>
    <row r="149" spans="10:21" x14ac:dyDescent="0.2">
      <c r="J149" s="52">
        <v>0.36647481535697651</v>
      </c>
      <c r="U149" s="52">
        <v>0.15440149045179319</v>
      </c>
    </row>
    <row r="150" spans="10:21" x14ac:dyDescent="0.2">
      <c r="J150" s="31">
        <v>0.33447771339039872</v>
      </c>
      <c r="U150" s="31">
        <v>0.12866211218764761</v>
      </c>
    </row>
    <row r="151" spans="10:21" x14ac:dyDescent="0.2">
      <c r="J151" s="52">
        <v>0.64671652836605831</v>
      </c>
      <c r="U151" s="52">
        <v>0.20595947031129447</v>
      </c>
    </row>
    <row r="152" spans="10:21" x14ac:dyDescent="0.2">
      <c r="J152" s="31">
        <v>0.63545537951397624</v>
      </c>
      <c r="U152" s="31">
        <v>0.17842023639869226</v>
      </c>
    </row>
    <row r="153" spans="10:21" x14ac:dyDescent="0.2">
      <c r="J153" s="52">
        <v>0.59556275249574309</v>
      </c>
      <c r="U153" s="52">
        <v>0.13169899725106562</v>
      </c>
    </row>
    <row r="154" spans="10:21" x14ac:dyDescent="0.2">
      <c r="J154" s="31">
        <v>0.59643616529066801</v>
      </c>
      <c r="U154" s="31">
        <v>0.16477409658462874</v>
      </c>
    </row>
    <row r="155" spans="10:21" x14ac:dyDescent="0.2">
      <c r="J155" s="52">
        <v>0.32738509605708987</v>
      </c>
      <c r="U155" s="52">
        <v>0.32738509605708987</v>
      </c>
    </row>
    <row r="156" spans="10:21" x14ac:dyDescent="0.2">
      <c r="J156" s="31">
        <v>0.28414419404982955</v>
      </c>
      <c r="U156" s="31">
        <v>0.28414419404982955</v>
      </c>
    </row>
    <row r="157" spans="10:21" x14ac:dyDescent="0.2">
      <c r="J157" s="52">
        <v>0.27118016091069369</v>
      </c>
      <c r="U157" s="52">
        <v>0.27118016091069369</v>
      </c>
    </row>
    <row r="158" spans="10:21" x14ac:dyDescent="0.2">
      <c r="J158" s="31">
        <v>0.24555799716449933</v>
      </c>
      <c r="U158" s="31">
        <v>0.24555799716449933</v>
      </c>
    </row>
    <row r="159" spans="10:21" x14ac:dyDescent="0.2">
      <c r="J159" s="52">
        <v>0.53147506734839733</v>
      </c>
      <c r="U159" s="52">
        <v>0.13920637993955121</v>
      </c>
    </row>
    <row r="160" spans="10:21" x14ac:dyDescent="0.2">
      <c r="J160" s="31">
        <v>0.53456689711264738</v>
      </c>
      <c r="U160" s="31">
        <v>0.14660431069540464</v>
      </c>
    </row>
    <row r="161" spans="10:21" x14ac:dyDescent="0.2">
      <c r="J161" s="52">
        <v>0.54738931088756582</v>
      </c>
      <c r="U161" s="52">
        <v>0.15626496954766303</v>
      </c>
    </row>
    <row r="162" spans="10:21" x14ac:dyDescent="0.2">
      <c r="J162" s="31">
        <v>0.56732602924129683</v>
      </c>
      <c r="U162" s="31">
        <v>0.16449164267284896</v>
      </c>
    </row>
    <row r="163" spans="10:21" x14ac:dyDescent="0.2">
      <c r="J163" s="52">
        <v>0.82316504211288644</v>
      </c>
      <c r="U163" s="52">
        <v>0.19789140111064235</v>
      </c>
    </row>
    <row r="164" spans="10:21" x14ac:dyDescent="0.2">
      <c r="J164" s="31">
        <v>0.82238326412854723</v>
      </c>
      <c r="U164" s="31">
        <v>0.22425818533089723</v>
      </c>
    </row>
    <row r="165" spans="10:21" x14ac:dyDescent="0.2">
      <c r="J165" s="52">
        <v>0.83034221437938094</v>
      </c>
      <c r="U165" s="52">
        <v>0.17651725873263693</v>
      </c>
    </row>
    <row r="166" spans="10:21" x14ac:dyDescent="0.2">
      <c r="J166" s="31">
        <v>0.8375648106431538</v>
      </c>
      <c r="U166" s="31">
        <v>0.18993393687403223</v>
      </c>
    </row>
    <row r="167" spans="10:21" x14ac:dyDescent="0.2">
      <c r="J167" s="52">
        <v>0.64164165220683123</v>
      </c>
      <c r="U167" s="52">
        <v>0.16736749372703488</v>
      </c>
    </row>
    <row r="168" spans="10:21" x14ac:dyDescent="0.2">
      <c r="J168" s="31">
        <v>0.69718452871505643</v>
      </c>
      <c r="U168" s="31">
        <v>0.23516916144019581</v>
      </c>
    </row>
    <row r="169" spans="10:21" x14ac:dyDescent="0.2">
      <c r="J169" s="52">
        <v>0.69795320399213967</v>
      </c>
      <c r="U169" s="52">
        <v>0.28188472457858094</v>
      </c>
    </row>
    <row r="170" spans="10:21" x14ac:dyDescent="0.2">
      <c r="J170" s="31">
        <v>0.6948243663516892</v>
      </c>
      <c r="U170" s="31">
        <v>0.24080574622879761</v>
      </c>
    </row>
    <row r="171" spans="10:21" x14ac:dyDescent="0.2">
      <c r="J171" s="52">
        <v>0.53885922154611321</v>
      </c>
      <c r="U171" s="52">
        <v>0.18846501766309146</v>
      </c>
    </row>
    <row r="172" spans="10:21" x14ac:dyDescent="0.2">
      <c r="J172" s="31">
        <v>0.54656447771364491</v>
      </c>
      <c r="U172" s="31">
        <v>0.19215175646816571</v>
      </c>
    </row>
    <row r="173" spans="10:21" x14ac:dyDescent="0.2">
      <c r="J173" s="52">
        <v>0.56440113264872904</v>
      </c>
      <c r="U173" s="52">
        <v>0.20921189239419616</v>
      </c>
    </row>
    <row r="174" spans="10:21" x14ac:dyDescent="0.2">
      <c r="J174" s="31">
        <v>0.57234446071514999</v>
      </c>
      <c r="U174" s="31">
        <v>0.21805779870244557</v>
      </c>
    </row>
    <row r="175" spans="10:21" x14ac:dyDescent="0.2">
      <c r="J175" s="52">
        <v>0.21600333023292118</v>
      </c>
      <c r="U175" s="52">
        <v>7.1061771918071073E-2</v>
      </c>
    </row>
    <row r="176" spans="10:21" x14ac:dyDescent="0.2">
      <c r="J176" s="31">
        <v>0.20819024689011384</v>
      </c>
      <c r="U176" s="31">
        <v>6.4601153139453846E-2</v>
      </c>
    </row>
    <row r="177" spans="10:21" x14ac:dyDescent="0.2">
      <c r="J177" s="52">
        <v>0.23038114846746019</v>
      </c>
      <c r="U177" s="52">
        <v>6.8358193196262296E-2</v>
      </c>
    </row>
    <row r="178" spans="10:21" x14ac:dyDescent="0.2">
      <c r="J178" s="31">
        <v>0.22789789846696101</v>
      </c>
      <c r="U178" s="31">
        <v>6.6636346983507358E-2</v>
      </c>
    </row>
    <row r="179" spans="10:21" x14ac:dyDescent="0.2">
      <c r="J179" s="52">
        <v>0.38528108794944882</v>
      </c>
      <c r="U179" s="52">
        <v>8.5064734365877956E-2</v>
      </c>
    </row>
    <row r="180" spans="10:21" x14ac:dyDescent="0.2">
      <c r="J180" s="31">
        <v>0.35562075355157502</v>
      </c>
      <c r="U180" s="31">
        <v>6.7201976528721438E-2</v>
      </c>
    </row>
    <row r="181" spans="10:21" x14ac:dyDescent="0.2">
      <c r="J181" s="52">
        <v>0.38895571976857424</v>
      </c>
      <c r="U181" s="52">
        <v>9.4632525634415987E-2</v>
      </c>
    </row>
    <row r="182" spans="10:21" x14ac:dyDescent="0.2">
      <c r="J182" s="31">
        <v>0.38509874326750448</v>
      </c>
      <c r="U182" s="31">
        <v>8.7839264969901784E-2</v>
      </c>
    </row>
    <row r="183" spans="10:21" x14ac:dyDescent="0.2">
      <c r="J183" s="52">
        <v>0.16387176325524044</v>
      </c>
      <c r="U183" s="52">
        <v>1.6769420468557335E-2</v>
      </c>
    </row>
    <row r="184" spans="10:21" x14ac:dyDescent="0.2">
      <c r="J184" s="31">
        <v>0.17195986375770966</v>
      </c>
      <c r="U184" s="31">
        <v>2.5499401638589707E-2</v>
      </c>
    </row>
    <row r="185" spans="10:21" x14ac:dyDescent="0.2">
      <c r="J185" s="52">
        <v>0.23442028985507246</v>
      </c>
      <c r="U185" s="52">
        <v>2.8019323671497585E-2</v>
      </c>
    </row>
    <row r="186" spans="10:21" x14ac:dyDescent="0.2">
      <c r="J186" s="31">
        <v>0.24244288224956062</v>
      </c>
      <c r="U186" s="31">
        <v>3.0975395430579963E-2</v>
      </c>
    </row>
    <row r="187" spans="10:21" x14ac:dyDescent="0.2">
      <c r="J187" s="52">
        <v>0.21177353375450828</v>
      </c>
      <c r="U187" s="52">
        <v>4.9887444630019609E-2</v>
      </c>
    </row>
    <row r="188" spans="10:21" x14ac:dyDescent="0.2">
      <c r="J188" s="31">
        <v>0.2130721649484536</v>
      </c>
      <c r="U188" s="31">
        <v>4.8701030927835051E-2</v>
      </c>
    </row>
    <row r="189" spans="10:21" x14ac:dyDescent="0.2">
      <c r="J189" s="52">
        <v>0.18456777616091657</v>
      </c>
      <c r="U189" s="52">
        <v>4.3231593877212697E-2</v>
      </c>
    </row>
    <row r="190" spans="10:21" x14ac:dyDescent="0.2">
      <c r="J190" s="31">
        <v>0.17234594236745804</v>
      </c>
      <c r="U190" s="31">
        <v>3.2016035601978708E-2</v>
      </c>
    </row>
    <row r="191" spans="10:21" x14ac:dyDescent="0.2">
      <c r="J191" s="52">
        <v>0.2680240674672828</v>
      </c>
      <c r="U191" s="52">
        <v>7.8562156601817312E-2</v>
      </c>
    </row>
    <row r="192" spans="10:21" x14ac:dyDescent="0.2">
      <c r="J192" s="31">
        <v>0.28236276959394208</v>
      </c>
      <c r="U192" s="31">
        <v>7.8743657740239434E-2</v>
      </c>
    </row>
    <row r="193" spans="10:21" x14ac:dyDescent="0.2">
      <c r="J193" s="52">
        <v>0.33882640493421678</v>
      </c>
      <c r="U193" s="52">
        <v>7.0149643236774931E-2</v>
      </c>
    </row>
    <row r="194" spans="10:21" x14ac:dyDescent="0.2">
      <c r="J194" s="31">
        <v>0.36681454230686</v>
      </c>
      <c r="U194" s="31">
        <v>6.9952391257303612E-2</v>
      </c>
    </row>
    <row r="195" spans="10:21" x14ac:dyDescent="0.2">
      <c r="J195" s="52">
        <v>0.75473340587595217</v>
      </c>
      <c r="U195" s="52">
        <v>0.33215451577801958</v>
      </c>
    </row>
    <row r="196" spans="10:21" x14ac:dyDescent="0.2">
      <c r="J196" s="31">
        <v>0.75620010643959557</v>
      </c>
      <c r="U196" s="31">
        <v>0.31942522618414049</v>
      </c>
    </row>
    <row r="197" spans="10:21" x14ac:dyDescent="0.2">
      <c r="J197" s="52">
        <v>0.77825651302605214</v>
      </c>
      <c r="U197" s="52">
        <v>0.18852705410821644</v>
      </c>
    </row>
    <row r="198" spans="10:21" x14ac:dyDescent="0.2">
      <c r="J198" s="31">
        <v>0.803140994794173</v>
      </c>
      <c r="U198" s="31">
        <v>0.33627892733715387</v>
      </c>
    </row>
    <row r="199" spans="10:21" x14ac:dyDescent="0.2">
      <c r="J199" s="52">
        <v>0.78779741100896328</v>
      </c>
      <c r="U199" s="52">
        <v>0.25170107152021376</v>
      </c>
    </row>
    <row r="200" spans="10:21" x14ac:dyDescent="0.2">
      <c r="J200" s="31">
        <v>0.78764856293617036</v>
      </c>
      <c r="U200" s="31">
        <v>0.26249183363547079</v>
      </c>
    </row>
    <row r="201" spans="10:21" x14ac:dyDescent="0.2">
      <c r="J201" s="52">
        <v>0.74854197679398027</v>
      </c>
      <c r="U201" s="52">
        <v>0.18705520096249922</v>
      </c>
    </row>
    <row r="202" spans="10:21" x14ac:dyDescent="0.2">
      <c r="J202" s="31">
        <v>0.74761883288991771</v>
      </c>
      <c r="U202" s="31">
        <v>0.18501706022937367</v>
      </c>
    </row>
    <row r="203" spans="10:21" x14ac:dyDescent="0.2">
      <c r="J203" s="52">
        <v>0.65206169208961851</v>
      </c>
      <c r="U203" s="52">
        <v>0.20896185499397044</v>
      </c>
    </row>
    <row r="204" spans="10:21" x14ac:dyDescent="0.2">
      <c r="J204" s="31">
        <v>0.6149705902391388</v>
      </c>
      <c r="U204" s="31">
        <v>0.17407398996207391</v>
      </c>
    </row>
    <row r="205" spans="10:21" x14ac:dyDescent="0.2">
      <c r="J205" s="52">
        <v>0.60300210715723179</v>
      </c>
      <c r="U205" s="52">
        <v>0.15822619977744631</v>
      </c>
    </row>
    <row r="206" spans="10:21" x14ac:dyDescent="0.2">
      <c r="J206" s="31">
        <v>0.62190490657754827</v>
      </c>
      <c r="U206" s="31">
        <v>0.19107296571978327</v>
      </c>
    </row>
    <row r="207" spans="10:21" x14ac:dyDescent="0.2">
      <c r="J207" s="52">
        <v>0.45701849836779107</v>
      </c>
      <c r="U207" s="52">
        <v>0.18142131716669258</v>
      </c>
    </row>
    <row r="208" spans="10:21" x14ac:dyDescent="0.2">
      <c r="J208" s="31">
        <v>0.44712757044531409</v>
      </c>
      <c r="U208" s="31">
        <v>0.14460246253698578</v>
      </c>
    </row>
    <row r="209" spans="10:21" x14ac:dyDescent="0.2">
      <c r="J209" s="52">
        <v>0.8203157875477981</v>
      </c>
      <c r="U209" s="52">
        <v>0.31238450701648462</v>
      </c>
    </row>
    <row r="210" spans="10:21" x14ac:dyDescent="0.2">
      <c r="J210" s="31">
        <v>0.81416718362282881</v>
      </c>
      <c r="U210" s="31">
        <v>0.31726892059553352</v>
      </c>
    </row>
    <row r="211" spans="10:21" x14ac:dyDescent="0.2">
      <c r="J211" s="52">
        <v>0.80693478479991931</v>
      </c>
      <c r="U211" s="52">
        <v>0.27212982562241711</v>
      </c>
    </row>
    <row r="212" spans="10:21" x14ac:dyDescent="0.2">
      <c r="J212" s="31">
        <v>0.80250148410472666</v>
      </c>
      <c r="U212" s="31">
        <v>0.2656240404495302</v>
      </c>
    </row>
    <row r="213" spans="10:21" x14ac:dyDescent="0.2">
      <c r="J213" s="52">
        <v>0.63407147555360666</v>
      </c>
      <c r="U213" s="52">
        <v>0.17978513483885114</v>
      </c>
    </row>
    <row r="214" spans="10:21" x14ac:dyDescent="0.2">
      <c r="J214" s="31">
        <v>0.64117032392894457</v>
      </c>
      <c r="U214" s="31">
        <v>0.2025078369905956</v>
      </c>
    </row>
    <row r="215" spans="10:21" x14ac:dyDescent="0.2">
      <c r="J215" s="52">
        <v>0.63525708289611749</v>
      </c>
      <c r="U215" s="52">
        <v>0.22455403987408185</v>
      </c>
    </row>
    <row r="216" spans="10:21" x14ac:dyDescent="0.2">
      <c r="J216" s="53">
        <v>0.6591653027823241</v>
      </c>
      <c r="U216" s="53">
        <v>0.28580196399345337</v>
      </c>
    </row>
    <row r="230" spans="3:7" x14ac:dyDescent="0.2">
      <c r="C230" s="52">
        <v>2.4942609140233999E-2</v>
      </c>
      <c r="D230">
        <f>_xlfn.NORM.DIST(C230,'Summary Statistics'!$B$14,'Summary Statistics'!$H$14,FALSE)</f>
        <v>0.15256204719446001</v>
      </c>
      <c r="F230" s="52">
        <v>-1.1052212640955179</v>
      </c>
      <c r="G230">
        <f>_xlfn.NORM.DIST(F230,'Summary Statistics'!$B$30,'Summary Statistics'!$H$30,FALSE)</f>
        <v>4.0080635770091428E-15</v>
      </c>
    </row>
    <row r="231" spans="3:7" x14ac:dyDescent="0.2">
      <c r="C231" s="31">
        <v>2.5958121487988799E-2</v>
      </c>
      <c r="D231">
        <f>_xlfn.NORM.DIST(C231,'Summary Statistics'!$B$14,'Summary Statistics'!$H$14,FALSE)</f>
        <v>0.15394887479084343</v>
      </c>
      <c r="F231" s="31">
        <v>-0.45011798484214444</v>
      </c>
      <c r="G231">
        <f>_xlfn.NORM.DIST(F231,'Summary Statistics'!$B$30,'Summary Statistics'!$H$30,FALSE)</f>
        <v>7.6166412967827073E-4</v>
      </c>
    </row>
    <row r="232" spans="3:7" x14ac:dyDescent="0.2">
      <c r="C232" s="52">
        <v>2.8511172689936911E-2</v>
      </c>
      <c r="D232">
        <f>_xlfn.NORM.DIST(C232,'Summary Statistics'!$B$14,'Summary Statistics'!$H$14,FALSE)</f>
        <v>0.15747933949378221</v>
      </c>
      <c r="F232" s="52">
        <v>-0.12919985973308029</v>
      </c>
      <c r="G232">
        <f>_xlfn.NORM.DIST(F232,'Summary Statistics'!$B$30,'Summary Statistics'!$H$30,FALSE)</f>
        <v>0.37650709776737556</v>
      </c>
    </row>
    <row r="233" spans="3:7" x14ac:dyDescent="0.2">
      <c r="C233" s="31">
        <v>2.9095097962960576E-2</v>
      </c>
      <c r="D233">
        <f>_xlfn.NORM.DIST(C233,'Summary Statistics'!$B$14,'Summary Statistics'!$H$14,FALSE)</f>
        <v>0.15829569339263169</v>
      </c>
      <c r="F233" s="31">
        <v>3.1054310157978709E-3</v>
      </c>
      <c r="G233">
        <f>_xlfn.NORM.DIST(F233,'Summary Statistics'!$B$30,'Summary Statistics'!$H$30,FALSE)</f>
        <v>1.3945283576400842</v>
      </c>
    </row>
    <row r="234" spans="3:7" x14ac:dyDescent="0.2">
      <c r="C234" s="52">
        <v>4.8677950006429722E-2</v>
      </c>
      <c r="D234">
        <f>_xlfn.NORM.DIST(C234,'Summary Statistics'!$B$14,'Summary Statistics'!$H$14,FALSE)</f>
        <v>0.1876451556879373</v>
      </c>
      <c r="F234" s="52">
        <v>6.5409108490020167E-3</v>
      </c>
      <c r="G234">
        <f>_xlfn.NORM.DIST(F234,'Summary Statistics'!$B$30,'Summary Statistics'!$H$30,FALSE)</f>
        <v>1.4288217042699112</v>
      </c>
    </row>
    <row r="235" spans="3:7" x14ac:dyDescent="0.2">
      <c r="C235" s="31">
        <v>5.3831471212545043E-2</v>
      </c>
      <c r="D235">
        <f>_xlfn.NORM.DIST(C235,'Summary Statistics'!$B$14,'Summary Statistics'!$H$14,FALSE)</f>
        <v>0.19602547606860654</v>
      </c>
      <c r="F235" s="31">
        <v>1.0213818873477963E-2</v>
      </c>
      <c r="G235">
        <f>_xlfn.NORM.DIST(F235,'Summary Statistics'!$B$30,'Summary Statistics'!$H$30,FALSE)</f>
        <v>1.4656217451707167</v>
      </c>
    </row>
    <row r="236" spans="3:7" x14ac:dyDescent="0.2">
      <c r="C236" s="52">
        <v>5.5709980396172865E-2</v>
      </c>
      <c r="D236">
        <f>_xlfn.NORM.DIST(C236,'Summary Statistics'!$B$14,'Summary Statistics'!$H$14,FALSE)</f>
        <v>0.19915032968918747</v>
      </c>
      <c r="F236" s="52">
        <v>1.0390039240533343E-2</v>
      </c>
      <c r="G236">
        <f>_xlfn.NORM.DIST(F236,'Summary Statistics'!$B$30,'Summary Statistics'!$H$30,FALSE)</f>
        <v>1.4673902733613913</v>
      </c>
    </row>
    <row r="237" spans="3:7" x14ac:dyDescent="0.2">
      <c r="C237" s="31">
        <v>5.6311172215129789E-2</v>
      </c>
      <c r="D237">
        <f>_xlfn.NORM.DIST(C237,'Summary Statistics'!$B$14,'Summary Statistics'!$H$14,FALSE)</f>
        <v>0.20015837890131752</v>
      </c>
      <c r="F237" s="31">
        <v>1.6769420468557335E-2</v>
      </c>
      <c r="G237">
        <f>_xlfn.NORM.DIST(F237,'Summary Statistics'!$B$30,'Summary Statistics'!$H$30,FALSE)</f>
        <v>1.5315369355994009</v>
      </c>
    </row>
    <row r="238" spans="3:7" x14ac:dyDescent="0.2">
      <c r="C238" s="52">
        <v>5.6661982345966359E-2</v>
      </c>
      <c r="D238">
        <f>_xlfn.NORM.DIST(C238,'Summary Statistics'!$B$14,'Summary Statistics'!$H$14,FALSE)</f>
        <v>0.20074839367911362</v>
      </c>
      <c r="F238" s="52">
        <v>1.7414616437208524E-2</v>
      </c>
      <c r="G238">
        <f>_xlfn.NORM.DIST(F238,'Summary Statistics'!$B$30,'Summary Statistics'!$H$30,FALSE)</f>
        <v>1.5380336350587567</v>
      </c>
    </row>
    <row r="239" spans="3:7" x14ac:dyDescent="0.2">
      <c r="C239" s="31">
        <v>5.9805955449382872E-2</v>
      </c>
      <c r="D239">
        <f>_xlfn.NORM.DIST(C239,'Summary Statistics'!$B$14,'Summary Statistics'!$H$14,FALSE)</f>
        <v>0.20609538160315832</v>
      </c>
      <c r="F239" s="31">
        <v>1.8247059508559451E-2</v>
      </c>
      <c r="G239">
        <f>_xlfn.NORM.DIST(F239,'Summary Statistics'!$B$30,'Summary Statistics'!$H$30,FALSE)</f>
        <v>1.5464169325935848</v>
      </c>
    </row>
    <row r="240" spans="3:7" x14ac:dyDescent="0.2">
      <c r="C240" s="52">
        <v>6.0789565622452545E-2</v>
      </c>
      <c r="D240">
        <f>_xlfn.NORM.DIST(C240,'Summary Statistics'!$B$14,'Summary Statistics'!$H$14,FALSE)</f>
        <v>0.20779021314215862</v>
      </c>
      <c r="F240" s="52">
        <v>1.8675872711265865E-2</v>
      </c>
      <c r="G240">
        <f>_xlfn.NORM.DIST(F240,'Summary Statistics'!$B$30,'Summary Statistics'!$H$30,FALSE)</f>
        <v>1.5507357486662199</v>
      </c>
    </row>
    <row r="241" spans="3:7" x14ac:dyDescent="0.2">
      <c r="C241" s="31">
        <v>6.3732581194671734E-2</v>
      </c>
      <c r="D241">
        <f>_xlfn.NORM.DIST(C241,'Summary Statistics'!$B$14,'Summary Statistics'!$H$14,FALSE)</f>
        <v>0.21292429547419947</v>
      </c>
      <c r="F241" s="31">
        <v>1.9133195849291303E-2</v>
      </c>
      <c r="G241">
        <f>_xlfn.NORM.DIST(F241,'Summary Statistics'!$B$30,'Summary Statistics'!$H$30,FALSE)</f>
        <v>1.555341877562914</v>
      </c>
    </row>
    <row r="242" spans="3:7" x14ac:dyDescent="0.2">
      <c r="C242" s="52">
        <v>0.16387176325524044</v>
      </c>
      <c r="D242">
        <f>_xlfn.NORM.DIST(C242,'Summary Statistics'!$B$14,'Summary Statistics'!$H$14,FALSE)</f>
        <v>0.44802566849359393</v>
      </c>
      <c r="F242" s="52">
        <v>1.9634961547327173E-2</v>
      </c>
      <c r="G242">
        <f>_xlfn.NORM.DIST(F242,'Summary Statistics'!$B$30,'Summary Statistics'!$H$30,FALSE)</f>
        <v>1.5603957421062167</v>
      </c>
    </row>
    <row r="243" spans="3:7" x14ac:dyDescent="0.2">
      <c r="C243" s="31">
        <v>0.17195986375770966</v>
      </c>
      <c r="D243">
        <f>_xlfn.NORM.DIST(C243,'Summary Statistics'!$B$14,'Summary Statistics'!$H$14,FALSE)</f>
        <v>0.47228995183768985</v>
      </c>
      <c r="F243" s="31">
        <v>2.004179487601402E-2</v>
      </c>
      <c r="G243">
        <f>_xlfn.NORM.DIST(F243,'Summary Statistics'!$B$30,'Summary Statistics'!$H$30,FALSE)</f>
        <v>1.5644934490527425</v>
      </c>
    </row>
    <row r="244" spans="3:7" x14ac:dyDescent="0.2">
      <c r="C244" s="52">
        <v>0.17234594236745804</v>
      </c>
      <c r="D244">
        <f>_xlfn.NORM.DIST(C244,'Summary Statistics'!$B$14,'Summary Statistics'!$H$14,FALSE)</f>
        <v>0.47346750421313377</v>
      </c>
      <c r="F244" s="52">
        <v>2.0969654384963329E-2</v>
      </c>
      <c r="G244">
        <f>_xlfn.NORM.DIST(F244,'Summary Statistics'!$B$30,'Summary Statistics'!$H$30,FALSE)</f>
        <v>1.5738387730409273</v>
      </c>
    </row>
    <row r="245" spans="3:7" x14ac:dyDescent="0.2">
      <c r="C245" s="31">
        <v>0.18456777616091657</v>
      </c>
      <c r="D245">
        <f>_xlfn.NORM.DIST(C245,'Summary Statistics'!$B$14,'Summary Statistics'!$H$14,FALSE)</f>
        <v>0.51163974247057276</v>
      </c>
      <c r="F245" s="31">
        <v>2.1369146892159446E-2</v>
      </c>
      <c r="G245">
        <f>_xlfn.NORM.DIST(F245,'Summary Statistics'!$B$30,'Summary Statistics'!$H$30,FALSE)</f>
        <v>1.5778621865487783</v>
      </c>
    </row>
    <row r="246" spans="3:7" x14ac:dyDescent="0.2">
      <c r="C246" s="52">
        <v>0.20819024689011384</v>
      </c>
      <c r="D246">
        <f>_xlfn.NORM.DIST(C246,'Summary Statistics'!$B$14,'Summary Statistics'!$H$14,FALSE)</f>
        <v>0.59015407554787558</v>
      </c>
      <c r="F246" s="52">
        <v>2.5499401638589707E-2</v>
      </c>
      <c r="G246">
        <f>_xlfn.NORM.DIST(F246,'Summary Statistics'!$B$30,'Summary Statistics'!$H$30,FALSE)</f>
        <v>1.6194362624297005</v>
      </c>
    </row>
    <row r="247" spans="3:7" x14ac:dyDescent="0.2">
      <c r="C247" s="31">
        <v>0.21177353375450828</v>
      </c>
      <c r="D247">
        <f>_xlfn.NORM.DIST(C247,'Summary Statistics'!$B$14,'Summary Statistics'!$H$14,FALSE)</f>
        <v>0.60258071479124597</v>
      </c>
      <c r="F247" s="31">
        <v>2.8019323671497585E-2</v>
      </c>
      <c r="G247">
        <f>_xlfn.NORM.DIST(F247,'Summary Statistics'!$B$30,'Summary Statistics'!$H$30,FALSE)</f>
        <v>1.6447635960102232</v>
      </c>
    </row>
    <row r="248" spans="3:7" x14ac:dyDescent="0.2">
      <c r="C248" s="52">
        <v>0.2130721649484536</v>
      </c>
      <c r="D248">
        <f>_xlfn.NORM.DIST(C248,'Summary Statistics'!$B$14,'Summary Statistics'!$H$14,FALSE)</f>
        <v>0.60711632214426836</v>
      </c>
      <c r="F248" s="52">
        <v>3.0975395430579963E-2</v>
      </c>
      <c r="G248">
        <f>_xlfn.NORM.DIST(F248,'Summary Statistics'!$B$30,'Summary Statistics'!$H$30,FALSE)</f>
        <v>1.6744157182031829</v>
      </c>
    </row>
    <row r="249" spans="3:7" x14ac:dyDescent="0.2">
      <c r="C249" s="31">
        <v>0.21600333023292118</v>
      </c>
      <c r="D249">
        <f>_xlfn.NORM.DIST(C249,'Summary Statistics'!$B$14,'Summary Statistics'!$H$14,FALSE)</f>
        <v>0.61741540467315814</v>
      </c>
      <c r="F249" s="31">
        <v>3.1807245642228567E-2</v>
      </c>
      <c r="G249">
        <f>_xlfn.NORM.DIST(F249,'Summary Statistics'!$B$30,'Summary Statistics'!$H$30,FALSE)</f>
        <v>1.6827455507434246</v>
      </c>
    </row>
    <row r="250" spans="3:7" x14ac:dyDescent="0.2">
      <c r="C250" s="52">
        <v>0.22789789846696101</v>
      </c>
      <c r="D250">
        <f>_xlfn.NORM.DIST(C250,'Summary Statistics'!$B$14,'Summary Statistics'!$H$14,FALSE)</f>
        <v>0.66005595336719414</v>
      </c>
      <c r="F250" s="52">
        <v>3.2016035601978708E-2</v>
      </c>
      <c r="G250">
        <f>_xlfn.NORM.DIST(F250,'Summary Statistics'!$B$30,'Summary Statistics'!$H$30,FALSE)</f>
        <v>1.6848351728832247</v>
      </c>
    </row>
    <row r="251" spans="3:7" x14ac:dyDescent="0.2">
      <c r="C251" s="31">
        <v>0.23038114846746019</v>
      </c>
      <c r="D251">
        <f>_xlfn.NORM.DIST(C251,'Summary Statistics'!$B$14,'Summary Statistics'!$H$14,FALSE)</f>
        <v>0.66912269461034624</v>
      </c>
      <c r="F251" s="31">
        <v>4.3231593877212697E-2</v>
      </c>
      <c r="G251">
        <f>_xlfn.NORM.DIST(F251,'Summary Statistics'!$B$30,'Summary Statistics'!$H$30,FALSE)</f>
        <v>1.7961849292685093</v>
      </c>
    </row>
    <row r="252" spans="3:7" x14ac:dyDescent="0.2">
      <c r="C252" s="52">
        <v>0.23442028985507246</v>
      </c>
      <c r="D252">
        <f>_xlfn.NORM.DIST(C252,'Summary Statistics'!$B$14,'Summary Statistics'!$H$14,FALSE)</f>
        <v>0.68398588424959106</v>
      </c>
      <c r="F252" s="52">
        <v>4.5044141252006419E-2</v>
      </c>
      <c r="G252">
        <f>_xlfn.NORM.DIST(F252,'Summary Statistics'!$B$30,'Summary Statistics'!$H$30,FALSE)</f>
        <v>1.8139667964847481</v>
      </c>
    </row>
    <row r="253" spans="3:7" x14ac:dyDescent="0.2">
      <c r="C253" s="31">
        <v>0.24244288224956062</v>
      </c>
      <c r="D253">
        <f>_xlfn.NORM.DIST(C253,'Summary Statistics'!$B$14,'Summary Statistics'!$H$14,FALSE)</f>
        <v>0.71391391174223762</v>
      </c>
      <c r="F253" s="31">
        <v>4.8701030927835051E-2</v>
      </c>
      <c r="G253">
        <f>_xlfn.NORM.DIST(F253,'Summary Statistics'!$B$30,'Summary Statistics'!$H$30,FALSE)</f>
        <v>1.8496099920468378</v>
      </c>
    </row>
    <row r="254" spans="3:7" x14ac:dyDescent="0.2">
      <c r="C254" s="52">
        <v>0.24555799716449933</v>
      </c>
      <c r="D254">
        <f>_xlfn.NORM.DIST(C254,'Summary Statistics'!$B$14,'Summary Statistics'!$H$14,FALSE)</f>
        <v>0.72567339581080814</v>
      </c>
      <c r="F254" s="52">
        <v>4.9887444630019609E-2</v>
      </c>
      <c r="G254">
        <f>_xlfn.NORM.DIST(F254,'Summary Statistics'!$B$30,'Summary Statistics'!$H$30,FALSE)</f>
        <v>1.8611010204307339</v>
      </c>
    </row>
    <row r="255" spans="3:7" x14ac:dyDescent="0.2">
      <c r="C255" s="31">
        <v>0.2680240674672828</v>
      </c>
      <c r="D255">
        <f>_xlfn.NORM.DIST(C255,'Summary Statistics'!$B$14,'Summary Statistics'!$H$14,FALSE)</f>
        <v>0.81249193805254127</v>
      </c>
      <c r="F255" s="31">
        <v>5.2693084032720702E-2</v>
      </c>
      <c r="G255">
        <f>_xlfn.NORM.DIST(F255,'Summary Statistics'!$B$30,'Summary Statistics'!$H$30,FALSE)</f>
        <v>1.8881197270565127</v>
      </c>
    </row>
    <row r="256" spans="3:7" x14ac:dyDescent="0.2">
      <c r="C256" s="52">
        <v>0.27118016091069369</v>
      </c>
      <c r="D256">
        <f>_xlfn.NORM.DIST(C256,'Summary Statistics'!$B$14,'Summary Statistics'!$H$14,FALSE)</f>
        <v>0.82493374998068536</v>
      </c>
      <c r="F256" s="52">
        <v>6.1199738781602758E-2</v>
      </c>
      <c r="G256">
        <f>_xlfn.NORM.DIST(F256,'Summary Statistics'!$B$30,'Summary Statistics'!$H$30,FALSE)</f>
        <v>1.968514748499065</v>
      </c>
    </row>
    <row r="257" spans="3:7" x14ac:dyDescent="0.2">
      <c r="C257" s="31">
        <v>0.27780693084892688</v>
      </c>
      <c r="D257">
        <f>_xlfn.NORM.DIST(C257,'Summary Statistics'!$B$14,'Summary Statistics'!$H$14,FALSE)</f>
        <v>0.85121798904955315</v>
      </c>
      <c r="F257" s="31">
        <v>6.4601153139453846E-2</v>
      </c>
      <c r="G257">
        <f>_xlfn.NORM.DIST(F257,'Summary Statistics'!$B$30,'Summary Statistics'!$H$30,FALSE)</f>
        <v>1.9999243106993063</v>
      </c>
    </row>
    <row r="258" spans="3:7" x14ac:dyDescent="0.2">
      <c r="C258" s="52">
        <v>0.2804834738204291</v>
      </c>
      <c r="D258">
        <f>_xlfn.NORM.DIST(C258,'Summary Statistics'!$B$14,'Summary Statistics'!$H$14,FALSE)</f>
        <v>0.8618900739214379</v>
      </c>
      <c r="F258" s="52">
        <v>6.6636346983507358E-2</v>
      </c>
      <c r="G258">
        <f>_xlfn.NORM.DIST(F258,'Summary Statistics'!$B$30,'Summary Statistics'!$H$30,FALSE)</f>
        <v>2.0184920847966628</v>
      </c>
    </row>
    <row r="259" spans="3:7" x14ac:dyDescent="0.2">
      <c r="C259" s="31">
        <v>0.28070634697952734</v>
      </c>
      <c r="D259">
        <f>_xlfn.NORM.DIST(C259,'Summary Statistics'!$B$14,'Summary Statistics'!$H$14,FALSE)</f>
        <v>0.86278006330055346</v>
      </c>
      <c r="F259" s="31">
        <v>6.7201976528721438E-2</v>
      </c>
      <c r="G259">
        <f>_xlfn.NORM.DIST(F259,'Summary Statistics'!$B$30,'Summary Statistics'!$H$30,FALSE)</f>
        <v>2.023621102917919</v>
      </c>
    </row>
    <row r="260" spans="3:7" x14ac:dyDescent="0.2">
      <c r="C260" s="52">
        <v>0.28236276959394208</v>
      </c>
      <c r="D260">
        <f>_xlfn.NORM.DIST(C260,'Summary Statistics'!$B$14,'Summary Statistics'!$H$14,FALSE)</f>
        <v>0.86940074084626517</v>
      </c>
      <c r="F260" s="52">
        <v>6.8358193196262296E-2</v>
      </c>
      <c r="G260">
        <f>_xlfn.NORM.DIST(F260,'Summary Statistics'!$B$30,'Summary Statistics'!$H$30,FALSE)</f>
        <v>2.034061751742235</v>
      </c>
    </row>
    <row r="261" spans="3:7" x14ac:dyDescent="0.2">
      <c r="C261" s="31">
        <v>0.28338086829952891</v>
      </c>
      <c r="D261">
        <f>_xlfn.NORM.DIST(C261,'Summary Statistics'!$B$14,'Summary Statistics'!$H$14,FALSE)</f>
        <v>0.8734752896318303</v>
      </c>
      <c r="F261" s="31">
        <v>6.8953341837497198E-2</v>
      </c>
      <c r="G261">
        <f>_xlfn.NORM.DIST(F261,'Summary Statistics'!$B$30,'Summary Statistics'!$H$30,FALSE)</f>
        <v>2.0394126898768419</v>
      </c>
    </row>
    <row r="262" spans="3:7" x14ac:dyDescent="0.2">
      <c r="C262" s="52">
        <v>0.28414419404982955</v>
      </c>
      <c r="D262">
        <f>_xlfn.NORM.DIST(C262,'Summary Statistics'!$B$14,'Summary Statistics'!$H$14,FALSE)</f>
        <v>0.87653273090395212</v>
      </c>
      <c r="F262" s="52">
        <v>6.9952391257303612E-2</v>
      </c>
      <c r="G262">
        <f>_xlfn.NORM.DIST(F262,'Summary Statistics'!$B$30,'Summary Statistics'!$H$30,FALSE)</f>
        <v>2.0483588364448742</v>
      </c>
    </row>
    <row r="263" spans="3:7" x14ac:dyDescent="0.2">
      <c r="C263" s="31">
        <v>0.28711723988609067</v>
      </c>
      <c r="D263">
        <f>_xlfn.NORM.DIST(C263,'Summary Statistics'!$B$14,'Summary Statistics'!$H$14,FALSE)</f>
        <v>0.88846060683317996</v>
      </c>
      <c r="F263" s="31">
        <v>7.0149643236774931E-2</v>
      </c>
      <c r="G263">
        <f>_xlfn.NORM.DIST(F263,'Summary Statistics'!$B$30,'Summary Statistics'!$H$30,FALSE)</f>
        <v>2.0501197254471863</v>
      </c>
    </row>
    <row r="264" spans="3:7" x14ac:dyDescent="0.2">
      <c r="C264" s="52">
        <v>0.2872817935232424</v>
      </c>
      <c r="D264">
        <f>_xlfn.NORM.DIST(C264,'Summary Statistics'!$B$14,'Summary Statistics'!$H$14,FALSE)</f>
        <v>0.88912166680767579</v>
      </c>
      <c r="F264" s="52">
        <v>7.0816755393228098E-2</v>
      </c>
      <c r="G264">
        <f>_xlfn.NORM.DIST(F264,'Summary Statistics'!$B$30,'Summary Statistics'!$H$30,FALSE)</f>
        <v>2.0560616545121748</v>
      </c>
    </row>
    <row r="265" spans="3:7" x14ac:dyDescent="0.2">
      <c r="C265" s="31">
        <v>0.3030991027749797</v>
      </c>
      <c r="D265">
        <f>_xlfn.NORM.DIST(C265,'Summary Statistics'!$B$14,'Summary Statistics'!$H$14,FALSE)</f>
        <v>0.9529926433582836</v>
      </c>
      <c r="F265" s="31">
        <v>7.0934601883877194E-2</v>
      </c>
      <c r="G265">
        <f>_xlfn.NORM.DIST(F265,'Summary Statistics'!$B$30,'Summary Statistics'!$H$30,FALSE)</f>
        <v>2.0571091342073404</v>
      </c>
    </row>
    <row r="266" spans="3:7" x14ac:dyDescent="0.2">
      <c r="C266" s="52">
        <v>0.3179381843767865</v>
      </c>
      <c r="D266">
        <f>_xlfn.NORM.DIST(C266,'Summary Statistics'!$B$14,'Summary Statistics'!$H$14,FALSE)</f>
        <v>1.0132053070854952</v>
      </c>
      <c r="F266" s="52">
        <v>7.1061771918071073E-2</v>
      </c>
      <c r="G266">
        <f>_xlfn.NORM.DIST(F266,'Summary Statistics'!$B$30,'Summary Statistics'!$H$30,FALSE)</f>
        <v>2.0582387501926513</v>
      </c>
    </row>
    <row r="267" spans="3:7" x14ac:dyDescent="0.2">
      <c r="C267" s="31">
        <v>0.32738509605708987</v>
      </c>
      <c r="D267">
        <f>_xlfn.NORM.DIST(C267,'Summary Statistics'!$B$14,'Summary Statistics'!$H$14,FALSE)</f>
        <v>1.0514797843219759</v>
      </c>
      <c r="F267" s="31">
        <v>7.1391076115485563E-2</v>
      </c>
      <c r="G267">
        <f>_xlfn.NORM.DIST(F267,'Summary Statistics'!$B$30,'Summary Statistics'!$H$30,FALSE)</f>
        <v>2.0611603028101695</v>
      </c>
    </row>
    <row r="268" spans="3:7" x14ac:dyDescent="0.2">
      <c r="C268" s="52">
        <v>0.33447771339039872</v>
      </c>
      <c r="D268">
        <f>_xlfn.NORM.DIST(C268,'Summary Statistics'!$B$14,'Summary Statistics'!$H$14,FALSE)</f>
        <v>1.0800997690381784</v>
      </c>
      <c r="F268" s="52">
        <v>7.2335214129366915E-2</v>
      </c>
      <c r="G268">
        <f>_xlfn.NORM.DIST(F268,'Summary Statistics'!$B$30,'Summary Statistics'!$H$30,FALSE)</f>
        <v>2.0695078197317387</v>
      </c>
    </row>
    <row r="269" spans="3:7" x14ac:dyDescent="0.2">
      <c r="C269" s="31">
        <v>0.33882640493421678</v>
      </c>
      <c r="D269">
        <f>_xlfn.NORM.DIST(C269,'Summary Statistics'!$B$14,'Summary Statistics'!$H$14,FALSE)</f>
        <v>1.0975732694260085</v>
      </c>
      <c r="F269" s="31">
        <v>7.627492677446536E-2</v>
      </c>
      <c r="G269">
        <f>_xlfn.NORM.DIST(F269,'Summary Statistics'!$B$30,'Summary Statistics'!$H$30,FALSE)</f>
        <v>2.1038642044809621</v>
      </c>
    </row>
    <row r="270" spans="3:7" x14ac:dyDescent="0.2">
      <c r="C270" s="52">
        <v>0.35562075355157502</v>
      </c>
      <c r="D270">
        <f>_xlfn.NORM.DIST(C270,'Summary Statistics'!$B$14,'Summary Statistics'!$H$14,FALSE)</f>
        <v>1.1642770433303673</v>
      </c>
      <c r="F270" s="52">
        <v>7.8562156601817312E-2</v>
      </c>
      <c r="G270">
        <f>_xlfn.NORM.DIST(F270,'Summary Statistics'!$B$30,'Summary Statistics'!$H$30,FALSE)</f>
        <v>2.1234416028444323</v>
      </c>
    </row>
    <row r="271" spans="3:7" x14ac:dyDescent="0.2">
      <c r="C271" s="31">
        <v>0.36647481535697651</v>
      </c>
      <c r="D271">
        <f>_xlfn.NORM.DIST(C271,'Summary Statistics'!$B$14,'Summary Statistics'!$H$14,FALSE)</f>
        <v>1.2064879176190104</v>
      </c>
      <c r="F271" s="31">
        <v>7.8743657740239434E-2</v>
      </c>
      <c r="G271">
        <f>_xlfn.NORM.DIST(F271,'Summary Statistics'!$B$30,'Summary Statistics'!$H$30,FALSE)</f>
        <v>2.1249831127219108</v>
      </c>
    </row>
    <row r="272" spans="3:7" x14ac:dyDescent="0.2">
      <c r="C272" s="52">
        <v>0.36681454230686</v>
      </c>
      <c r="D272">
        <f>_xlfn.NORM.DIST(C272,'Summary Statistics'!$B$14,'Summary Statistics'!$H$14,FALSE)</f>
        <v>1.2077949868623188</v>
      </c>
      <c r="F272" s="52">
        <v>8.5064734365877956E-2</v>
      </c>
      <c r="G272">
        <f>_xlfn.NORM.DIST(F272,'Summary Statistics'!$B$30,'Summary Statistics'!$H$30,FALSE)</f>
        <v>2.1775090152818435</v>
      </c>
    </row>
    <row r="273" spans="3:7" x14ac:dyDescent="0.2">
      <c r="C273" s="31">
        <v>0.37632817753866848</v>
      </c>
      <c r="D273">
        <f>_xlfn.NORM.DIST(C273,'Summary Statistics'!$B$14,'Summary Statistics'!$H$14,FALSE)</f>
        <v>1.244000040672828</v>
      </c>
      <c r="F273" s="31">
        <v>8.7839264969901784E-2</v>
      </c>
      <c r="G273">
        <f>_xlfn.NORM.DIST(F273,'Summary Statistics'!$B$30,'Summary Statistics'!$H$30,FALSE)</f>
        <v>2.1998167946781746</v>
      </c>
    </row>
    <row r="274" spans="3:7" x14ac:dyDescent="0.2">
      <c r="C274" s="52">
        <v>0.37848658748164954</v>
      </c>
      <c r="D274">
        <f>_xlfn.NORM.DIST(C274,'Summary Statistics'!$B$14,'Summary Statistics'!$H$14,FALSE)</f>
        <v>1.2520993547187085</v>
      </c>
      <c r="F274" s="52">
        <v>9.4632525634415987E-2</v>
      </c>
      <c r="G274">
        <f>_xlfn.NORM.DIST(F274,'Summary Statistics'!$B$30,'Summary Statistics'!$H$30,FALSE)</f>
        <v>2.2523565657891429</v>
      </c>
    </row>
    <row r="275" spans="3:7" x14ac:dyDescent="0.2">
      <c r="C275" s="31">
        <v>0.38276259835063614</v>
      </c>
      <c r="D275">
        <f>_xlfn.NORM.DIST(C275,'Summary Statistics'!$B$14,'Summary Statistics'!$H$14,FALSE)</f>
        <v>1.2680082304853619</v>
      </c>
      <c r="F275" s="31">
        <v>9.6107331031717827E-2</v>
      </c>
      <c r="G275">
        <f>_xlfn.NORM.DIST(F275,'Summary Statistics'!$B$30,'Summary Statistics'!$H$30,FALSE)</f>
        <v>2.2633531381710554</v>
      </c>
    </row>
    <row r="276" spans="3:7" x14ac:dyDescent="0.2">
      <c r="C276" s="52">
        <v>0.38509874326750448</v>
      </c>
      <c r="D276">
        <f>_xlfn.NORM.DIST(C276,'Summary Statistics'!$B$14,'Summary Statistics'!$H$14,FALSE)</f>
        <v>1.2766196483664018</v>
      </c>
      <c r="F276" s="52">
        <v>9.9539996010691467E-2</v>
      </c>
      <c r="G276">
        <f>_xlfn.NORM.DIST(F276,'Summary Statistics'!$B$30,'Summary Statistics'!$H$30,FALSE)</f>
        <v>2.2883539742916881</v>
      </c>
    </row>
    <row r="277" spans="3:7" x14ac:dyDescent="0.2">
      <c r="C277" s="31">
        <v>0.38528108794944882</v>
      </c>
      <c r="D277">
        <f>_xlfn.NORM.DIST(C277,'Summary Statistics'!$B$14,'Summary Statistics'!$H$14,FALSE)</f>
        <v>1.27728933647274</v>
      </c>
      <c r="F277" s="31">
        <v>0.10018330793722027</v>
      </c>
      <c r="G277">
        <f>_xlfn.NORM.DIST(F277,'Summary Statistics'!$B$30,'Summary Statistics'!$H$30,FALSE)</f>
        <v>2.2929448500241554</v>
      </c>
    </row>
    <row r="278" spans="3:7" x14ac:dyDescent="0.2">
      <c r="C278" s="52">
        <v>0.38895571976857424</v>
      </c>
      <c r="D278">
        <f>_xlfn.NORM.DIST(C278,'Summary Statistics'!$B$14,'Summary Statistics'!$H$14,FALSE)</f>
        <v>1.2907066475173856</v>
      </c>
      <c r="F278" s="52">
        <v>0.10851096301571959</v>
      </c>
      <c r="G278">
        <f>_xlfn.NORM.DIST(F278,'Summary Statistics'!$B$30,'Summary Statistics'!$H$30,FALSE)</f>
        <v>2.3495554890823374</v>
      </c>
    </row>
    <row r="279" spans="3:7" x14ac:dyDescent="0.2">
      <c r="C279" s="31">
        <v>0.39462636439966414</v>
      </c>
      <c r="D279">
        <f>_xlfn.NORM.DIST(C279,'Summary Statistics'!$B$14,'Summary Statistics'!$H$14,FALSE)</f>
        <v>1.3111062490333691</v>
      </c>
      <c r="F279" s="31">
        <v>0.11277946191739295</v>
      </c>
      <c r="G279">
        <f>_xlfn.NORM.DIST(F279,'Summary Statistics'!$B$30,'Summary Statistics'!$H$30,FALSE)</f>
        <v>2.3764511726526303</v>
      </c>
    </row>
    <row r="280" spans="3:7" x14ac:dyDescent="0.2">
      <c r="C280" s="52">
        <v>0.39667454244101985</v>
      </c>
      <c r="D280">
        <f>_xlfn.NORM.DIST(C280,'Summary Statistics'!$B$14,'Summary Statistics'!$H$14,FALSE)</f>
        <v>1.3183785277331392</v>
      </c>
      <c r="F280" s="52">
        <v>0.11413043478260869</v>
      </c>
      <c r="G280">
        <f>_xlfn.NORM.DIST(F280,'Summary Statistics'!$B$30,'Summary Statistics'!$H$30,FALSE)</f>
        <v>2.3846507680374498</v>
      </c>
    </row>
    <row r="281" spans="3:7" x14ac:dyDescent="0.2">
      <c r="C281" s="31">
        <v>0.40877691995123933</v>
      </c>
      <c r="D281">
        <f>_xlfn.NORM.DIST(C281,'Summary Statistics'!$B$14,'Summary Statistics'!$H$14,FALSE)</f>
        <v>1.3602248830877344</v>
      </c>
      <c r="F281" s="31">
        <v>0.12135970478117675</v>
      </c>
      <c r="G281">
        <f>_xlfn.NORM.DIST(F281,'Summary Statistics'!$B$30,'Summary Statistics'!$H$30,FALSE)</f>
        <v>2.4258774446638043</v>
      </c>
    </row>
    <row r="282" spans="3:7" x14ac:dyDescent="0.2">
      <c r="C282" s="52">
        <v>0.41389435642605915</v>
      </c>
      <c r="D282">
        <f>_xlfn.NORM.DIST(C282,'Summary Statistics'!$B$14,'Summary Statistics'!$H$14,FALSE)</f>
        <v>1.3772981816453951</v>
      </c>
      <c r="F282" s="52">
        <v>0.1250369707191904</v>
      </c>
      <c r="G282">
        <f>_xlfn.NORM.DIST(F282,'Summary Statistics'!$B$30,'Summary Statistics'!$H$30,FALSE)</f>
        <v>2.4450788382431301</v>
      </c>
    </row>
    <row r="283" spans="3:7" x14ac:dyDescent="0.2">
      <c r="C283" s="31">
        <v>0.4159309791332263</v>
      </c>
      <c r="D283">
        <f>_xlfn.NORM.DIST(C283,'Summary Statistics'!$B$14,'Summary Statistics'!$H$14,FALSE)</f>
        <v>1.3839832803599681</v>
      </c>
      <c r="F283" s="31">
        <v>0.1253176407650127</v>
      </c>
      <c r="G283">
        <f>_xlfn.NORM.DIST(F283,'Summary Statistics'!$B$30,'Summary Statistics'!$H$30,FALSE)</f>
        <v>2.4464940617171576</v>
      </c>
    </row>
    <row r="284" spans="3:7" x14ac:dyDescent="0.2">
      <c r="C284" s="52">
        <v>0.42238145802617205</v>
      </c>
      <c r="D284">
        <f>_xlfn.NORM.DIST(C284,'Summary Statistics'!$B$14,'Summary Statistics'!$H$14,FALSE)</f>
        <v>1.4047263034396464</v>
      </c>
      <c r="F284" s="52">
        <v>0.12836469600434633</v>
      </c>
      <c r="G284">
        <f>_xlfn.NORM.DIST(F284,'Summary Statistics'!$B$30,'Summary Statistics'!$H$30,FALSE)</f>
        <v>2.4613915559500916</v>
      </c>
    </row>
    <row r="285" spans="3:7" x14ac:dyDescent="0.2">
      <c r="C285" s="31">
        <v>0.42305301758965752</v>
      </c>
      <c r="D285">
        <f>_xlfn.NORM.DIST(C285,'Summary Statistics'!$B$14,'Summary Statistics'!$H$14,FALSE)</f>
        <v>1.4068472085281329</v>
      </c>
      <c r="F285" s="31">
        <v>0.12866211218764761</v>
      </c>
      <c r="G285">
        <f>_xlfn.NORM.DIST(F285,'Summary Statistics'!$B$30,'Summary Statistics'!$H$30,FALSE)</f>
        <v>2.4627995304699608</v>
      </c>
    </row>
    <row r="286" spans="3:7" x14ac:dyDescent="0.2">
      <c r="C286" s="52">
        <v>0.42330474264382612</v>
      </c>
      <c r="D286">
        <f>_xlfn.NORM.DIST(C286,'Summary Statistics'!$B$14,'Summary Statistics'!$H$14,FALSE)</f>
        <v>1.4076402819607317</v>
      </c>
      <c r="F286" s="52">
        <v>0.12878552971576226</v>
      </c>
      <c r="G286">
        <f>_xlfn.NORM.DIST(F286,'Summary Statistics'!$B$30,'Summary Statistics'!$H$30,FALSE)</f>
        <v>2.4633813652095973</v>
      </c>
    </row>
    <row r="287" spans="3:7" x14ac:dyDescent="0.2">
      <c r="C287" s="31">
        <v>0.42464517106782873</v>
      </c>
      <c r="D287">
        <f>_xlfn.NORM.DIST(C287,'Summary Statistics'!$B$14,'Summary Statistics'!$H$14,FALSE)</f>
        <v>1.4118456356415232</v>
      </c>
      <c r="F287" s="31">
        <v>0.1288969695117759</v>
      </c>
      <c r="G287">
        <f>_xlfn.NORM.DIST(F287,'Summary Statistics'!$B$30,'Summary Statistics'!$H$30,FALSE)</f>
        <v>2.463905508545285</v>
      </c>
    </row>
    <row r="288" spans="3:7" x14ac:dyDescent="0.2">
      <c r="C288" s="52">
        <v>0.42681487310643323</v>
      </c>
      <c r="D288">
        <f>_xlfn.NORM.DIST(C288,'Summary Statistics'!$B$14,'Summary Statistics'!$H$14,FALSE)</f>
        <v>1.4185887059092188</v>
      </c>
      <c r="F288" s="52">
        <v>0.12924358532988214</v>
      </c>
      <c r="G288">
        <f>_xlfn.NORM.DIST(F288,'Summary Statistics'!$B$30,'Summary Statistics'!$H$30,FALSE)</f>
        <v>2.4655283390751332</v>
      </c>
    </row>
    <row r="289" spans="3:7" x14ac:dyDescent="0.2">
      <c r="C289" s="31">
        <v>0.42737195633921077</v>
      </c>
      <c r="D289">
        <f>_xlfn.NORM.DIST(C289,'Summary Statistics'!$B$14,'Summary Statistics'!$H$14,FALSE)</f>
        <v>1.4203071201640887</v>
      </c>
      <c r="F289" s="31">
        <v>0.13169899725106562</v>
      </c>
      <c r="G289">
        <f>_xlfn.NORM.DIST(F289,'Summary Statistics'!$B$30,'Summary Statistics'!$H$30,FALSE)</f>
        <v>2.4767003710596733</v>
      </c>
    </row>
    <row r="290" spans="3:7" x14ac:dyDescent="0.2">
      <c r="C290" s="52">
        <v>0.44215446722617657</v>
      </c>
      <c r="D290">
        <f>_xlfn.NORM.DIST(C290,'Summary Statistics'!$B$14,'Summary Statistics'!$H$14,FALSE)</f>
        <v>1.4638876109455627</v>
      </c>
      <c r="F290" s="52">
        <v>0.13221250840618695</v>
      </c>
      <c r="G290">
        <f>_xlfn.NORM.DIST(F290,'Summary Statistics'!$B$30,'Summary Statistics'!$H$30,FALSE)</f>
        <v>2.4789645597867298</v>
      </c>
    </row>
    <row r="291" spans="3:7" x14ac:dyDescent="0.2">
      <c r="C291" s="31">
        <v>0.44358658582796512</v>
      </c>
      <c r="D291">
        <f>_xlfn.NORM.DIST(C291,'Summary Statistics'!$B$14,'Summary Statistics'!$H$14,FALSE)</f>
        <v>1.4678941211448073</v>
      </c>
      <c r="F291" s="31">
        <v>0.13248295252875428</v>
      </c>
      <c r="G291">
        <f>_xlfn.NORM.DIST(F291,'Summary Statistics'!$B$30,'Summary Statistics'!$H$30,FALSE)</f>
        <v>2.4801468980202341</v>
      </c>
    </row>
    <row r="292" spans="3:7" x14ac:dyDescent="0.2">
      <c r="C292" s="52">
        <v>0.44712757044531409</v>
      </c>
      <c r="D292">
        <f>_xlfn.NORM.DIST(C292,'Summary Statistics'!$B$14,'Summary Statistics'!$H$14,FALSE)</f>
        <v>1.4776292834873017</v>
      </c>
      <c r="F292" s="52">
        <v>0.13316473702928044</v>
      </c>
      <c r="G292">
        <f>_xlfn.NORM.DIST(F292,'Summary Statistics'!$B$30,'Summary Statistics'!$H$30,FALSE)</f>
        <v>2.4830965017277613</v>
      </c>
    </row>
    <row r="293" spans="3:7" x14ac:dyDescent="0.2">
      <c r="C293" s="31">
        <v>0.44904320944887383</v>
      </c>
      <c r="D293">
        <f>_xlfn.NORM.DIST(C293,'Summary Statistics'!$B$14,'Summary Statistics'!$H$14,FALSE)</f>
        <v>1.4827927861069912</v>
      </c>
      <c r="F293" s="31">
        <v>0.13920637993955121</v>
      </c>
      <c r="G293">
        <f>_xlfn.NORM.DIST(F293,'Summary Statistics'!$B$30,'Summary Statistics'!$H$30,FALSE)</f>
        <v>2.5072675934450377</v>
      </c>
    </row>
    <row r="294" spans="3:7" x14ac:dyDescent="0.2">
      <c r="C294" s="52">
        <v>0.45242321742910829</v>
      </c>
      <c r="D294">
        <f>_xlfn.NORM.DIST(C294,'Summary Statistics'!$B$14,'Summary Statistics'!$H$14,FALSE)</f>
        <v>1.4917234828411217</v>
      </c>
      <c r="F294" s="52">
        <v>0.13923068395964971</v>
      </c>
      <c r="G294">
        <f>_xlfn.NORM.DIST(F294,'Summary Statistics'!$B$30,'Summary Statistics'!$H$30,FALSE)</f>
        <v>2.5073576078036357</v>
      </c>
    </row>
    <row r="295" spans="3:7" x14ac:dyDescent="0.2">
      <c r="C295" s="31">
        <v>0.45284590111472139</v>
      </c>
      <c r="D295">
        <f>_xlfn.NORM.DIST(C295,'Summary Statistics'!$B$14,'Summary Statistics'!$H$14,FALSE)</f>
        <v>1.4928239534026742</v>
      </c>
      <c r="F295" s="31">
        <v>0.14007836551917158</v>
      </c>
      <c r="G295">
        <f>_xlfn.NORM.DIST(F295,'Summary Statistics'!$B$30,'Summary Statistics'!$H$30,FALSE)</f>
        <v>2.5104605517803358</v>
      </c>
    </row>
    <row r="296" spans="3:7" x14ac:dyDescent="0.2">
      <c r="C296" s="52">
        <v>0.45662322505349157</v>
      </c>
      <c r="D296">
        <f>_xlfn.NORM.DIST(C296,'Summary Statistics'!$B$14,'Summary Statistics'!$H$14,FALSE)</f>
        <v>1.5024945013295532</v>
      </c>
      <c r="F296" s="52">
        <v>0.14019074366625708</v>
      </c>
      <c r="G296">
        <f>_xlfn.NORM.DIST(F296,'Summary Statistics'!$B$30,'Summary Statistics'!$H$30,FALSE)</f>
        <v>2.5108665627657278</v>
      </c>
    </row>
    <row r="297" spans="3:7" x14ac:dyDescent="0.2">
      <c r="C297" s="31">
        <v>0.45674258071013135</v>
      </c>
      <c r="D297">
        <f>_xlfn.NORM.DIST(C297,'Summary Statistics'!$B$14,'Summary Statistics'!$H$14,FALSE)</f>
        <v>1.5027952270588372</v>
      </c>
      <c r="F297" s="31">
        <v>0.14050477824062729</v>
      </c>
      <c r="G297">
        <f>_xlfn.NORM.DIST(F297,'Summary Statistics'!$B$30,'Summary Statistics'!$H$30,FALSE)</f>
        <v>2.5119944853940273</v>
      </c>
    </row>
    <row r="298" spans="3:7" x14ac:dyDescent="0.2">
      <c r="C298" s="52">
        <v>0.45701849836779107</v>
      </c>
      <c r="D298">
        <f>_xlfn.NORM.DIST(C298,'Summary Statistics'!$B$14,'Summary Statistics'!$H$14,FALSE)</f>
        <v>1.5034892777879114</v>
      </c>
      <c r="F298" s="52">
        <v>0.14117585270493266</v>
      </c>
      <c r="G298">
        <f>_xlfn.NORM.DIST(F298,'Summary Statistics'!$B$30,'Summary Statistics'!$H$30,FALSE)</f>
        <v>2.5143718965309847</v>
      </c>
    </row>
    <row r="299" spans="3:7" x14ac:dyDescent="0.2">
      <c r="C299" s="31">
        <v>0.45715986655192331</v>
      </c>
      <c r="D299">
        <f>_xlfn.NORM.DIST(C299,'Summary Statistics'!$B$14,'Summary Statistics'!$H$14,FALSE)</f>
        <v>1.5038442592056964</v>
      </c>
      <c r="F299" s="31">
        <v>0.14279714405711885</v>
      </c>
      <c r="G299">
        <f>_xlfn.NORM.DIST(F299,'Summary Statistics'!$B$30,'Summary Statistics'!$H$30,FALSE)</f>
        <v>2.5199299919537426</v>
      </c>
    </row>
    <row r="300" spans="3:7" x14ac:dyDescent="0.2">
      <c r="C300" s="52">
        <v>0.46599526541748587</v>
      </c>
      <c r="D300">
        <f>_xlfn.NORM.DIST(C300,'Summary Statistics'!$B$14,'Summary Statistics'!$H$14,FALSE)</f>
        <v>1.5251824465683368</v>
      </c>
      <c r="F300" s="52">
        <v>0.14449998231695096</v>
      </c>
      <c r="G300">
        <f>_xlfn.NORM.DIST(F300,'Summary Statistics'!$B$30,'Summary Statistics'!$H$30,FALSE)</f>
        <v>2.5254833294254686</v>
      </c>
    </row>
    <row r="301" spans="3:7" x14ac:dyDescent="0.2">
      <c r="C301" s="31">
        <v>0.47993270848353758</v>
      </c>
      <c r="D301">
        <f>_xlfn.NORM.DIST(C301,'Summary Statistics'!$B$14,'Summary Statistics'!$H$14,FALSE)</f>
        <v>1.555313504598473</v>
      </c>
      <c r="F301" s="31">
        <v>0.14460246253698578</v>
      </c>
      <c r="G301">
        <f>_xlfn.NORM.DIST(F301,'Summary Statistics'!$B$30,'Summary Statistics'!$H$30,FALSE)</f>
        <v>2.5258082047204402</v>
      </c>
    </row>
    <row r="302" spans="3:7" x14ac:dyDescent="0.2">
      <c r="C302" s="52">
        <v>0.49215632038566404</v>
      </c>
      <c r="D302">
        <f>_xlfn.NORM.DIST(C302,'Summary Statistics'!$B$14,'Summary Statistics'!$H$14,FALSE)</f>
        <v>1.5779907507676045</v>
      </c>
      <c r="F302" s="52">
        <v>0.14588192530215369</v>
      </c>
      <c r="G302">
        <f>_xlfn.NORM.DIST(F302,'Summary Statistics'!$B$30,'Summary Statistics'!$H$30,FALSE)</f>
        <v>2.5297746858349472</v>
      </c>
    </row>
    <row r="303" spans="3:7" x14ac:dyDescent="0.2">
      <c r="C303" s="31">
        <v>0.50923514089509825</v>
      </c>
      <c r="D303">
        <f>_xlfn.NORM.DIST(C303,'Summary Statistics'!$B$14,'Summary Statistics'!$H$14,FALSE)</f>
        <v>1.6034850957160369</v>
      </c>
      <c r="F303" s="31">
        <v>0.14588601439408674</v>
      </c>
      <c r="G303">
        <f>_xlfn.NORM.DIST(F303,'Summary Statistics'!$B$30,'Summary Statistics'!$H$30,FALSE)</f>
        <v>2.5297870961204314</v>
      </c>
    </row>
    <row r="304" spans="3:7" x14ac:dyDescent="0.2">
      <c r="C304" s="52">
        <v>0.51191159586681978</v>
      </c>
      <c r="D304">
        <f>_xlfn.NORM.DIST(C304,'Summary Statistics'!$B$14,'Summary Statistics'!$H$14,FALSE)</f>
        <v>1.6068047546811302</v>
      </c>
      <c r="F304" s="52">
        <v>0.14660431069540464</v>
      </c>
      <c r="G304">
        <f>_xlfn.NORM.DIST(F304,'Summary Statistics'!$B$30,'Summary Statistics'!$H$30,FALSE)</f>
        <v>2.5319407073423346</v>
      </c>
    </row>
    <row r="305" spans="3:7" x14ac:dyDescent="0.2">
      <c r="C305" s="31">
        <v>0.51787931462627268</v>
      </c>
      <c r="D305">
        <f>_xlfn.NORM.DIST(C305,'Summary Statistics'!$B$14,'Summary Statistics'!$H$14,FALSE)</f>
        <v>1.6135330823253959</v>
      </c>
      <c r="F305" s="31">
        <v>0.14878048780487804</v>
      </c>
      <c r="G305">
        <f>_xlfn.NORM.DIST(F305,'Summary Statistics'!$B$30,'Summary Statistics'!$H$30,FALSE)</f>
        <v>2.5381437981556183</v>
      </c>
    </row>
    <row r="306" spans="3:7" x14ac:dyDescent="0.2">
      <c r="C306" s="52">
        <v>0.5296487985212569</v>
      </c>
      <c r="D306">
        <f>_xlfn.NORM.DIST(C306,'Summary Statistics'!$B$14,'Summary Statistics'!$H$14,FALSE)</f>
        <v>1.6240391026422705</v>
      </c>
      <c r="F306" s="52">
        <v>0.15033519834669087</v>
      </c>
      <c r="G306">
        <f>_xlfn.NORM.DIST(F306,'Summary Statistics'!$B$30,'Summary Statistics'!$H$30,FALSE)</f>
        <v>2.5422777997963766</v>
      </c>
    </row>
    <row r="307" spans="3:7" x14ac:dyDescent="0.2">
      <c r="C307" s="31">
        <v>0.53147506734839733</v>
      </c>
      <c r="D307">
        <f>_xlfn.NORM.DIST(C307,'Summary Statistics'!$B$14,'Summary Statistics'!$H$14,FALSE)</f>
        <v>1.6253369034078897</v>
      </c>
      <c r="F307" s="31">
        <v>0.15036556766450546</v>
      </c>
      <c r="G307">
        <f>_xlfn.NORM.DIST(F307,'Summary Statistics'!$B$30,'Summary Statistics'!$H$30,FALSE)</f>
        <v>2.5423560721860552</v>
      </c>
    </row>
    <row r="308" spans="3:7" x14ac:dyDescent="0.2">
      <c r="C308" s="52">
        <v>0.53232945006867782</v>
      </c>
      <c r="D308">
        <f>_xlfn.NORM.DIST(C308,'Summary Statistics'!$B$14,'Summary Statistics'!$H$14,FALSE)</f>
        <v>1.6259131740236592</v>
      </c>
      <c r="F308" s="52">
        <v>0.15073947667804324</v>
      </c>
      <c r="G308">
        <f>_xlfn.NORM.DIST(F308,'Summary Statistics'!$B$30,'Summary Statistics'!$H$30,FALSE)</f>
        <v>2.5433119628062371</v>
      </c>
    </row>
    <row r="309" spans="3:7" x14ac:dyDescent="0.2">
      <c r="C309" s="31">
        <v>0.53286089238845147</v>
      </c>
      <c r="D309">
        <f>_xlfn.NORM.DIST(C309,'Summary Statistics'!$B$14,'Summary Statistics'!$H$14,FALSE)</f>
        <v>1.6262616821136087</v>
      </c>
      <c r="F309" s="31">
        <v>0.15440149045179319</v>
      </c>
      <c r="G309">
        <f>_xlfn.NORM.DIST(F309,'Summary Statistics'!$B$30,'Summary Statistics'!$H$30,FALSE)</f>
        <v>2.5519077395712992</v>
      </c>
    </row>
    <row r="310" spans="3:7" x14ac:dyDescent="0.2">
      <c r="C310" s="52">
        <v>0.53456689711264738</v>
      </c>
      <c r="D310">
        <f>_xlfn.NORM.DIST(C310,'Summary Statistics'!$B$14,'Summary Statistics'!$H$14,FALSE)</f>
        <v>1.6273288439229796</v>
      </c>
      <c r="F310" s="52">
        <v>0.1558231934442513</v>
      </c>
      <c r="G310">
        <f>_xlfn.NORM.DIST(F310,'Summary Statistics'!$B$30,'Summary Statistics'!$H$30,FALSE)</f>
        <v>2.554868352857167</v>
      </c>
    </row>
    <row r="311" spans="3:7" x14ac:dyDescent="0.2">
      <c r="C311" s="31">
        <v>0.53885922154611321</v>
      </c>
      <c r="D311">
        <f>_xlfn.NORM.DIST(C311,'Summary Statistics'!$B$14,'Summary Statistics'!$H$14,FALSE)</f>
        <v>1.6296649528937581</v>
      </c>
      <c r="F311" s="31">
        <v>0.15626496954766303</v>
      </c>
      <c r="G311">
        <f>_xlfn.NORM.DIST(F311,'Summary Statistics'!$B$30,'Summary Statistics'!$H$30,FALSE)</f>
        <v>2.5557452345149971</v>
      </c>
    </row>
    <row r="312" spans="3:7" x14ac:dyDescent="0.2">
      <c r="C312" s="52">
        <v>0.54057639998206197</v>
      </c>
      <c r="D312">
        <f>_xlfn.NORM.DIST(C312,'Summary Statistics'!$B$14,'Summary Statistics'!$H$14,FALSE)</f>
        <v>1.6304593368162532</v>
      </c>
      <c r="F312" s="52">
        <v>0.15822619977744631</v>
      </c>
      <c r="G312">
        <f>_xlfn.NORM.DIST(F312,'Summary Statistics'!$B$30,'Summary Statistics'!$H$30,FALSE)</f>
        <v>2.5593906591808238</v>
      </c>
    </row>
    <row r="313" spans="3:7" x14ac:dyDescent="0.2">
      <c r="C313" s="31">
        <v>0.54472267496419224</v>
      </c>
      <c r="D313">
        <f>_xlfn.NORM.DIST(C313,'Summary Statistics'!$B$14,'Summary Statistics'!$H$14,FALSE)</f>
        <v>1.6320462006586864</v>
      </c>
      <c r="F313" s="31">
        <v>0.16267100094812406</v>
      </c>
      <c r="G313">
        <f>_xlfn.NORM.DIST(F313,'Summary Statistics'!$B$30,'Summary Statistics'!$H$30,FALSE)</f>
        <v>2.5661504703830027</v>
      </c>
    </row>
    <row r="314" spans="3:7" x14ac:dyDescent="0.2">
      <c r="C314" s="52">
        <v>0.54656447771364491</v>
      </c>
      <c r="D314">
        <f>_xlfn.NORM.DIST(C314,'Summary Statistics'!$B$14,'Summary Statistics'!$H$14,FALSE)</f>
        <v>1.6326005558102661</v>
      </c>
      <c r="F314" s="52">
        <v>0.16317148435039991</v>
      </c>
      <c r="G314">
        <f>_xlfn.NORM.DIST(F314,'Summary Statistics'!$B$30,'Summary Statistics'!$H$30,FALSE)</f>
        <v>2.5667805159440054</v>
      </c>
    </row>
    <row r="315" spans="3:7" x14ac:dyDescent="0.2">
      <c r="C315" s="31">
        <v>0.54738931088756582</v>
      </c>
      <c r="D315">
        <f>_xlfn.NORM.DIST(C315,'Summary Statistics'!$B$14,'Summary Statistics'!$H$14,FALSE)</f>
        <v>1.63281875478942</v>
      </c>
      <c r="F315" s="31">
        <v>0.16449164267284896</v>
      </c>
      <c r="G315">
        <f>_xlfn.NORM.DIST(F315,'Summary Statistics'!$B$30,'Summary Statistics'!$H$30,FALSE)</f>
        <v>2.5683146894208715</v>
      </c>
    </row>
    <row r="316" spans="3:7" x14ac:dyDescent="0.2">
      <c r="C316" s="52">
        <v>0.54908217373560153</v>
      </c>
      <c r="D316">
        <f>_xlfn.NORM.DIST(C316,'Summary Statistics'!$B$14,'Summary Statistics'!$H$14,FALSE)</f>
        <v>1.6332082832488928</v>
      </c>
      <c r="F316" s="52">
        <v>0.16477409658462874</v>
      </c>
      <c r="G316">
        <f>_xlfn.NORM.DIST(F316,'Summary Statistics'!$B$30,'Summary Statistics'!$H$30,FALSE)</f>
        <v>2.5686188522262743</v>
      </c>
    </row>
    <row r="317" spans="3:7" x14ac:dyDescent="0.2">
      <c r="C317" s="31">
        <v>0.54927456930812679</v>
      </c>
      <c r="D317">
        <f>_xlfn.NORM.DIST(C317,'Summary Statistics'!$B$14,'Summary Statistics'!$H$14,FALSE)</f>
        <v>1.633247590451572</v>
      </c>
      <c r="F317" s="31">
        <v>0.16736749372703488</v>
      </c>
      <c r="G317">
        <f>_xlfn.NORM.DIST(F317,'Summary Statistics'!$B$30,'Summary Statistics'!$H$30,FALSE)</f>
        <v>2.5710141354129266</v>
      </c>
    </row>
    <row r="318" spans="3:7" x14ac:dyDescent="0.2">
      <c r="C318" s="52">
        <v>0.55187630176157021</v>
      </c>
      <c r="D318">
        <f>_xlfn.NORM.DIST(C318,'Summary Statistics'!$B$14,'Summary Statistics'!$H$14,FALSE)</f>
        <v>1.6336796099663686</v>
      </c>
      <c r="F318" s="52">
        <v>0.16746104457702399</v>
      </c>
      <c r="G318">
        <f>_xlfn.NORM.DIST(F318,'Summary Statistics'!$B$30,'Summary Statistics'!$H$30,FALSE)</f>
        <v>2.571087130408094</v>
      </c>
    </row>
    <row r="319" spans="3:7" x14ac:dyDescent="0.2">
      <c r="C319" s="31">
        <v>0.55576156195299053</v>
      </c>
      <c r="D319">
        <f>_xlfn.NORM.DIST(C319,'Summary Statistics'!$B$14,'Summary Statistics'!$H$14,FALSE)</f>
        <v>1.6339795074367955</v>
      </c>
      <c r="F319" s="31">
        <v>0.17117285101622226</v>
      </c>
      <c r="G319">
        <f>_xlfn.NORM.DIST(F319,'Summary Statistics'!$B$30,'Summary Statistics'!$H$30,FALSE)</f>
        <v>2.5732284372111867</v>
      </c>
    </row>
    <row r="320" spans="3:7" x14ac:dyDescent="0.2">
      <c r="C320" s="52">
        <v>0.56440113264872904</v>
      </c>
      <c r="D320">
        <f>_xlfn.NORM.DIST(C320,'Summary Statistics'!$B$14,'Summary Statistics'!$H$14,FALSE)</f>
        <v>1.633163586153251</v>
      </c>
      <c r="F320" s="52">
        <v>0.17287511014980372</v>
      </c>
      <c r="G320">
        <f>_xlfn.NORM.DIST(F320,'Summary Statistics'!$B$30,'Summary Statistics'!$H$30,FALSE)</f>
        <v>2.5737173276587462</v>
      </c>
    </row>
    <row r="321" spans="3:7" x14ac:dyDescent="0.2">
      <c r="C321" s="31">
        <v>0.56732602924129683</v>
      </c>
      <c r="D321">
        <f>_xlfn.NORM.DIST(C321,'Summary Statistics'!$B$14,'Summary Statistics'!$H$14,FALSE)</f>
        <v>1.6324242395562116</v>
      </c>
      <c r="F321" s="31">
        <v>0.17407398996207391</v>
      </c>
      <c r="G321">
        <f>_xlfn.NORM.DIST(F321,'Summary Statistics'!$B$30,'Summary Statistics'!$H$30,FALSE)</f>
        <v>2.5738753742330891</v>
      </c>
    </row>
    <row r="322" spans="3:7" x14ac:dyDescent="0.2">
      <c r="C322" s="52">
        <v>0.57133055623621665</v>
      </c>
      <c r="D322">
        <f>_xlfn.NORM.DIST(C322,'Summary Statistics'!$B$14,'Summary Statistics'!$H$14,FALSE)</f>
        <v>1.6310328565674244</v>
      </c>
      <c r="F322" s="52">
        <v>0.17435394177298005</v>
      </c>
      <c r="G322">
        <f>_xlfn.NORM.DIST(F322,'Summary Statistics'!$B$30,'Summary Statistics'!$H$30,FALSE)</f>
        <v>2.5738901030851138</v>
      </c>
    </row>
    <row r="323" spans="3:7" x14ac:dyDescent="0.2">
      <c r="C323" s="31">
        <v>0.57234446071514999</v>
      </c>
      <c r="D323">
        <f>_xlfn.NORM.DIST(C323,'Summary Statistics'!$B$14,'Summary Statistics'!$H$14,FALSE)</f>
        <v>1.630611166837266</v>
      </c>
      <c r="F323" s="31">
        <v>0.17516070391376537</v>
      </c>
      <c r="G323">
        <f>_xlfn.NORM.DIST(F323,'Summary Statistics'!$B$30,'Summary Statistics'!$H$30,FALSE)</f>
        <v>2.5738855827370011</v>
      </c>
    </row>
    <row r="324" spans="3:7" x14ac:dyDescent="0.2">
      <c r="C324" s="52">
        <v>0.58533416040664665</v>
      </c>
      <c r="D324">
        <f>_xlfn.NORM.DIST(C324,'Summary Statistics'!$B$14,'Summary Statistics'!$H$14,FALSE)</f>
        <v>1.6227404888135664</v>
      </c>
      <c r="F324" s="52">
        <v>0.17651725873263693</v>
      </c>
      <c r="G324">
        <f>_xlfn.NORM.DIST(F324,'Summary Statistics'!$B$30,'Summary Statistics'!$H$30,FALSE)</f>
        <v>2.573720777622869</v>
      </c>
    </row>
    <row r="325" spans="3:7" x14ac:dyDescent="0.2">
      <c r="C325" s="31">
        <v>0.58739715188323938</v>
      </c>
      <c r="D325">
        <f>_xlfn.NORM.DIST(C325,'Summary Statistics'!$B$14,'Summary Statistics'!$H$14,FALSE)</f>
        <v>1.6210716901397391</v>
      </c>
      <c r="F325" s="31">
        <v>0.17714820431738246</v>
      </c>
      <c r="G325">
        <f>_xlfn.NORM.DIST(F325,'Summary Statistics'!$B$30,'Summary Statistics'!$H$30,FALSE)</f>
        <v>2.5735769591087192</v>
      </c>
    </row>
    <row r="326" spans="3:7" x14ac:dyDescent="0.2">
      <c r="C326" s="52">
        <v>0.58856811562541689</v>
      </c>
      <c r="D326">
        <f>_xlfn.NORM.DIST(C326,'Summary Statistics'!$B$14,'Summary Statistics'!$H$14,FALSE)</f>
        <v>1.62007377595539</v>
      </c>
      <c r="F326" s="52">
        <v>0.17842023639869226</v>
      </c>
      <c r="G326">
        <f>_xlfn.NORM.DIST(F326,'Summary Statistics'!$B$30,'Summary Statistics'!$H$30,FALSE)</f>
        <v>2.5731573943468087</v>
      </c>
    </row>
    <row r="327" spans="3:7" x14ac:dyDescent="0.2">
      <c r="C327" s="31">
        <v>0.59556275249574309</v>
      </c>
      <c r="D327">
        <f>_xlfn.NORM.DIST(C327,'Summary Statistics'!$B$14,'Summary Statistics'!$H$14,FALSE)</f>
        <v>1.6133525157318125</v>
      </c>
      <c r="F327" s="31">
        <v>0.17878003696857672</v>
      </c>
      <c r="G327">
        <f>_xlfn.NORM.DIST(F327,'Summary Statistics'!$B$30,'Summary Statistics'!$H$30,FALSE)</f>
        <v>2.573007288565357</v>
      </c>
    </row>
    <row r="328" spans="3:7" x14ac:dyDescent="0.2">
      <c r="C328" s="52">
        <v>0.59643616529066801</v>
      </c>
      <c r="D328">
        <f>_xlfn.NORM.DIST(C328,'Summary Statistics'!$B$14,'Summary Statistics'!$H$14,FALSE)</f>
        <v>1.6124222548029286</v>
      </c>
      <c r="F328" s="52">
        <v>0.17978513483885114</v>
      </c>
      <c r="G328">
        <f>_xlfn.NORM.DIST(F328,'Summary Statistics'!$B$30,'Summary Statistics'!$H$30,FALSE)</f>
        <v>2.572514564350298</v>
      </c>
    </row>
    <row r="329" spans="3:7" x14ac:dyDescent="0.2">
      <c r="C329" s="31">
        <v>0.59991451698025811</v>
      </c>
      <c r="D329">
        <f>_xlfn.NORM.DIST(C329,'Summary Statistics'!$B$14,'Summary Statistics'!$H$14,FALSE)</f>
        <v>1.6085185848533892</v>
      </c>
      <c r="F329" s="31">
        <v>0.18142131716669258</v>
      </c>
      <c r="G329">
        <f>_xlfn.NORM.DIST(F329,'Summary Statistics'!$B$30,'Summary Statistics'!$H$30,FALSE)</f>
        <v>2.5714813655417008</v>
      </c>
    </row>
    <row r="330" spans="3:7" x14ac:dyDescent="0.2">
      <c r="C330" s="52">
        <v>0.60300210715723179</v>
      </c>
      <c r="D330">
        <f>_xlfn.NORM.DIST(C330,'Summary Statistics'!$B$14,'Summary Statistics'!$H$14,FALSE)</f>
        <v>1.6047884652854327</v>
      </c>
      <c r="F330" s="52">
        <v>0.18171251452925222</v>
      </c>
      <c r="G330">
        <f>_xlfn.NORM.DIST(F330,'Summary Statistics'!$B$30,'Summary Statistics'!$H$30,FALSE)</f>
        <v>2.571267491247152</v>
      </c>
    </row>
    <row r="331" spans="3:7" x14ac:dyDescent="0.2">
      <c r="C331" s="31">
        <v>0.60832923430070507</v>
      </c>
      <c r="D331">
        <f>_xlfn.NORM.DIST(C331,'Summary Statistics'!$B$14,'Summary Statistics'!$H$14,FALSE)</f>
        <v>1.5977722189807113</v>
      </c>
      <c r="F331" s="31">
        <v>0.18492788376767641</v>
      </c>
      <c r="G331">
        <f>_xlfn.NORM.DIST(F331,'Summary Statistics'!$B$30,'Summary Statistics'!$H$30,FALSE)</f>
        <v>2.5683043397865282</v>
      </c>
    </row>
    <row r="332" spans="3:7" x14ac:dyDescent="0.2">
      <c r="C332" s="52">
        <v>0.6149705902391388</v>
      </c>
      <c r="D332">
        <f>_xlfn.NORM.DIST(C332,'Summary Statistics'!$B$14,'Summary Statistics'!$H$14,FALSE)</f>
        <v>1.5880088622378907</v>
      </c>
      <c r="F332" s="52">
        <v>0.18501706022937367</v>
      </c>
      <c r="G332">
        <f>_xlfn.NORM.DIST(F332,'Summary Statistics'!$B$30,'Summary Statistics'!$H$30,FALSE)</f>
        <v>2.5682064555031006</v>
      </c>
    </row>
    <row r="333" spans="3:7" x14ac:dyDescent="0.2">
      <c r="C333" s="31">
        <v>0.61908665105386418</v>
      </c>
      <c r="D333">
        <f>_xlfn.NORM.DIST(C333,'Summary Statistics'!$B$14,'Summary Statistics'!$H$14,FALSE)</f>
        <v>1.581400435713503</v>
      </c>
      <c r="F333" s="31">
        <v>0.18670759375417056</v>
      </c>
      <c r="G333">
        <f>_xlfn.NORM.DIST(F333,'Summary Statistics'!$B$30,'Summary Statistics'!$H$30,FALSE)</f>
        <v>2.5661908548801935</v>
      </c>
    </row>
    <row r="334" spans="3:7" x14ac:dyDescent="0.2">
      <c r="C334" s="52">
        <v>0.62131423757371529</v>
      </c>
      <c r="D334">
        <f>_xlfn.NORM.DIST(C334,'Summary Statistics'!$B$14,'Summary Statistics'!$H$14,FALSE)</f>
        <v>1.5776484654590179</v>
      </c>
      <c r="F334" s="52">
        <v>0.18705520096249922</v>
      </c>
      <c r="G334">
        <f>_xlfn.NORM.DIST(F334,'Summary Statistics'!$B$30,'Summary Statistics'!$H$30,FALSE)</f>
        <v>2.565738770557195</v>
      </c>
    </row>
    <row r="335" spans="3:7" x14ac:dyDescent="0.2">
      <c r="C335" s="31">
        <v>0.62190490657754827</v>
      </c>
      <c r="D335">
        <f>_xlfn.NORM.DIST(C335,'Summary Statistics'!$B$14,'Summary Statistics'!$H$14,FALSE)</f>
        <v>1.5766330689991004</v>
      </c>
      <c r="F335" s="31">
        <v>0.18711039613915142</v>
      </c>
      <c r="G335">
        <f>_xlfn.NORM.DIST(F335,'Summary Statistics'!$B$30,'Summary Statistics'!$H$30,FALSE)</f>
        <v>2.5656658059951152</v>
      </c>
    </row>
    <row r="336" spans="3:7" x14ac:dyDescent="0.2">
      <c r="C336" s="52">
        <v>0.63066774367259015</v>
      </c>
      <c r="D336">
        <f>_xlfn.NORM.DIST(C336,'Summary Statistics'!$B$14,'Summary Statistics'!$H$14,FALSE)</f>
        <v>1.5605724983599831</v>
      </c>
      <c r="F336" s="52">
        <v>0.18846501766309146</v>
      </c>
      <c r="G336">
        <f>_xlfn.NORM.DIST(F336,'Summary Statistics'!$B$30,'Summary Statistics'!$H$30,FALSE)</f>
        <v>2.5637738252096209</v>
      </c>
    </row>
    <row r="337" spans="3:7" x14ac:dyDescent="0.2">
      <c r="C337" s="31">
        <v>0.63407147555360666</v>
      </c>
      <c r="D337">
        <f>_xlfn.NORM.DIST(C337,'Summary Statistics'!$B$14,'Summary Statistics'!$H$14,FALSE)</f>
        <v>1.5538385043189968</v>
      </c>
      <c r="F337" s="31">
        <v>0.18852705410821644</v>
      </c>
      <c r="G337">
        <f>_xlfn.NORM.DIST(F337,'Summary Statistics'!$B$30,'Summary Statistics'!$H$30,FALSE)</f>
        <v>2.5636825238924787</v>
      </c>
    </row>
    <row r="338" spans="3:7" x14ac:dyDescent="0.2">
      <c r="C338" s="52">
        <v>0.63525708289611749</v>
      </c>
      <c r="D338">
        <f>_xlfn.NORM.DIST(C338,'Summary Statistics'!$B$14,'Summary Statistics'!$H$14,FALSE)</f>
        <v>1.5514289031473483</v>
      </c>
      <c r="F338" s="52">
        <v>0.1889533109551419</v>
      </c>
      <c r="G338">
        <f>_xlfn.NORM.DIST(F338,'Summary Statistics'!$B$30,'Summary Statistics'!$H$30,FALSE)</f>
        <v>2.5630441709123875</v>
      </c>
    </row>
    <row r="339" spans="3:7" x14ac:dyDescent="0.2">
      <c r="C339" s="31">
        <v>0.63545537951397624</v>
      </c>
      <c r="D339">
        <f>_xlfn.NORM.DIST(C339,'Summary Statistics'!$B$14,'Summary Statistics'!$H$14,FALSE)</f>
        <v>1.551022684387857</v>
      </c>
      <c r="F339" s="31">
        <v>0.18993393687403223</v>
      </c>
      <c r="G339">
        <f>_xlfn.NORM.DIST(F339,'Summary Statistics'!$B$30,'Summary Statistics'!$H$30,FALSE)</f>
        <v>2.5615026582732647</v>
      </c>
    </row>
    <row r="340" spans="3:7" x14ac:dyDescent="0.2">
      <c r="C340" s="52">
        <v>0.64117032392894457</v>
      </c>
      <c r="D340">
        <f>_xlfn.NORM.DIST(C340,'Summary Statistics'!$B$14,'Summary Statistics'!$H$14,FALSE)</f>
        <v>1.5389247007249578</v>
      </c>
      <c r="F340" s="52">
        <v>0.19014918304522851</v>
      </c>
      <c r="G340">
        <f>_xlfn.NORM.DIST(F340,'Summary Statistics'!$B$30,'Summary Statistics'!$H$30,FALSE)</f>
        <v>2.561150701180273</v>
      </c>
    </row>
    <row r="341" spans="3:7" x14ac:dyDescent="0.2">
      <c r="C341" s="31">
        <v>0.64164165220683123</v>
      </c>
      <c r="D341">
        <f>_xlfn.NORM.DIST(C341,'Summary Statistics'!$B$14,'Summary Statistics'!$H$14,FALSE)</f>
        <v>1.5378935541330094</v>
      </c>
      <c r="F341" s="31">
        <v>0.19107296571978327</v>
      </c>
      <c r="G341">
        <f>_xlfn.NORM.DIST(F341,'Summary Statistics'!$B$30,'Summary Statistics'!$H$30,FALSE)</f>
        <v>2.559584683969041</v>
      </c>
    </row>
    <row r="342" spans="3:7" x14ac:dyDescent="0.2">
      <c r="C342" s="52">
        <v>0.64671652836605831</v>
      </c>
      <c r="D342">
        <f>_xlfn.NORM.DIST(C342,'Summary Statistics'!$B$14,'Summary Statistics'!$H$14,FALSE)</f>
        <v>1.5264742659638944</v>
      </c>
      <c r="F342" s="52">
        <v>0.19125827814569538</v>
      </c>
      <c r="G342">
        <f>_xlfn.NORM.DIST(F342,'Summary Statistics'!$B$30,'Summary Statistics'!$H$30,FALSE)</f>
        <v>2.5592597058499411</v>
      </c>
    </row>
    <row r="343" spans="3:7" x14ac:dyDescent="0.2">
      <c r="C343" s="31">
        <v>0.65206169208961851</v>
      </c>
      <c r="D343">
        <f>_xlfn.NORM.DIST(C343,'Summary Statistics'!$B$14,'Summary Statistics'!$H$14,FALSE)</f>
        <v>1.5138310724490185</v>
      </c>
      <c r="F343" s="31">
        <v>0.19215175646816571</v>
      </c>
      <c r="G343">
        <f>_xlfn.NORM.DIST(F343,'Summary Statistics'!$B$30,'Summary Statistics'!$H$30,FALSE)</f>
        <v>2.5576421030629644</v>
      </c>
    </row>
    <row r="344" spans="3:7" x14ac:dyDescent="0.2">
      <c r="C344" s="52">
        <v>0.65695090439276482</v>
      </c>
      <c r="D344">
        <f>_xlfn.NORM.DIST(C344,'Summary Statistics'!$B$14,'Summary Statistics'!$H$14,FALSE)</f>
        <v>1.5017276649842672</v>
      </c>
      <c r="F344" s="52">
        <v>0.19235004607052161</v>
      </c>
      <c r="G344">
        <f>_xlfn.NORM.DIST(F344,'Summary Statistics'!$B$30,'Summary Statistics'!$H$30,FALSE)</f>
        <v>2.5572717248783148</v>
      </c>
    </row>
    <row r="345" spans="3:7" x14ac:dyDescent="0.2">
      <c r="C345" s="31">
        <v>0.6591653027823241</v>
      </c>
      <c r="D345">
        <f>_xlfn.NORM.DIST(C345,'Summary Statistics'!$B$14,'Summary Statistics'!$H$14,FALSE)</f>
        <v>1.4960803251145867</v>
      </c>
      <c r="F345" s="31">
        <v>0.19371878308684165</v>
      </c>
      <c r="G345">
        <f>_xlfn.NORM.DIST(F345,'Summary Statistics'!$B$30,'Summary Statistics'!$H$30,FALSE)</f>
        <v>2.5546025304344102</v>
      </c>
    </row>
    <row r="346" spans="3:7" x14ac:dyDescent="0.2">
      <c r="C346" s="52">
        <v>0.66175977185036072</v>
      </c>
      <c r="D346">
        <f>_xlfn.NORM.DIST(C346,'Summary Statistics'!$B$14,'Summary Statistics'!$H$14,FALSE)</f>
        <v>1.4893348423780028</v>
      </c>
      <c r="F346" s="52">
        <v>0.19552101777165715</v>
      </c>
      <c r="G346">
        <f>_xlfn.NORM.DIST(F346,'Summary Statistics'!$B$30,'Summary Statistics'!$H$30,FALSE)</f>
        <v>2.5507888001935966</v>
      </c>
    </row>
    <row r="347" spans="3:7" x14ac:dyDescent="0.2">
      <c r="C347" s="31">
        <v>0.66181015452538627</v>
      </c>
      <c r="D347">
        <f>_xlfn.NORM.DIST(C347,'Summary Statistics'!$B$14,'Summary Statistics'!$H$14,FALSE)</f>
        <v>1.4892024870613234</v>
      </c>
      <c r="F347" s="31">
        <v>0.19737353055388851</v>
      </c>
      <c r="G347">
        <f>_xlfn.NORM.DIST(F347,'Summary Statistics'!$B$30,'Summary Statistics'!$H$30,FALSE)</f>
        <v>2.5465157475730913</v>
      </c>
    </row>
    <row r="348" spans="3:7" x14ac:dyDescent="0.2">
      <c r="C348" s="52">
        <v>0.66322653281418587</v>
      </c>
      <c r="D348">
        <f>_xlfn.NORM.DIST(C348,'Summary Statistics'!$B$14,'Summary Statistics'!$H$14,FALSE)</f>
        <v>1.485460584598675</v>
      </c>
      <c r="F348" s="52">
        <v>0.19789140111064235</v>
      </c>
      <c r="G348">
        <f>_xlfn.NORM.DIST(F348,'Summary Statistics'!$B$30,'Summary Statistics'!$H$30,FALSE)</f>
        <v>2.5452574657445868</v>
      </c>
    </row>
    <row r="349" spans="3:7" x14ac:dyDescent="0.2">
      <c r="C349" s="31">
        <v>0.66378443595415237</v>
      </c>
      <c r="D349">
        <f>_xlfn.NORM.DIST(C349,'Summary Statistics'!$B$14,'Summary Statistics'!$H$14,FALSE)</f>
        <v>1.4839755432607575</v>
      </c>
      <c r="F349" s="31">
        <v>0.19876578645235363</v>
      </c>
      <c r="G349">
        <f>_xlfn.NORM.DIST(F349,'Summary Statistics'!$B$30,'Summary Statistics'!$H$30,FALSE)</f>
        <v>2.5430699283994436</v>
      </c>
    </row>
    <row r="350" spans="3:7" x14ac:dyDescent="0.2">
      <c r="C350" s="52">
        <v>0.6672209289435761</v>
      </c>
      <c r="D350">
        <f>_xlfn.NORM.DIST(C350,'Summary Statistics'!$B$14,'Summary Statistics'!$H$14,FALSE)</f>
        <v>1.4746910743694759</v>
      </c>
      <c r="F350" s="52">
        <v>0.2025078369905956</v>
      </c>
      <c r="G350">
        <f>_xlfn.NORM.DIST(F350,'Summary Statistics'!$B$30,'Summary Statistics'!$H$30,FALSE)</f>
        <v>2.5328184701686487</v>
      </c>
    </row>
    <row r="351" spans="3:7" x14ac:dyDescent="0.2">
      <c r="C351" s="31">
        <v>0.67595530417988692</v>
      </c>
      <c r="D351">
        <f>_xlfn.NORM.DIST(C351,'Summary Statistics'!$B$14,'Summary Statistics'!$H$14,FALSE)</f>
        <v>1.4500602286513768</v>
      </c>
      <c r="F351" s="31">
        <v>0.2030118963488276</v>
      </c>
      <c r="G351">
        <f>_xlfn.NORM.DIST(F351,'Summary Statistics'!$B$30,'Summary Statistics'!$H$30,FALSE)</f>
        <v>2.5313279844040086</v>
      </c>
    </row>
    <row r="352" spans="3:7" x14ac:dyDescent="0.2">
      <c r="C352" s="52">
        <v>0.6948243663516892</v>
      </c>
      <c r="D352">
        <f>_xlfn.NORM.DIST(C352,'Summary Statistics'!$B$14,'Summary Statistics'!$H$14,FALSE)</f>
        <v>1.3921496357544048</v>
      </c>
      <c r="F352" s="52">
        <v>0.20595947031129447</v>
      </c>
      <c r="G352">
        <f>_xlfn.NORM.DIST(F352,'Summary Statistics'!$B$30,'Summary Statistics'!$H$30,FALSE)</f>
        <v>2.5220955484061283</v>
      </c>
    </row>
    <row r="353" spans="3:7" x14ac:dyDescent="0.2">
      <c r="C353" s="31">
        <v>0.69564608707825848</v>
      </c>
      <c r="D353">
        <f>_xlfn.NORM.DIST(C353,'Summary Statistics'!$B$14,'Summary Statistics'!$H$14,FALSE)</f>
        <v>1.3894923550316556</v>
      </c>
      <c r="F353" s="31">
        <v>0.20690156672149926</v>
      </c>
      <c r="G353">
        <f>_xlfn.NORM.DIST(F353,'Summary Statistics'!$B$30,'Summary Statistics'!$H$30,FALSE)</f>
        <v>2.5189596843925295</v>
      </c>
    </row>
    <row r="354" spans="3:7" x14ac:dyDescent="0.2">
      <c r="C354" s="52">
        <v>0.69718452871505643</v>
      </c>
      <c r="D354">
        <f>_xlfn.NORM.DIST(C354,'Summary Statistics'!$B$14,'Summary Statistics'!$H$14,FALSE)</f>
        <v>1.3844888054050133</v>
      </c>
      <c r="F354" s="52">
        <v>0.20896185499397044</v>
      </c>
      <c r="G354">
        <f>_xlfn.NORM.DIST(F354,'Summary Statistics'!$B$30,'Summary Statistics'!$H$30,FALSE)</f>
        <v>2.5117919865577374</v>
      </c>
    </row>
    <row r="355" spans="3:7" x14ac:dyDescent="0.2">
      <c r="C355" s="31">
        <v>0.69795320399213967</v>
      </c>
      <c r="D355">
        <f>_xlfn.NORM.DIST(C355,'Summary Statistics'!$B$14,'Summary Statistics'!$H$14,FALSE)</f>
        <v>1.3819750019766699</v>
      </c>
      <c r="F355" s="31">
        <v>0.20921189239419616</v>
      </c>
      <c r="G355">
        <f>_xlfn.NORM.DIST(F355,'Summary Statistics'!$B$30,'Summary Statistics'!$H$30,FALSE)</f>
        <v>2.5108933124074246</v>
      </c>
    </row>
    <row r="356" spans="3:7" x14ac:dyDescent="0.2">
      <c r="C356" s="52">
        <v>0.69889809199822517</v>
      </c>
      <c r="D356">
        <f>_xlfn.NORM.DIST(C356,'Summary Statistics'!$B$14,'Summary Statistics'!$H$14,FALSE)</f>
        <v>1.3788724553527547</v>
      </c>
      <c r="F356" s="52">
        <v>0.20957534021970814</v>
      </c>
      <c r="G356">
        <f>_xlfn.NORM.DIST(F356,'Summary Statistics'!$B$30,'Summary Statistics'!$H$30,FALSE)</f>
        <v>2.5095759504185096</v>
      </c>
    </row>
    <row r="357" spans="3:7" x14ac:dyDescent="0.2">
      <c r="C357" s="31">
        <v>0.69978992297175635</v>
      </c>
      <c r="D357">
        <f>_xlfn.NORM.DIST(C357,'Summary Statistics'!$B$14,'Summary Statistics'!$H$14,FALSE)</f>
        <v>1.3759316068382512</v>
      </c>
      <c r="F357" s="31">
        <v>0.21659608523125146</v>
      </c>
      <c r="G357">
        <f>_xlfn.NORM.DIST(F357,'Summary Statistics'!$B$30,'Summary Statistics'!$H$30,FALSE)</f>
        <v>2.4815845245866779</v>
      </c>
    </row>
    <row r="358" spans="3:7" x14ac:dyDescent="0.2">
      <c r="C358" s="52">
        <v>0.70054200542005418</v>
      </c>
      <c r="D358">
        <f>_xlfn.NORM.DIST(C358,'Summary Statistics'!$B$14,'Summary Statistics'!$H$14,FALSE)</f>
        <v>1.3734422170671603</v>
      </c>
      <c r="F358" s="52">
        <v>0.21805779870244557</v>
      </c>
      <c r="G358">
        <f>_xlfn.NORM.DIST(F358,'Summary Statistics'!$B$30,'Summary Statistics'!$H$30,FALSE)</f>
        <v>2.4751573015123642</v>
      </c>
    </row>
    <row r="359" spans="3:7" x14ac:dyDescent="0.2">
      <c r="C359" s="31">
        <v>0.70380998631406999</v>
      </c>
      <c r="D359">
        <f>_xlfn.NORM.DIST(C359,'Summary Statistics'!$B$14,'Summary Statistics'!$H$14,FALSE)</f>
        <v>1.3625272615055446</v>
      </c>
      <c r="F359" s="31">
        <v>0.22104653611286587</v>
      </c>
      <c r="G359">
        <f>_xlfn.NORM.DIST(F359,'Summary Statistics'!$B$30,'Summary Statistics'!$H$30,FALSE)</f>
        <v>2.4613859537390028</v>
      </c>
    </row>
    <row r="360" spans="3:7" x14ac:dyDescent="0.2">
      <c r="C360" s="52">
        <v>0.709375417948375</v>
      </c>
      <c r="D360">
        <f>_xlfn.NORM.DIST(C360,'Summary Statistics'!$B$14,'Summary Statistics'!$H$14,FALSE)</f>
        <v>1.3435840164789641</v>
      </c>
      <c r="F360" s="52">
        <v>0.2230261549743339</v>
      </c>
      <c r="G360">
        <f>_xlfn.NORM.DIST(F360,'Summary Statistics'!$B$30,'Summary Statistics'!$H$30,FALSE)</f>
        <v>2.4518046335001999</v>
      </c>
    </row>
    <row r="361" spans="3:7" x14ac:dyDescent="0.2">
      <c r="C361" s="31">
        <v>0.71809581934696365</v>
      </c>
      <c r="D361">
        <f>_xlfn.NORM.DIST(C361,'Summary Statistics'!$B$14,'Summary Statistics'!$H$14,FALSE)</f>
        <v>1.3130575573589334</v>
      </c>
      <c r="F361" s="31">
        <v>0.22425818533089723</v>
      </c>
      <c r="G361">
        <f>_xlfn.NORM.DIST(F361,'Summary Statistics'!$B$30,'Summary Statistics'!$H$30,FALSE)</f>
        <v>2.4456590499623077</v>
      </c>
    </row>
    <row r="362" spans="3:7" x14ac:dyDescent="0.2">
      <c r="C362" s="52">
        <v>0.72602413808020072</v>
      </c>
      <c r="D362">
        <f>_xlfn.NORM.DIST(C362,'Summary Statistics'!$B$14,'Summary Statistics'!$H$14,FALSE)</f>
        <v>1.2844832780144537</v>
      </c>
      <c r="F362" s="52">
        <v>0.22455403987408185</v>
      </c>
      <c r="G362">
        <f>_xlfn.NORM.DIST(F362,'Summary Statistics'!$B$30,'Summary Statistics'!$H$30,FALSE)</f>
        <v>2.4441625757757404</v>
      </c>
    </row>
    <row r="363" spans="3:7" x14ac:dyDescent="0.2">
      <c r="C363" s="31">
        <v>0.73068147574152997</v>
      </c>
      <c r="D363">
        <f>_xlfn.NORM.DIST(C363,'Summary Statistics'!$B$14,'Summary Statistics'!$H$14,FALSE)</f>
        <v>1.2673654084905794</v>
      </c>
      <c r="F363" s="31">
        <v>0.23210941490267295</v>
      </c>
      <c r="G363">
        <f>_xlfn.NORM.DIST(F363,'Summary Statistics'!$B$30,'Summary Statistics'!$H$30,FALSE)</f>
        <v>2.4032862222247</v>
      </c>
    </row>
    <row r="364" spans="3:7" x14ac:dyDescent="0.2">
      <c r="C364" s="52">
        <v>0.73406372370701645</v>
      </c>
      <c r="D364">
        <f>_xlfn.NORM.DIST(C364,'Summary Statistics'!$B$14,'Summary Statistics'!$H$14,FALSE)</f>
        <v>1.2547910217852671</v>
      </c>
      <c r="F364" s="52">
        <v>0.23513659886869659</v>
      </c>
      <c r="G364">
        <f>_xlfn.NORM.DIST(F364,'Summary Statistics'!$B$30,'Summary Statistics'!$H$30,FALSE)</f>
        <v>2.3855098507026327</v>
      </c>
    </row>
    <row r="365" spans="3:7" x14ac:dyDescent="0.2">
      <c r="C365" s="31">
        <v>0.73838034163781852</v>
      </c>
      <c r="D365">
        <f>_xlfn.NORM.DIST(C365,'Summary Statistics'!$B$14,'Summary Statistics'!$H$14,FALSE)</f>
        <v>1.2385786185572967</v>
      </c>
      <c r="F365" s="31">
        <v>0.23516916144019581</v>
      </c>
      <c r="G365">
        <f>_xlfn.NORM.DIST(F365,'Summary Statistics'!$B$30,'Summary Statistics'!$H$30,FALSE)</f>
        <v>2.3853144054610755</v>
      </c>
    </row>
    <row r="366" spans="3:7" x14ac:dyDescent="0.2">
      <c r="C366" s="52">
        <v>0.74152453148031161</v>
      </c>
      <c r="D366">
        <f>_xlfn.NORM.DIST(C366,'Summary Statistics'!$B$14,'Summary Statistics'!$H$14,FALSE)</f>
        <v>1.2266602603641714</v>
      </c>
      <c r="F366" s="52">
        <v>0.23732718894009217</v>
      </c>
      <c r="G366">
        <f>_xlfn.NORM.DIST(F366,'Summary Statistics'!$B$30,'Summary Statistics'!$H$30,FALSE)</f>
        <v>2.372163837950708</v>
      </c>
    </row>
    <row r="367" spans="3:7" x14ac:dyDescent="0.2">
      <c r="C367" s="31">
        <v>0.7447777182645956</v>
      </c>
      <c r="D367">
        <f>_xlfn.NORM.DIST(C367,'Summary Statistics'!$B$14,'Summary Statistics'!$H$14,FALSE)</f>
        <v>1.2142374603330537</v>
      </c>
      <c r="F367" s="31">
        <v>0.24080574622879761</v>
      </c>
      <c r="G367">
        <f>_xlfn.NORM.DIST(F367,'Summary Statistics'!$B$30,'Summary Statistics'!$H$30,FALSE)</f>
        <v>2.3501594347530435</v>
      </c>
    </row>
    <row r="368" spans="3:7" x14ac:dyDescent="0.2">
      <c r="C368" s="52">
        <v>0.74531024531024526</v>
      </c>
      <c r="D368">
        <f>_xlfn.NORM.DIST(C368,'Summary Statistics'!$B$14,'Summary Statistics'!$H$14,FALSE)</f>
        <v>1.2121954415217648</v>
      </c>
      <c r="F368" s="52">
        <v>0.2454604409857328</v>
      </c>
      <c r="G368">
        <f>_xlfn.NORM.DIST(F368,'Summary Statistics'!$B$30,'Summary Statistics'!$H$30,FALSE)</f>
        <v>2.3192059832050793</v>
      </c>
    </row>
    <row r="369" spans="3:7" x14ac:dyDescent="0.2">
      <c r="C369" s="31">
        <v>0.74744561231972628</v>
      </c>
      <c r="D369">
        <f>_xlfn.NORM.DIST(C369,'Summary Statistics'!$B$14,'Summary Statistics'!$H$14,FALSE)</f>
        <v>1.2039841032141825</v>
      </c>
      <c r="F369" s="31">
        <v>0.24555799716449933</v>
      </c>
      <c r="G369">
        <f>_xlfn.NORM.DIST(F369,'Summary Statistics'!$B$30,'Summary Statistics'!$H$30,FALSE)</f>
        <v>2.3185392489886203</v>
      </c>
    </row>
    <row r="370" spans="3:7" x14ac:dyDescent="0.2">
      <c r="C370" s="52">
        <v>0.74761883288991771</v>
      </c>
      <c r="D370">
        <f>_xlfn.NORM.DIST(C370,'Summary Statistics'!$B$14,'Summary Statistics'!$H$14,FALSE)</f>
        <v>1.2033164089301416</v>
      </c>
      <c r="F370" s="52">
        <v>0.24692622950819673</v>
      </c>
      <c r="G370">
        <f>_xlfn.NORM.DIST(F370,'Summary Statistics'!$B$30,'Summary Statistics'!$H$30,FALSE)</f>
        <v>2.309112037907155</v>
      </c>
    </row>
    <row r="371" spans="3:7" x14ac:dyDescent="0.2">
      <c r="C371" s="31">
        <v>0.74837310195227769</v>
      </c>
      <c r="D371">
        <f>_xlfn.NORM.DIST(C371,'Summary Statistics'!$B$14,'Summary Statistics'!$H$14,FALSE)</f>
        <v>1.2004062809277221</v>
      </c>
      <c r="F371" s="31">
        <v>0.25170107152021376</v>
      </c>
      <c r="G371">
        <f>_xlfn.NORM.DIST(F371,'Summary Statistics'!$B$30,'Summary Statistics'!$H$30,FALSE)</f>
        <v>2.2751229855137889</v>
      </c>
    </row>
    <row r="372" spans="3:7" x14ac:dyDescent="0.2">
      <c r="C372" s="52">
        <v>0.74854197679398027</v>
      </c>
      <c r="D372">
        <f>_xlfn.NORM.DIST(C372,'Summary Statistics'!$B$14,'Summary Statistics'!$H$14,FALSE)</f>
        <v>1.1997541224620478</v>
      </c>
      <c r="F372" s="52">
        <v>0.25514270328486804</v>
      </c>
      <c r="G372">
        <f>_xlfn.NORM.DIST(F372,'Summary Statistics'!$B$30,'Summary Statistics'!$H$30,FALSE)</f>
        <v>2.2496105057599802</v>
      </c>
    </row>
    <row r="373" spans="3:7" x14ac:dyDescent="0.2">
      <c r="C373" s="31">
        <v>0.75237735373764092</v>
      </c>
      <c r="D373">
        <f>_xlfn.NORM.DIST(C373,'Summary Statistics'!$B$14,'Summary Statistics'!$H$14,FALSE)</f>
        <v>1.1848850991247104</v>
      </c>
      <c r="F373" s="31">
        <v>0.25557067129521038</v>
      </c>
      <c r="G373">
        <f>_xlfn.NORM.DIST(F373,'Summary Statistics'!$B$30,'Summary Statistics'!$H$30,FALSE)</f>
        <v>2.246380657645191</v>
      </c>
    </row>
    <row r="374" spans="3:7" x14ac:dyDescent="0.2">
      <c r="C374" s="52">
        <v>0.75249629065244417</v>
      </c>
      <c r="D374">
        <f>_xlfn.NORM.DIST(C374,'Summary Statistics'!$B$14,'Summary Statistics'!$H$14,FALSE)</f>
        <v>1.1844222887374674</v>
      </c>
      <c r="F374" s="52">
        <v>0.25772947828527892</v>
      </c>
      <c r="G374">
        <f>_xlfn.NORM.DIST(F374,'Summary Statistics'!$B$30,'Summary Statistics'!$H$30,FALSE)</f>
        <v>2.2298996429909379</v>
      </c>
    </row>
    <row r="375" spans="3:7" x14ac:dyDescent="0.2">
      <c r="C375" s="31">
        <v>0.75473340587595217</v>
      </c>
      <c r="D375">
        <f>_xlfn.NORM.DIST(C375,'Summary Statistics'!$B$14,'Summary Statistics'!$H$14,FALSE)</f>
        <v>1.1756987889249311</v>
      </c>
      <c r="F375" s="31">
        <v>0.26249183363547079</v>
      </c>
      <c r="G375">
        <f>_xlfn.NORM.DIST(F375,'Summary Statistics'!$B$30,'Summary Statistics'!$H$30,FALSE)</f>
        <v>2.1924640701821745</v>
      </c>
    </row>
    <row r="376" spans="3:7" x14ac:dyDescent="0.2">
      <c r="C376" s="52">
        <v>0.75620010643959557</v>
      </c>
      <c r="D376">
        <f>_xlfn.NORM.DIST(C376,'Summary Statistics'!$B$14,'Summary Statistics'!$H$14,FALSE)</f>
        <v>1.1699610646065204</v>
      </c>
      <c r="F376" s="52">
        <v>0.2656240404495302</v>
      </c>
      <c r="G376">
        <f>_xlfn.NORM.DIST(F376,'Summary Statistics'!$B$30,'Summary Statistics'!$H$30,FALSE)</f>
        <v>2.1670703438444976</v>
      </c>
    </row>
    <row r="377" spans="3:7" x14ac:dyDescent="0.2">
      <c r="C377" s="31">
        <v>0.76394927536231882</v>
      </c>
      <c r="D377">
        <f>_xlfn.NORM.DIST(C377,'Summary Statistics'!$B$14,'Summary Statistics'!$H$14,FALSE)</f>
        <v>1.1394251881818229</v>
      </c>
      <c r="F377" s="31">
        <v>0.26811049270513293</v>
      </c>
      <c r="G377">
        <f>_xlfn.NORM.DIST(F377,'Summary Statistics'!$B$30,'Summary Statistics'!$H$30,FALSE)</f>
        <v>2.1464972991730229</v>
      </c>
    </row>
    <row r="378" spans="3:7" x14ac:dyDescent="0.2">
      <c r="C378" s="52">
        <v>0.77825651302605214</v>
      </c>
      <c r="D378">
        <f>_xlfn.NORM.DIST(C378,'Summary Statistics'!$B$14,'Summary Statistics'!$H$14,FALSE)</f>
        <v>1.0822572527623713</v>
      </c>
      <c r="F378" s="52">
        <v>0.27118016091069369</v>
      </c>
      <c r="G378">
        <f>_xlfn.NORM.DIST(F378,'Summary Statistics'!$B$30,'Summary Statistics'!$H$30,FALSE)</f>
        <v>2.120614998024239</v>
      </c>
    </row>
    <row r="379" spans="3:7" x14ac:dyDescent="0.2">
      <c r="C379" s="31">
        <v>0.77959427802422365</v>
      </c>
      <c r="D379">
        <f>_xlfn.NORM.DIST(C379,'Summary Statistics'!$B$14,'Summary Statistics'!$H$14,FALSE)</f>
        <v>1.0768717462551824</v>
      </c>
      <c r="F379" s="31">
        <v>0.27168265398184449</v>
      </c>
      <c r="G379">
        <f>_xlfn.NORM.DIST(F379,'Summary Statistics'!$B$30,'Summary Statistics'!$H$30,FALSE)</f>
        <v>2.1163289238071252</v>
      </c>
    </row>
    <row r="380" spans="3:7" x14ac:dyDescent="0.2">
      <c r="C380" s="52">
        <v>0.78764856293617036</v>
      </c>
      <c r="D380">
        <f>_xlfn.NORM.DIST(C380,'Summary Statistics'!$B$14,'Summary Statistics'!$H$14,FALSE)</f>
        <v>1.0443460626310388</v>
      </c>
      <c r="F380" s="52">
        <v>0.27212982562241711</v>
      </c>
      <c r="G380">
        <f>_xlfn.NORM.DIST(F380,'Summary Statistics'!$B$30,'Summary Statistics'!$H$30,FALSE)</f>
        <v>2.112503334174288</v>
      </c>
    </row>
    <row r="381" spans="3:7" x14ac:dyDescent="0.2">
      <c r="C381" s="31">
        <v>0.78779741100896328</v>
      </c>
      <c r="D381">
        <f>_xlfn.NORM.DIST(C381,'Summary Statistics'!$B$14,'Summary Statistics'!$H$14,FALSE)</f>
        <v>1.0437436167079119</v>
      </c>
      <c r="F381" s="31">
        <v>0.27379096527938801</v>
      </c>
      <c r="G381">
        <f>_xlfn.NORM.DIST(F381,'Summary Statistics'!$B$30,'Summary Statistics'!$H$30,FALSE)</f>
        <v>2.0981996642735474</v>
      </c>
    </row>
    <row r="382" spans="3:7" x14ac:dyDescent="0.2">
      <c r="C382" s="52">
        <v>0.80250148410472666</v>
      </c>
      <c r="D382">
        <f>_xlfn.NORM.DIST(C382,'Summary Statistics'!$B$14,'Summary Statistics'!$H$14,FALSE)</f>
        <v>0.98410721146848157</v>
      </c>
      <c r="F382" s="52">
        <v>0.27595073465859982</v>
      </c>
      <c r="G382">
        <f>_xlfn.NORM.DIST(F382,'Summary Statistics'!$B$30,'Summary Statistics'!$H$30,FALSE)</f>
        <v>2.0793899633913258</v>
      </c>
    </row>
    <row r="383" spans="3:7" x14ac:dyDescent="0.2">
      <c r="C383" s="31">
        <v>0.803140994794173</v>
      </c>
      <c r="D383">
        <f>_xlfn.NORM.DIST(C383,'Summary Statistics'!$B$14,'Summary Statistics'!$H$14,FALSE)</f>
        <v>0.98151148472242522</v>
      </c>
      <c r="F383" s="31">
        <v>0.27661461262274517</v>
      </c>
      <c r="G383">
        <f>_xlfn.NORM.DIST(F383,'Summary Statistics'!$B$30,'Summary Statistics'!$H$30,FALSE)</f>
        <v>2.0735612185251653</v>
      </c>
    </row>
    <row r="384" spans="3:7" x14ac:dyDescent="0.2">
      <c r="C384" s="52">
        <v>0.80486566337364973</v>
      </c>
      <c r="D384">
        <f>_xlfn.NORM.DIST(C384,'Summary Statistics'!$B$14,'Summary Statistics'!$H$14,FALSE)</f>
        <v>0.97451193163722816</v>
      </c>
      <c r="F384" s="52">
        <v>0.28146694502888575</v>
      </c>
      <c r="G384">
        <f>_xlfn.NORM.DIST(F384,'Summary Statistics'!$B$30,'Summary Statistics'!$H$30,FALSE)</f>
        <v>2.0303203364963194</v>
      </c>
    </row>
    <row r="385" spans="3:7" x14ac:dyDescent="0.2">
      <c r="C385" s="31">
        <v>0.80693478479991931</v>
      </c>
      <c r="D385">
        <f>_xlfn.NORM.DIST(C385,'Summary Statistics'!$B$14,'Summary Statistics'!$H$14,FALSE)</f>
        <v>0.96611664064994118</v>
      </c>
      <c r="F385" s="31">
        <v>0.28166086610795893</v>
      </c>
      <c r="G385">
        <f>_xlfn.NORM.DIST(F385,'Summary Statistics'!$B$30,'Summary Statistics'!$H$30,FALSE)</f>
        <v>2.0285697845464021</v>
      </c>
    </row>
    <row r="386" spans="3:7" x14ac:dyDescent="0.2">
      <c r="C386" s="52">
        <v>0.81416718362282881</v>
      </c>
      <c r="D386">
        <f>_xlfn.NORM.DIST(C386,'Summary Statistics'!$B$14,'Summary Statistics'!$H$14,FALSE)</f>
        <v>0.93680717911085887</v>
      </c>
      <c r="F386" s="52">
        <v>0.28188472457858094</v>
      </c>
      <c r="G386">
        <f>_xlfn.NORM.DIST(F386,'Summary Statistics'!$B$30,'Summary Statistics'!$H$30,FALSE)</f>
        <v>2.0265469157810441</v>
      </c>
    </row>
    <row r="387" spans="3:7" x14ac:dyDescent="0.2">
      <c r="C387" s="31">
        <v>0.8167142750494093</v>
      </c>
      <c r="D387">
        <f>_xlfn.NORM.DIST(C387,'Summary Statistics'!$B$14,'Summary Statistics'!$H$14,FALSE)</f>
        <v>0.92650455406602272</v>
      </c>
      <c r="F387" s="31">
        <v>0.28414419404982955</v>
      </c>
      <c r="G387">
        <f>_xlfn.NORM.DIST(F387,'Summary Statistics'!$B$30,'Summary Statistics'!$H$30,FALSE)</f>
        <v>2.006007817312057</v>
      </c>
    </row>
    <row r="388" spans="3:7" x14ac:dyDescent="0.2">
      <c r="C388" s="52">
        <v>0.81897264146840065</v>
      </c>
      <c r="D388">
        <f>_xlfn.NORM.DIST(C388,'Summary Statistics'!$B$14,'Summary Statistics'!$H$14,FALSE)</f>
        <v>0.91738107537332503</v>
      </c>
      <c r="F388" s="52">
        <v>0.28536316033199161</v>
      </c>
      <c r="G388">
        <f>_xlfn.NORM.DIST(F388,'Summary Statistics'!$B$30,'Summary Statistics'!$H$30,FALSE)</f>
        <v>1.9948376631401064</v>
      </c>
    </row>
    <row r="389" spans="3:7" x14ac:dyDescent="0.2">
      <c r="C389" s="31">
        <v>0.8203157875477981</v>
      </c>
      <c r="D389">
        <f>_xlfn.NORM.DIST(C389,'Summary Statistics'!$B$14,'Summary Statistics'!$H$14,FALSE)</f>
        <v>0.91196061518170379</v>
      </c>
      <c r="F389" s="31">
        <v>0.28580196399345337</v>
      </c>
      <c r="G389">
        <f>_xlfn.NORM.DIST(F389,'Summary Statistics'!$B$30,'Summary Statistics'!$H$30,FALSE)</f>
        <v>1.9908017318446947</v>
      </c>
    </row>
    <row r="390" spans="3:7" x14ac:dyDescent="0.2">
      <c r="C390" s="52">
        <v>0.820839580209895</v>
      </c>
      <c r="D390">
        <f>_xlfn.NORM.DIST(C390,'Summary Statistics'!$B$14,'Summary Statistics'!$H$14,FALSE)</f>
        <v>0.90984800201585658</v>
      </c>
      <c r="F390" s="52">
        <v>0.29044882259543353</v>
      </c>
      <c r="G390">
        <f>_xlfn.NORM.DIST(F390,'Summary Statistics'!$B$30,'Summary Statistics'!$H$30,FALSE)</f>
        <v>1.9476015698197464</v>
      </c>
    </row>
    <row r="391" spans="3:7" x14ac:dyDescent="0.2">
      <c r="C391" s="31">
        <v>0.82238326412854723</v>
      </c>
      <c r="D391">
        <f>_xlfn.NORM.DIST(C391,'Summary Statistics'!$B$14,'Summary Statistics'!$H$14,FALSE)</f>
        <v>0.90362609307236075</v>
      </c>
      <c r="F391" s="31">
        <v>0.29221576297269392</v>
      </c>
      <c r="G391">
        <f>_xlfn.NORM.DIST(F391,'Summary Statistics'!$B$30,'Summary Statistics'!$H$30,FALSE)</f>
        <v>1.9309665678753269</v>
      </c>
    </row>
    <row r="392" spans="3:7" x14ac:dyDescent="0.2">
      <c r="C392" s="52">
        <v>0.82316504211288644</v>
      </c>
      <c r="D392">
        <f>_xlfn.NORM.DIST(C392,'Summary Statistics'!$B$14,'Summary Statistics'!$H$14,FALSE)</f>
        <v>0.90047760790593312</v>
      </c>
      <c r="F392" s="52">
        <v>0.29495217512250443</v>
      </c>
      <c r="G392">
        <f>_xlfn.NORM.DIST(F392,'Summary Statistics'!$B$30,'Summary Statistics'!$H$30,FALSE)</f>
        <v>1.9049957134415259</v>
      </c>
    </row>
    <row r="393" spans="3:7" x14ac:dyDescent="0.2">
      <c r="C393" s="31">
        <v>0.82534667368790593</v>
      </c>
      <c r="D393">
        <f>_xlfn.NORM.DIST(C393,'Summary Statistics'!$B$14,'Summary Statistics'!$H$14,FALSE)</f>
        <v>0.89170098231418427</v>
      </c>
      <c r="F393" s="31">
        <v>0.30490152296770817</v>
      </c>
      <c r="G393">
        <f>_xlfn.NORM.DIST(F393,'Summary Statistics'!$B$30,'Summary Statistics'!$H$30,FALSE)</f>
        <v>1.8087197135298538</v>
      </c>
    </row>
    <row r="394" spans="3:7" x14ac:dyDescent="0.2">
      <c r="C394" s="52">
        <v>0.8268257958985854</v>
      </c>
      <c r="D394">
        <f>_xlfn.NORM.DIST(C394,'Summary Statistics'!$B$14,'Summary Statistics'!$H$14,FALSE)</f>
        <v>0.88575900699095012</v>
      </c>
      <c r="F394" s="52">
        <v>0.30506797721486412</v>
      </c>
      <c r="G394">
        <f>_xlfn.NORM.DIST(F394,'Summary Statistics'!$B$30,'Summary Statistics'!$H$30,FALSE)</f>
        <v>1.8070877551465572</v>
      </c>
    </row>
    <row r="395" spans="3:7" x14ac:dyDescent="0.2">
      <c r="C395" s="31">
        <v>0.83034221437938094</v>
      </c>
      <c r="D395">
        <f>_xlfn.NORM.DIST(C395,'Summary Statistics'!$B$14,'Summary Statistics'!$H$14,FALSE)</f>
        <v>0.87166277260265179</v>
      </c>
      <c r="F395" s="31">
        <v>0.30857797936500025</v>
      </c>
      <c r="G395">
        <f>_xlfn.NORM.DIST(F395,'Summary Statistics'!$B$30,'Summary Statistics'!$H$30,FALSE)</f>
        <v>1.7725395378466025</v>
      </c>
    </row>
    <row r="396" spans="3:7" x14ac:dyDescent="0.2">
      <c r="C396" s="52">
        <v>0.83038084403272117</v>
      </c>
      <c r="D396">
        <f>_xlfn.NORM.DIST(C396,'Summary Statistics'!$B$14,'Summary Statistics'!$H$14,FALSE)</f>
        <v>0.87150816669921738</v>
      </c>
      <c r="F396" s="52">
        <v>0.31035061231337024</v>
      </c>
      <c r="G396">
        <f>_xlfn.NORM.DIST(F396,'Summary Statistics'!$B$30,'Summary Statistics'!$H$30,FALSE)</f>
        <v>1.7550016181072536</v>
      </c>
    </row>
    <row r="397" spans="3:7" x14ac:dyDescent="0.2">
      <c r="C397" s="31">
        <v>0.83270326125308736</v>
      </c>
      <c r="D397">
        <f>_xlfn.NORM.DIST(C397,'Summary Statistics'!$B$14,'Summary Statistics'!$H$14,FALSE)</f>
        <v>0.86222379912224834</v>
      </c>
      <c r="F397" s="31">
        <v>0.31238450701648462</v>
      </c>
      <c r="G397">
        <f>_xlfn.NORM.DIST(F397,'Summary Statistics'!$B$30,'Summary Statistics'!$H$30,FALSE)</f>
        <v>1.7348129559200383</v>
      </c>
    </row>
    <row r="398" spans="3:7" x14ac:dyDescent="0.2">
      <c r="C398" s="52">
        <v>0.8375648106431538</v>
      </c>
      <c r="D398">
        <f>_xlfn.NORM.DIST(C398,'Summary Statistics'!$B$14,'Summary Statistics'!$H$14,FALSE)</f>
        <v>0.84286073678003848</v>
      </c>
      <c r="F398" s="52">
        <v>0.3141464981794817</v>
      </c>
      <c r="G398">
        <f>_xlfn.NORM.DIST(F398,'Summary Statistics'!$B$30,'Summary Statistics'!$H$30,FALSE)</f>
        <v>1.717272013049215</v>
      </c>
    </row>
    <row r="399" spans="3:7" x14ac:dyDescent="0.2">
      <c r="C399" s="31">
        <v>0.84781036560867817</v>
      </c>
      <c r="D399">
        <f>_xlfn.NORM.DIST(C399,'Summary Statistics'!$B$14,'Summary Statistics'!$H$14,FALSE)</f>
        <v>0.80242333910253771</v>
      </c>
      <c r="F399" s="31">
        <v>0.31726892059553352</v>
      </c>
      <c r="G399">
        <f>_xlfn.NORM.DIST(F399,'Summary Statistics'!$B$30,'Summary Statistics'!$H$30,FALSE)</f>
        <v>1.6860869421127096</v>
      </c>
    </row>
    <row r="400" spans="3:7" x14ac:dyDescent="0.2">
      <c r="C400" s="52">
        <v>0.87084235902452656</v>
      </c>
      <c r="D400">
        <f>_xlfn.NORM.DIST(C400,'Summary Statistics'!$B$14,'Summary Statistics'!$H$14,FALSE)</f>
        <v>0.71385773998382795</v>
      </c>
      <c r="F400" s="52">
        <v>0.31942522618414049</v>
      </c>
      <c r="G400">
        <f>_xlfn.NORM.DIST(F400,'Summary Statistics'!$B$30,'Summary Statistics'!$H$30,FALSE)</f>
        <v>1.6644877610530509</v>
      </c>
    </row>
    <row r="401" spans="3:7" x14ac:dyDescent="0.2">
      <c r="C401" s="31">
        <v>0.87627304463229572</v>
      </c>
      <c r="D401">
        <f>_xlfn.NORM.DIST(C401,'Summary Statistics'!$B$14,'Summary Statistics'!$H$14,FALSE)</f>
        <v>0.69354148848291408</v>
      </c>
      <c r="F401" s="31">
        <v>0.32738509605708987</v>
      </c>
      <c r="G401">
        <f>_xlfn.NORM.DIST(F401,'Summary Statistics'!$B$30,'Summary Statistics'!$H$30,FALSE)</f>
        <v>1.5844665366164521</v>
      </c>
    </row>
    <row r="402" spans="3:7" x14ac:dyDescent="0.2">
      <c r="C402" s="52">
        <v>0.87726339655013941</v>
      </c>
      <c r="D402">
        <f>_xlfn.NORM.DIST(C402,'Summary Statistics'!$B$14,'Summary Statistics'!$H$14,FALSE)</f>
        <v>0.68986259890353907</v>
      </c>
      <c r="F402" s="52">
        <v>0.33215451577801958</v>
      </c>
      <c r="G402">
        <f>_xlfn.NORM.DIST(F402,'Summary Statistics'!$B$30,'Summary Statistics'!$H$30,FALSE)</f>
        <v>1.5364317214076573</v>
      </c>
    </row>
    <row r="403" spans="3:7" x14ac:dyDescent="0.2">
      <c r="C403" s="31">
        <v>0.87931940679974852</v>
      </c>
      <c r="D403">
        <f>_xlfn.NORM.DIST(C403,'Summary Statistics'!$B$14,'Summary Statistics'!$H$14,FALSE)</f>
        <v>0.68225142481283274</v>
      </c>
      <c r="F403" s="31">
        <v>0.33475438047559447</v>
      </c>
      <c r="G403">
        <f>_xlfn.NORM.DIST(F403,'Summary Statistics'!$B$30,'Summary Statistics'!$H$30,FALSE)</f>
        <v>1.510261162538328</v>
      </c>
    </row>
    <row r="404" spans="3:7" x14ac:dyDescent="0.2">
      <c r="C404" s="52">
        <v>0.87938810619798202</v>
      </c>
      <c r="D404">
        <f>_xlfn.NORM.DIST(C404,'Summary Statistics'!$B$14,'Summary Statistics'!$H$14,FALSE)</f>
        <v>0.68199772551778692</v>
      </c>
      <c r="F404" s="52">
        <v>0.33627892733715387</v>
      </c>
      <c r="G404">
        <f>_xlfn.NORM.DIST(F404,'Summary Statistics'!$B$30,'Summary Statistics'!$H$30,FALSE)</f>
        <v>1.4949270644526356</v>
      </c>
    </row>
    <row r="405" spans="3:7" x14ac:dyDescent="0.2">
      <c r="C405" s="31">
        <v>0.88476188706590608</v>
      </c>
      <c r="D405">
        <f>_xlfn.NORM.DIST(C405,'Summary Statistics'!$B$14,'Summary Statistics'!$H$14,FALSE)</f>
        <v>0.66227998427003965</v>
      </c>
      <c r="F405" s="31">
        <v>0.34950451116698711</v>
      </c>
      <c r="G405">
        <f>_xlfn.NORM.DIST(F405,'Summary Statistics'!$B$30,'Summary Statistics'!$H$30,FALSE)</f>
        <v>1.3627251214184335</v>
      </c>
    </row>
    <row r="406" spans="3:7" x14ac:dyDescent="0.2">
      <c r="C406" s="52">
        <v>0.88554713132982588</v>
      </c>
      <c r="D406">
        <f>_xlfn.NORM.DIST(C406,'Summary Statistics'!$B$14,'Summary Statistics'!$H$14,FALSE)</f>
        <v>0.6594201121188753</v>
      </c>
      <c r="F406" s="52">
        <v>0.35303564089711581</v>
      </c>
      <c r="G406">
        <f>_xlfn.NORM.DIST(F406,'Summary Statistics'!$B$30,'Summary Statistics'!$H$30,FALSE)</f>
        <v>1.3278138688640451</v>
      </c>
    </row>
    <row r="407" spans="3:7" x14ac:dyDescent="0.2">
      <c r="C407" s="31">
        <v>0.89250850883887867</v>
      </c>
      <c r="D407">
        <f>_xlfn.NORM.DIST(C407,'Summary Statistics'!$B$14,'Summary Statistics'!$H$14,FALSE)</f>
        <v>0.63431364289431746</v>
      </c>
      <c r="F407" s="31">
        <v>0.35926545685352412</v>
      </c>
      <c r="G407">
        <f>_xlfn.NORM.DIST(F407,'Summary Statistics'!$B$30,'Summary Statistics'!$H$30,FALSE)</f>
        <v>1.2667838518299785</v>
      </c>
    </row>
    <row r="408" spans="3:7" x14ac:dyDescent="0.2">
      <c r="C408" s="52">
        <v>0.89492518284331035</v>
      </c>
      <c r="D408">
        <f>_xlfn.NORM.DIST(C408,'Summary Statistics'!$B$14,'Summary Statistics'!$H$14,FALSE)</f>
        <v>0.62570426373952048</v>
      </c>
      <c r="F408" s="52">
        <v>0.36262316723670929</v>
      </c>
      <c r="G408">
        <f>_xlfn.NORM.DIST(F408,'Summary Statistics'!$B$30,'Summary Statistics'!$H$30,FALSE)</f>
        <v>1.2342347482042237</v>
      </c>
    </row>
    <row r="409" spans="3:7" x14ac:dyDescent="0.2">
      <c r="C409" s="31">
        <v>0.90430433011154732</v>
      </c>
      <c r="D409">
        <f>_xlfn.NORM.DIST(C409,'Summary Statistics'!$B$14,'Summary Statistics'!$H$14,FALSE)</f>
        <v>0.59283319721051775</v>
      </c>
      <c r="F409" s="31">
        <v>0.37636307447794798</v>
      </c>
      <c r="G409">
        <f>_xlfn.NORM.DIST(F409,'Summary Statistics'!$B$30,'Summary Statistics'!$H$30,FALSE)</f>
        <v>1.1041162169362311</v>
      </c>
    </row>
    <row r="410" spans="3:7" x14ac:dyDescent="0.2">
      <c r="C410" s="52">
        <v>0.91052227342549918</v>
      </c>
      <c r="D410">
        <f>_xlfn.NORM.DIST(C410,'Summary Statistics'!$B$14,'Summary Statistics'!$H$14,FALSE)</f>
        <v>0.57153370101602297</v>
      </c>
      <c r="F410" s="52">
        <v>0.39100729387868155</v>
      </c>
      <c r="G410">
        <f>_xlfn.NORM.DIST(F410,'Summary Statistics'!$B$30,'Summary Statistics'!$H$30,FALSE)</f>
        <v>0.97205371512678063</v>
      </c>
    </row>
    <row r="411" spans="3:7" x14ac:dyDescent="0.2">
      <c r="C411" s="31">
        <v>0.91634241245136183</v>
      </c>
      <c r="D411">
        <f>_xlfn.NORM.DIST(C411,'Summary Statistics'!$B$14,'Summary Statistics'!$H$14,FALSE)</f>
        <v>0.55196632491028619</v>
      </c>
      <c r="F411" s="31">
        <v>0.40107430617726053</v>
      </c>
      <c r="G411">
        <f>_xlfn.NORM.DIST(F411,'Summary Statistics'!$B$30,'Summary Statistics'!$H$30,FALSE)</f>
        <v>0.8859504131266549</v>
      </c>
    </row>
    <row r="412" spans="3:7" x14ac:dyDescent="0.2">
      <c r="C412" s="52">
        <v>0.92211280214861235</v>
      </c>
      <c r="D412">
        <f>_xlfn.NORM.DIST(C412,'Summary Statistics'!$B$14,'Summary Statistics'!$H$14,FALSE)</f>
        <v>0.53292857449487629</v>
      </c>
      <c r="F412" s="52">
        <v>0.40385645420460631</v>
      </c>
      <c r="G412">
        <f>_xlfn.NORM.DIST(F412,'Summary Statistics'!$B$30,'Summary Statistics'!$H$30,FALSE)</f>
        <v>0.86288746425229268</v>
      </c>
    </row>
    <row r="413" spans="3:7" x14ac:dyDescent="0.2">
      <c r="C413" s="31">
        <v>0.92618820807271185</v>
      </c>
      <c r="D413">
        <f>_xlfn.NORM.DIST(C413,'Summary Statistics'!$B$14,'Summary Statistics'!$H$14,FALSE)</f>
        <v>0.51970498490627892</v>
      </c>
      <c r="F413" s="31">
        <v>0.40766543340925254</v>
      </c>
      <c r="G413">
        <f>_xlfn.NORM.DIST(F413,'Summary Statistics'!$B$30,'Summary Statistics'!$H$30,FALSE)</f>
        <v>0.83184821531920694</v>
      </c>
    </row>
    <row r="414" spans="3:7" x14ac:dyDescent="0.2">
      <c r="C414" s="52">
        <v>0.92728715894021652</v>
      </c>
      <c r="D414">
        <f>_xlfn.NORM.DIST(C414,'Summary Statistics'!$B$14,'Summary Statistics'!$H$14,FALSE)</f>
        <v>0.51617107817621666</v>
      </c>
      <c r="F414" s="52">
        <v>0.41331684188827045</v>
      </c>
      <c r="G414">
        <f>_xlfn.NORM.DIST(F414,'Summary Statistics'!$B$30,'Summary Statistics'!$H$30,FALSE)</f>
        <v>0.78696414790029323</v>
      </c>
    </row>
    <row r="415" spans="3:7" x14ac:dyDescent="0.2">
      <c r="C415" s="31">
        <v>0.93833998535519614</v>
      </c>
      <c r="D415">
        <f>_xlfn.NORM.DIST(C415,'Summary Statistics'!$B$14,'Summary Statistics'!$H$14,FALSE)</f>
        <v>0.48139492946371287</v>
      </c>
      <c r="F415" s="31">
        <v>0.4259927797833935</v>
      </c>
      <c r="G415">
        <f>_xlfn.NORM.DIST(F415,'Summary Statistics'!$B$30,'Summary Statistics'!$H$30,FALSE)</f>
        <v>0.69155041283422158</v>
      </c>
    </row>
    <row r="416" spans="3:7" x14ac:dyDescent="0.2">
      <c r="C416" s="52">
        <v>0.94758157655646069</v>
      </c>
      <c r="D416">
        <f>_xlfn.NORM.DIST(C416,'Summary Statistics'!$B$14,'Summary Statistics'!$H$14,FALSE)</f>
        <v>0.45340900574086512</v>
      </c>
      <c r="F416" s="52">
        <v>0.46307066277708614</v>
      </c>
      <c r="G416">
        <f>_xlfn.NORM.DIST(F416,'Summary Statistics'!$B$30,'Summary Statistics'!$H$30,FALSE)</f>
        <v>0.45599732352153544</v>
      </c>
    </row>
    <row r="417" spans="3:7" x14ac:dyDescent="0.2">
      <c r="C417" s="31">
        <v>0.94968971631205679</v>
      </c>
      <c r="D417">
        <f>_xlfn.NORM.DIST(C417,'Summary Statistics'!$B$14,'Summary Statistics'!$H$14,FALSE)</f>
        <v>0.44716665878348555</v>
      </c>
      <c r="F417" s="31">
        <v>0.49247956117671721</v>
      </c>
      <c r="G417">
        <f>_xlfn.NORM.DIST(F417,'Summary Statistics'!$B$30,'Summary Statistics'!$H$30,FALSE)</f>
        <v>0.31465549815147886</v>
      </c>
    </row>
    <row r="418" spans="3:7" x14ac:dyDescent="0.2">
      <c r="C418" s="52">
        <v>0.95461322385479686</v>
      </c>
      <c r="D418">
        <f>_xlfn.NORM.DIST(C418,'Summary Statistics'!$B$14,'Summary Statistics'!$H$14,FALSE)</f>
        <v>0.43279480838562784</v>
      </c>
      <c r="F418" s="52">
        <v>0.6132985134592206</v>
      </c>
      <c r="G418">
        <f>_xlfn.NORM.DIST(F418,'Summary Statistics'!$B$30,'Summary Statistics'!$H$30,FALSE)</f>
        <v>4.6970652724968337E-2</v>
      </c>
    </row>
    <row r="419" spans="3:7" x14ac:dyDescent="0.2">
      <c r="C419" s="53">
        <v>0.96099454992341393</v>
      </c>
      <c r="D419">
        <f>_xlfn.NORM.DIST(C419,'Summary Statistics'!$B$14,'Summary Statistics'!$H$14,FALSE)</f>
        <v>0.4146017132428067</v>
      </c>
      <c r="F419" s="53">
        <v>0.67995342994577035</v>
      </c>
      <c r="G419">
        <f>_xlfn.NORM.DIST(F419,'Summary Statistics'!$B$30,'Summary Statistics'!$H$30,FALSE)</f>
        <v>1.2681567006871945E-2</v>
      </c>
    </row>
  </sheetData>
  <mergeCells count="2">
    <mergeCell ref="A25:J25"/>
    <mergeCell ref="L25:U25"/>
  </mergeCells>
  <phoneticPr fontId="20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P&amp;L Dashboard</vt:lpstr>
      <vt:lpstr>Yearly Forecasts</vt:lpstr>
      <vt:lpstr>Summary Statistics</vt:lpstr>
      <vt:lpstr>Project Data NYSE</vt:lpstr>
      <vt:lpstr>Working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Corey Tucker</dc:creator>
  <cp:lastModifiedBy>Corey Tucker</cp:lastModifiedBy>
  <dcterms:created xsi:type="dcterms:W3CDTF">2022-12-01T00:51:33Z</dcterms:created>
  <dcterms:modified xsi:type="dcterms:W3CDTF">2022-12-07T05:06:36Z</dcterms:modified>
</cp:coreProperties>
</file>